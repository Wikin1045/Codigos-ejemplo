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bertymutual-my.sharepoint.com/personal/wikin_ramo_libertymutual_com/Documents/Desktop/Excel ejemplos/"/>
    </mc:Choice>
  </mc:AlternateContent>
  <xr:revisionPtr revIDLastSave="113" documentId="13_ncr:1_{386626C1-DBDA-4E8B-BCB1-258A7B587C76}" xr6:coauthVersionLast="47" xr6:coauthVersionMax="47" xr10:uidLastSave="{3ACA52B0-907E-4BD3-9266-06F964152640}"/>
  <bookViews>
    <workbookView xWindow="-120" yWindow="-120" windowWidth="29040" windowHeight="15720" firstSheet="2" activeTab="5" xr2:uid="{495444C6-6438-4E20-B48D-E795EA1F8178}"/>
  </bookViews>
  <sheets>
    <sheet name="CODIGOS" sheetId="17" state="veryHidden" r:id="rId1"/>
    <sheet name="DATA" sheetId="16" state="hidden" r:id="rId2"/>
    <sheet name="DataBase" sheetId="2" r:id="rId3"/>
    <sheet name="SF DATA" sheetId="11" r:id="rId4"/>
    <sheet name="TABLA" sheetId="15" r:id="rId5"/>
    <sheet name="GENIUS" sheetId="7" r:id="rId6"/>
    <sheet name="FAC" sheetId="12" r:id="rId7"/>
    <sheet name="MACRO FAC REG ROW" sheetId="13" state="hidden" r:id="rId8"/>
    <sheet name="BASE FAC" sheetId="18" r:id="rId9"/>
    <sheet name="MACRO FAC REG LIBSEGBR" sheetId="14" r:id="rId10"/>
  </sheets>
  <externalReferences>
    <externalReference r:id="rId11"/>
    <externalReference r:id="rId12"/>
    <externalReference r:id="rId13"/>
  </externalReferences>
  <definedNames>
    <definedName name="alt" localSheetId="8">[1]DataBase!#REF!</definedName>
    <definedName name="alt" localSheetId="0">#REF!</definedName>
    <definedName name="alt" localSheetId="1">#REF!</definedName>
    <definedName name="alt">DataBase!#REF!</definedName>
    <definedName name="b" localSheetId="8">[1]DataBase!#REF!</definedName>
    <definedName name="b" localSheetId="0">#REF!</definedName>
    <definedName name="b" localSheetId="1">#REF!</definedName>
    <definedName name="b">DataBase!#REF!</definedName>
    <definedName name="branch" localSheetId="8">[1]DataBase!#REF!</definedName>
    <definedName name="branch" localSheetId="0">#REF!</definedName>
    <definedName name="branch" localSheetId="1">#REF!</definedName>
    <definedName name="branch">DataBase!#REF!</definedName>
    <definedName name="branch1">DataBase!$A$21:$A$35</definedName>
    <definedName name="BROKER1">CODIGOS!$I$191:$I$193</definedName>
    <definedName name="co" localSheetId="8">[1]DataBase!#REF!</definedName>
    <definedName name="co" localSheetId="0">#REF!</definedName>
    <definedName name="co" localSheetId="1">#REF!</definedName>
    <definedName name="co">DataBase!#REF!</definedName>
    <definedName name="COVERAGE">CODIGOS!$G$58:$G$75</definedName>
    <definedName name="CUOTA">CODIGOS!$C$12</definedName>
    <definedName name="dc" localSheetId="8">[1]DataBase!#REF!</definedName>
    <definedName name="dc" localSheetId="0">#REF!</definedName>
    <definedName name="dc" localSheetId="1">#REF!</definedName>
    <definedName name="dc">DataBase!#REF!</definedName>
    <definedName name="dirasu" localSheetId="8">[1]DataBase!#REF!</definedName>
    <definedName name="dirasu" localSheetId="0">#REF!</definedName>
    <definedName name="dirasu" localSheetId="1">#REF!</definedName>
    <definedName name="dirasu">DataBase!#REF!</definedName>
    <definedName name="directasu">DataBase!$H$4:$H$5</definedName>
    <definedName name="eb" localSheetId="8">[1]DataBase!#REF!</definedName>
    <definedName name="eb" localSheetId="0">#REF!</definedName>
    <definedName name="eb" localSheetId="1">#REF!</definedName>
    <definedName name="eb">DataBase!#REF!</definedName>
    <definedName name="eba" localSheetId="8">[1]DataBase!#REF!</definedName>
    <definedName name="eba" localSheetId="0">#REF!</definedName>
    <definedName name="eba" localSheetId="1">#REF!</definedName>
    <definedName name="eba">DataBase!#REF!</definedName>
    <definedName name="EFFECTIVE" localSheetId="8">#REF!</definedName>
    <definedName name="EFFECTIVE" localSheetId="0">#REF!</definedName>
    <definedName name="EFFECTIVE" localSheetId="1">#REF!</definedName>
    <definedName name="EFFECTIVE" localSheetId="3">'SF DATA'!$D$18</definedName>
    <definedName name="EFFECTIVE">#REF!</definedName>
    <definedName name="FAC">CODIGOS!$J$157:$J$177</definedName>
    <definedName name="fl" localSheetId="8">[1]DataBase!#REF!</definedName>
    <definedName name="fl" localSheetId="0">#REF!</definedName>
    <definedName name="fl" localSheetId="1">#REF!</definedName>
    <definedName name="fl">DataBase!#REF!</definedName>
    <definedName name="fr">DataBase!$AK$36:$AK$40</definedName>
    <definedName name="inst" localSheetId="8">[1]DataBase!#REF!</definedName>
    <definedName name="inst" localSheetId="0">#REF!</definedName>
    <definedName name="inst" localSheetId="1">#REF!</definedName>
    <definedName name="inst">DataBase!#REF!</definedName>
    <definedName name="INSTALLAMENT1">CODIGOS!$R$1:$R$27</definedName>
    <definedName name="INSTALLAMENT10">CODIGOS!$R$298:$R$335</definedName>
    <definedName name="INSTALLAMENT11">CODIGOS!$R$337:$R$375</definedName>
    <definedName name="INSTALLAMENT12">CODIGOS!$R$377:$R$416</definedName>
    <definedName name="INSTALLAMENT13">CODIGOS!$R$418:$R$458</definedName>
    <definedName name="INSTALLAMENT2">CODIGOS!$R$29:$R$57</definedName>
    <definedName name="INSTALLAMENT3">CODIGOS!$R$59:$R$88</definedName>
    <definedName name="INSTALLAMENT4">CODIGOS!$R$90:$R$120</definedName>
    <definedName name="INSTALLAMENT5">CODIGOS!$R$122:$R$153</definedName>
    <definedName name="INSTALLAMENT6">CODIGOS!$R$155:$R$187</definedName>
    <definedName name="INSTALLAMENT7">CODIGOS!$R$189:$R$222</definedName>
    <definedName name="INSTALLAMENT8">CODIGOS!$R$224:$R$258</definedName>
    <definedName name="INSTALLAMENT9">CODIGOS!$R$260:$R$296</definedName>
    <definedName name="lay" localSheetId="8">[1]DataBase!#REF!</definedName>
    <definedName name="lay" localSheetId="0">#REF!</definedName>
    <definedName name="lay" localSheetId="1">#REF!</definedName>
    <definedName name="lay">DataBase!#REF!</definedName>
    <definedName name="lob" localSheetId="8">[1]DataBase!#REF!</definedName>
    <definedName name="lob" localSheetId="0">#REF!</definedName>
    <definedName name="lob" localSheetId="1">#REF!</definedName>
    <definedName name="lob">DataBase!#REF!</definedName>
    <definedName name="MACRORUTA">CODIGOS!$AM$1</definedName>
    <definedName name="mh" localSheetId="8">[1]DataBase!#REF!</definedName>
    <definedName name="mh" localSheetId="0">#REF!</definedName>
    <definedName name="mh" localSheetId="1">#REF!</definedName>
    <definedName name="mh">DataBase!#REF!</definedName>
    <definedName name="NO_BROKER">CODIGOS!$I$196:$I$197</definedName>
    <definedName name="nombre">DATA!$B$27</definedName>
    <definedName name="NUM_INST" localSheetId="8">#REF!</definedName>
    <definedName name="NUM_INST" localSheetId="0">#REF!</definedName>
    <definedName name="NUM_INST" localSheetId="1">#REF!</definedName>
    <definedName name="NUM_INST">#REF!</definedName>
    <definedName name="NUM_INST_FIELD" localSheetId="8">#REF!</definedName>
    <definedName name="NUM_INST_FIELD" localSheetId="0">#REF!</definedName>
    <definedName name="NUM_INST_FIELD" localSheetId="1">#REF!</definedName>
    <definedName name="NUM_INST_FIELD" localSheetId="3">'SF DATA'!$I$67</definedName>
    <definedName name="NUM_INST_FIELD">#REF!</definedName>
    <definedName name="NUM_INST_LIST" localSheetId="8">#REF!</definedName>
    <definedName name="NUM_INST_LIST" localSheetId="0">#REF!</definedName>
    <definedName name="NUM_INST_LIST" localSheetId="1">#REF!</definedName>
    <definedName name="NUM_INST_LIST" localSheetId="3">'SF DATA'!$I$68</definedName>
    <definedName name="NUM_INST_LIST">#REF!</definedName>
    <definedName name="oc" localSheetId="8">[1]DataBase!#REF!</definedName>
    <definedName name="oc" localSheetId="0">#REF!</definedName>
    <definedName name="oc" localSheetId="1">#REF!</definedName>
    <definedName name="oc">DataBase!#REF!</definedName>
    <definedName name="occ" localSheetId="8">[1]DataBase!#REF!</definedName>
    <definedName name="occ" localSheetId="0">#REF!</definedName>
    <definedName name="occ" localSheetId="1">#REF!</definedName>
    <definedName name="occ">DataBase!#REF!</definedName>
    <definedName name="pc" localSheetId="8">[1]DataBase!#REF!</definedName>
    <definedName name="pc" localSheetId="0">#REF!</definedName>
    <definedName name="pc" localSheetId="1">#REF!</definedName>
    <definedName name="pc">DataBase!#REF!</definedName>
    <definedName name="peb" localSheetId="8">[1]DataBase!#REF!</definedName>
    <definedName name="peb" localSheetId="0">#REF!</definedName>
    <definedName name="peb" localSheetId="1">#REF!</definedName>
    <definedName name="peb">DataBase!#REF!</definedName>
    <definedName name="pl" localSheetId="8">[1]DataBase!#REF!</definedName>
    <definedName name="pl" localSheetId="0">#REF!</definedName>
    <definedName name="pl" localSheetId="1">#REF!</definedName>
    <definedName name="pl">DataBase!#REF!</definedName>
    <definedName name="PPW" localSheetId="8">#REF!</definedName>
    <definedName name="PPW" localSheetId="0">#REF!</definedName>
    <definedName name="PPW" localSheetId="1">#REF!</definedName>
    <definedName name="PPW" localSheetId="3">'SF DATA'!$I$69</definedName>
    <definedName name="PPW">#REF!</definedName>
    <definedName name="prix" localSheetId="8">[1]DataBase!#REF!</definedName>
    <definedName name="prix" localSheetId="0">#REF!</definedName>
    <definedName name="prix" localSheetId="1">#REF!</definedName>
    <definedName name="prix">DataBase!#REF!</definedName>
    <definedName name="RENEW1">CODIGOS!$T$1:$T$27</definedName>
    <definedName name="RENEW10">CODIGOS!$T$298:$T$335</definedName>
    <definedName name="RENEW11">CODIGOS!$T$337:$T$375</definedName>
    <definedName name="RENEW12">CODIGOS!$T$377:$T$416</definedName>
    <definedName name="RENEW13">CODIGOS!$T$418:$T$458</definedName>
    <definedName name="RENEW2">CODIGOS!$T$29:$T$57</definedName>
    <definedName name="RENEW3">CODIGOS!$T$59:$T$88</definedName>
    <definedName name="RENEW4">CODIGOS!$T$90:$T$120</definedName>
    <definedName name="RENEW5">CODIGOS!$T$122:$T$153</definedName>
    <definedName name="RENEW6">CODIGOS!$T$155:$T$187</definedName>
    <definedName name="RENEW7">CODIGOS!$T$189:$T$222</definedName>
    <definedName name="RENEW8">CODIGOS!$T$224:$T$258</definedName>
    <definedName name="RENEW9">CODIGOS!$T$260:$T$296</definedName>
    <definedName name="rt" localSheetId="8">[1]DataBase!#REF!</definedName>
    <definedName name="rt" localSheetId="0">#REF!</definedName>
    <definedName name="rt" localSheetId="1">#REF!</definedName>
    <definedName name="rt">DataBase!#REF!</definedName>
    <definedName name="section" localSheetId="8">[1]DataBase!#REF!</definedName>
    <definedName name="section" localSheetId="0">#REF!</definedName>
    <definedName name="section" localSheetId="1">#REF!</definedName>
    <definedName name="section">DataBase!#REF!</definedName>
    <definedName name="sic" localSheetId="8">[1]DataBase!#REF!</definedName>
    <definedName name="sic" localSheetId="0">#REF!</definedName>
    <definedName name="sic" localSheetId="1">#REF!</definedName>
    <definedName name="sic">DataBase!#REF!</definedName>
    <definedName name="TREATY">GENIUS!$CS$5</definedName>
    <definedName name="typeof" localSheetId="8">[1]DataBase!#REF!</definedName>
    <definedName name="typeof" localSheetId="0">#REF!</definedName>
    <definedName name="typeof" localSheetId="1">#REF!</definedName>
    <definedName name="typeof">DataBase!#REF!</definedName>
    <definedName name="UNDERWRITER">CODIGOS!$B$11</definedName>
    <definedName name="uw" localSheetId="8">[1]DataBase!#REF!</definedName>
    <definedName name="uw" localSheetId="0">#REF!</definedName>
    <definedName name="uw" localSheetId="1">#REF!</definedName>
    <definedName name="uw">DataBase!#REF!</definedName>
    <definedName name="wu" localSheetId="8">[1]DataBase!#REF!</definedName>
    <definedName name="wu" localSheetId="0">#REF!</definedName>
    <definedName name="wu" localSheetId="1">#REF!</definedName>
    <definedName name="wu">DataBase!#REF!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1" i="11" l="1"/>
  <c r="I193" i="17"/>
  <c r="D192" i="17"/>
  <c r="D197" i="17" s="1"/>
  <c r="E197" i="17" s="1"/>
  <c r="B192" i="17"/>
  <c r="B197" i="17" s="1"/>
  <c r="B167" i="17"/>
  <c r="D185" i="17"/>
  <c r="D182" i="17"/>
  <c r="D165" i="17"/>
  <c r="B165" i="17"/>
  <c r="D188" i="17"/>
  <c r="D186" i="17"/>
  <c r="A171" i="17" a="1"/>
  <c r="J176" i="17" s="1"/>
  <c r="J170" i="17"/>
  <c r="J168" i="17"/>
  <c r="H167" i="17"/>
  <c r="D167" i="17"/>
  <c r="J167" i="17" s="1"/>
  <c r="D166" i="17"/>
  <c r="B166" i="17"/>
  <c r="G165" i="17"/>
  <c r="F165" i="17"/>
  <c r="H165" i="17" s="1"/>
  <c r="J164" i="17"/>
  <c r="J162" i="17"/>
  <c r="J160" i="17"/>
  <c r="J158" i="17"/>
  <c r="A157" i="17"/>
  <c r="J157" i="17" s="1"/>
  <c r="A157" i="17" a="1"/>
  <c r="J163" i="17" s="1"/>
  <c r="B18" i="18"/>
  <c r="B187" i="17" s="1"/>
  <c r="B17" i="18"/>
  <c r="B184" i="17" s="1"/>
  <c r="B16" i="18"/>
  <c r="B181" i="17" s="1"/>
  <c r="B14" i="18"/>
  <c r="B12" i="18"/>
  <c r="B191" i="17" s="1"/>
  <c r="I191" i="17" s="1"/>
  <c r="B11" i="18"/>
  <c r="B169" i="17" s="1"/>
  <c r="J169" i="17" s="1"/>
  <c r="B9" i="18"/>
  <c r="B8" i="18"/>
  <c r="B7" i="18"/>
  <c r="B6" i="18"/>
  <c r="B5" i="18"/>
  <c r="B4" i="18"/>
  <c r="E192" i="17" l="1"/>
  <c r="C192" i="17"/>
  <c r="C197" i="17"/>
  <c r="I197" i="17" s="1"/>
  <c r="J166" i="17"/>
  <c r="J165" i="17"/>
  <c r="J173" i="17"/>
  <c r="J175" i="17"/>
  <c r="J177" i="17"/>
  <c r="J159" i="17"/>
  <c r="J161" i="17"/>
  <c r="A171" i="17"/>
  <c r="J171" i="17" s="1"/>
  <c r="J172" i="17"/>
  <c r="J174" i="17"/>
  <c r="B13" i="18"/>
  <c r="B10" i="18"/>
  <c r="B196" i="17" l="1"/>
  <c r="I196" i="17" s="1"/>
  <c r="G192" i="17"/>
  <c r="I192" i="17" s="1"/>
  <c r="B19" i="18"/>
  <c r="D150" i="17"/>
  <c r="B150" i="17"/>
  <c r="O150" i="17" s="1"/>
  <c r="E147" i="17"/>
  <c r="F147" i="17"/>
  <c r="C147" i="17"/>
  <c r="O147" i="17" s="1"/>
  <c r="H84" i="17"/>
  <c r="T18" i="17"/>
  <c r="H141" i="17"/>
  <c r="G141" i="17"/>
  <c r="F141" i="17"/>
  <c r="D141" i="17"/>
  <c r="B141" i="17"/>
  <c r="G136" i="17"/>
  <c r="F138" i="17"/>
  <c r="F137" i="17"/>
  <c r="D137" i="17"/>
  <c r="B137" i="17"/>
  <c r="N136" i="17"/>
  <c r="K136" i="17"/>
  <c r="I136" i="17"/>
  <c r="H136" i="17"/>
  <c r="F136" i="17"/>
  <c r="B136" i="17"/>
  <c r="B134" i="17" l="1"/>
  <c r="CK21" i="7" l="1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K20" i="7"/>
  <c r="CK6" i="7"/>
  <c r="DI21" i="7"/>
  <c r="DI18" i="7"/>
  <c r="DI17" i="7"/>
  <c r="DI16" i="7"/>
  <c r="DH16" i="7"/>
  <c r="DI14" i="7"/>
  <c r="DI13" i="7"/>
  <c r="DI12" i="7"/>
  <c r="DI11" i="7"/>
  <c r="DI10" i="7"/>
  <c r="DI9" i="7"/>
  <c r="DI8" i="7"/>
  <c r="DH8" i="7"/>
  <c r="DI7" i="7"/>
  <c r="DH7" i="7"/>
  <c r="DI6" i="7"/>
  <c r="DH6" i="7"/>
  <c r="DI5" i="7"/>
  <c r="DI4" i="7"/>
  <c r="DI3" i="7"/>
  <c r="C84" i="11"/>
  <c r="B89" i="17"/>
  <c r="D89" i="17"/>
  <c r="F89" i="17"/>
  <c r="B88" i="17"/>
  <c r="D136" i="17"/>
  <c r="T44" i="17"/>
  <c r="T41" i="17"/>
  <c r="T20" i="17"/>
  <c r="T19" i="17"/>
  <c r="T15" i="17"/>
  <c r="T14" i="17"/>
  <c r="T10" i="17"/>
  <c r="H137" i="17"/>
  <c r="T12" i="17" s="1"/>
  <c r="M136" i="17"/>
  <c r="T9" i="17"/>
  <c r="B23" i="15"/>
  <c r="T16" i="17" l="1"/>
  <c r="T11" i="17"/>
  <c r="T37" i="17" s="1" a="1"/>
  <c r="T37" i="17" s="1"/>
  <c r="T67" i="17" s="1" a="1"/>
  <c r="T67" i="17" s="1"/>
  <c r="T98" i="17" s="1" a="1"/>
  <c r="T98" i="17" s="1"/>
  <c r="T130" i="17" s="1" a="1"/>
  <c r="T130" i="17" s="1"/>
  <c r="B128" i="17"/>
  <c r="K94" i="17"/>
  <c r="I94" i="17"/>
  <c r="G94" i="17"/>
  <c r="E94" i="17"/>
  <c r="C94" i="17"/>
  <c r="D84" i="17"/>
  <c r="B84" i="17"/>
  <c r="O83" i="17"/>
  <c r="M83" i="17"/>
  <c r="K83" i="17"/>
  <c r="I83" i="17"/>
  <c r="G83" i="17"/>
  <c r="F83" i="17"/>
  <c r="D83" i="17"/>
  <c r="B83" i="17"/>
  <c r="Q128" i="17"/>
  <c r="B127" i="17"/>
  <c r="Q127" i="17" s="1"/>
  <c r="B123" i="17"/>
  <c r="Q123" i="17" s="1"/>
  <c r="B119" i="17"/>
  <c r="Q119" i="17" s="1"/>
  <c r="B115" i="17"/>
  <c r="Q115" i="17" s="1"/>
  <c r="B111" i="17"/>
  <c r="Q111" i="17" s="1"/>
  <c r="B107" i="17"/>
  <c r="Q107" i="17" s="1"/>
  <c r="B103" i="17"/>
  <c r="Q103" i="17" s="1"/>
  <c r="B99" i="17"/>
  <c r="Q99" i="17" s="1"/>
  <c r="Q95" i="17"/>
  <c r="Q94" i="17"/>
  <c r="B93" i="17"/>
  <c r="Q93" i="17" s="1"/>
  <c r="Q89" i="17"/>
  <c r="Q88" i="17"/>
  <c r="F84" i="17"/>
  <c r="Q84" i="17"/>
  <c r="Q83" i="17"/>
  <c r="Q82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R27" i="17"/>
  <c r="T27" i="17" s="1"/>
  <c r="R26" i="17"/>
  <c r="T26" i="17" s="1"/>
  <c r="R25" i="17"/>
  <c r="T25" i="17" s="1"/>
  <c r="R24" i="17"/>
  <c r="T24" i="17" s="1"/>
  <c r="R23" i="17"/>
  <c r="T23" i="17" s="1"/>
  <c r="R22" i="17"/>
  <c r="T22" i="17" s="1"/>
  <c r="R21" i="17"/>
  <c r="T21" i="17" s="1"/>
  <c r="R20" i="17"/>
  <c r="R19" i="17"/>
  <c r="R18" i="17"/>
  <c r="R17" i="17"/>
  <c r="S17" i="17" s="1"/>
  <c r="R16" i="17"/>
  <c r="A142" i="17" s="1"/>
  <c r="T17" i="17" s="1"/>
  <c r="R15" i="17"/>
  <c r="R14" i="17"/>
  <c r="F13" i="17"/>
  <c r="D13" i="17"/>
  <c r="D138" i="17" s="1"/>
  <c r="B13" i="17"/>
  <c r="B138" i="17" s="1"/>
  <c r="B12" i="17"/>
  <c r="R12" i="17" s="1"/>
  <c r="R11" i="17"/>
  <c r="R10" i="17"/>
  <c r="R9" i="17"/>
  <c r="R8" i="17"/>
  <c r="R7" i="17"/>
  <c r="R6" i="17"/>
  <c r="R5" i="17"/>
  <c r="R4" i="17"/>
  <c r="R3" i="17"/>
  <c r="R2" i="17"/>
  <c r="T1" i="17" s="1" a="1"/>
  <c r="T1" i="17" s="1"/>
  <c r="T29" i="17" s="1" a="1"/>
  <c r="T29" i="17" s="1"/>
  <c r="R1" i="17"/>
  <c r="T163" i="17" l="1" a="1"/>
  <c r="T163" i="17" s="1"/>
  <c r="T197" i="17" s="1" a="1"/>
  <c r="T197" i="17" s="1"/>
  <c r="T232" i="17" s="1" a="1"/>
  <c r="T232" i="17" s="1"/>
  <c r="T268" i="17" s="1" a="1"/>
  <c r="T268" i="17" s="1"/>
  <c r="T45" i="17" a="1"/>
  <c r="T45" i="17" s="1"/>
  <c r="T75" i="17" s="1" a="1"/>
  <c r="T75" i="17" s="1"/>
  <c r="T107" i="17" s="1" a="1"/>
  <c r="T107" i="17" s="1"/>
  <c r="T140" i="17" s="1" a="1"/>
  <c r="T140" i="17" s="1"/>
  <c r="T174" i="17" s="1" a="1"/>
  <c r="T174" i="17" s="1"/>
  <c r="T209" i="17" s="1" a="1"/>
  <c r="T209" i="17" s="1"/>
  <c r="T245" i="17" s="1" a="1"/>
  <c r="T245" i="17" s="1"/>
  <c r="T283" i="17" s="1" a="1"/>
  <c r="T283" i="17" s="1"/>
  <c r="T322" i="17" s="1" a="1"/>
  <c r="T322" i="17" s="1"/>
  <c r="T362" i="17" s="1" a="1"/>
  <c r="T362" i="17" s="1"/>
  <c r="T403" i="17" s="1" a="1"/>
  <c r="T403" i="17" s="1"/>
  <c r="T445" i="17" s="1" a="1"/>
  <c r="T445" i="17" s="1"/>
  <c r="T13" i="17"/>
  <c r="R361" i="17"/>
  <c r="R43" i="17"/>
  <c r="R72" i="17"/>
  <c r="R73" i="17"/>
  <c r="R74" i="17"/>
  <c r="R106" i="17"/>
  <c r="R138" i="17"/>
  <c r="R202" i="17"/>
  <c r="R238" i="17"/>
  <c r="R275" i="17"/>
  <c r="R312" i="17"/>
  <c r="R320" i="17"/>
  <c r="R357" i="17"/>
  <c r="R170" i="17"/>
  <c r="R206" i="17"/>
  <c r="R242" i="17"/>
  <c r="R279" i="17"/>
  <c r="R316" i="17"/>
  <c r="R353" i="17"/>
  <c r="R298" i="17" a="1"/>
  <c r="R298" i="17" s="1"/>
  <c r="T298" i="17" s="1" a="1"/>
  <c r="T298" i="17" s="1"/>
  <c r="R403" i="17" a="1"/>
  <c r="R362" i="17" a="1"/>
  <c r="R245" i="17" a="1"/>
  <c r="R209" i="17" a="1"/>
  <c r="R107" i="17" a="1"/>
  <c r="R44" i="17" a="1"/>
  <c r="R445" i="17" a="1"/>
  <c r="R75" i="17" a="1"/>
  <c r="R155" i="17" a="1"/>
  <c r="R155" i="17" s="1"/>
  <c r="T155" i="17" s="1" a="1"/>
  <c r="T155" i="17" s="1"/>
  <c r="R174" i="17" a="1"/>
  <c r="R283" i="17" a="1"/>
  <c r="R337" i="17" a="1"/>
  <c r="R337" i="17" s="1"/>
  <c r="T337" i="17" s="1" a="1"/>
  <c r="T337" i="17" s="1"/>
  <c r="R418" i="17" a="1"/>
  <c r="R418" i="17" s="1"/>
  <c r="T418" i="17" s="1" a="1"/>
  <c r="T418" i="17" s="1"/>
  <c r="R444" i="17"/>
  <c r="R442" i="17"/>
  <c r="R440" i="17"/>
  <c r="R438" i="17"/>
  <c r="R436" i="17"/>
  <c r="R434" i="17"/>
  <c r="R432" i="17"/>
  <c r="R401" i="17"/>
  <c r="R399" i="17"/>
  <c r="R397" i="17"/>
  <c r="R395" i="17"/>
  <c r="R393" i="17"/>
  <c r="R391" i="17"/>
  <c r="R360" i="17"/>
  <c r="R358" i="17"/>
  <c r="R356" i="17"/>
  <c r="R354" i="17"/>
  <c r="R352" i="17"/>
  <c r="R321" i="17"/>
  <c r="R319" i="17"/>
  <c r="R317" i="17"/>
  <c r="R315" i="17"/>
  <c r="R313" i="17"/>
  <c r="R282" i="17"/>
  <c r="R280" i="17"/>
  <c r="R278" i="17"/>
  <c r="R276" i="17"/>
  <c r="R274" i="17"/>
  <c r="R243" i="17"/>
  <c r="R241" i="17"/>
  <c r="R239" i="17"/>
  <c r="R237" i="17"/>
  <c r="R207" i="17"/>
  <c r="R205" i="17"/>
  <c r="R203" i="17"/>
  <c r="R173" i="17"/>
  <c r="R171" i="17"/>
  <c r="R169" i="17"/>
  <c r="R139" i="17"/>
  <c r="R137" i="17"/>
  <c r="R135" i="17"/>
  <c r="R105" i="17"/>
  <c r="R103" i="17"/>
  <c r="R42" i="17"/>
  <c r="R13" i="17"/>
  <c r="R443" i="17"/>
  <c r="R441" i="17"/>
  <c r="R439" i="17"/>
  <c r="R437" i="17"/>
  <c r="R435" i="17"/>
  <c r="R433" i="17"/>
  <c r="R402" i="17"/>
  <c r="R400" i="17"/>
  <c r="R398" i="17"/>
  <c r="R396" i="17"/>
  <c r="R394" i="17"/>
  <c r="R90" i="17" a="1"/>
  <c r="R90" i="17" s="1"/>
  <c r="T90" i="17" s="1" a="1"/>
  <c r="T90" i="17" s="1"/>
  <c r="R104" i="17"/>
  <c r="R136" i="17"/>
  <c r="R140" i="17" a="1"/>
  <c r="R168" i="17"/>
  <c r="R172" i="17"/>
  <c r="R189" i="17" a="1"/>
  <c r="R189" i="17" s="1"/>
  <c r="T189" i="17" s="1" a="1"/>
  <c r="T189" i="17" s="1"/>
  <c r="R204" i="17"/>
  <c r="R208" i="17"/>
  <c r="R240" i="17"/>
  <c r="R244" i="17"/>
  <c r="R277" i="17"/>
  <c r="R281" i="17"/>
  <c r="R314" i="17"/>
  <c r="R318" i="17"/>
  <c r="R322" i="17" a="1"/>
  <c r="R351" i="17"/>
  <c r="R355" i="17"/>
  <c r="R359" i="17"/>
  <c r="R392" i="17"/>
  <c r="R29" i="17" a="1"/>
  <c r="R29" i="17" s="1"/>
  <c r="R59" i="17" a="1"/>
  <c r="R59" i="17" s="1"/>
  <c r="T59" i="17" s="1" a="1"/>
  <c r="T59" i="17" s="1"/>
  <c r="R122" i="17" a="1"/>
  <c r="R122" i="17" s="1"/>
  <c r="T122" i="17" s="1" a="1"/>
  <c r="T122" i="17" s="1"/>
  <c r="R224" i="17" a="1"/>
  <c r="R224" i="17" s="1"/>
  <c r="T224" i="17" s="1" a="1"/>
  <c r="T224" i="17" s="1"/>
  <c r="R260" i="17" a="1"/>
  <c r="R260" i="17" s="1"/>
  <c r="T260" i="17" s="1" a="1"/>
  <c r="T260" i="17" s="1"/>
  <c r="R377" i="17" a="1"/>
  <c r="R377" i="17" s="1"/>
  <c r="T377" i="17" s="1" a="1"/>
  <c r="T377" i="17" s="1"/>
  <c r="T42" i="17" l="1" a="1"/>
  <c r="T42" i="17" s="1"/>
  <c r="R322" i="17"/>
  <c r="T329" i="17" a="1"/>
  <c r="T329" i="17" s="1"/>
  <c r="R140" i="17"/>
  <c r="T147" i="17" a="1"/>
  <c r="T147" i="17" s="1"/>
  <c r="R283" i="17"/>
  <c r="T290" i="17" a="1"/>
  <c r="T290" i="17" s="1"/>
  <c r="R445" i="17"/>
  <c r="T452" i="17" a="1"/>
  <c r="T452" i="17" s="1"/>
  <c r="R107" i="17"/>
  <c r="T114" i="17" a="1"/>
  <c r="T114" i="17" s="1"/>
  <c r="R245" i="17"/>
  <c r="T252" i="17" a="1"/>
  <c r="T252" i="17" s="1"/>
  <c r="R403" i="17"/>
  <c r="T410" i="17" a="1"/>
  <c r="T410" i="17" s="1"/>
  <c r="R174" i="17"/>
  <c r="T181" i="17" a="1"/>
  <c r="T181" i="17" s="1"/>
  <c r="R75" i="17"/>
  <c r="T82" i="17" a="1"/>
  <c r="T82" i="17" s="1"/>
  <c r="R44" i="17"/>
  <c r="T51" i="17" a="1"/>
  <c r="T51" i="17" s="1"/>
  <c r="R209" i="17"/>
  <c r="T216" i="17" a="1"/>
  <c r="T216" i="17" s="1"/>
  <c r="R362" i="17"/>
  <c r="T369" i="17" a="1"/>
  <c r="T369" i="17" s="1"/>
  <c r="T237" i="17" a="1"/>
  <c r="T237" i="17" s="1"/>
  <c r="T272" i="17" a="1"/>
  <c r="T272" i="17" s="1"/>
  <c r="T306" i="17" s="1" a="1"/>
  <c r="T306" i="17" s="1"/>
  <c r="T345" i="17" s="1" a="1"/>
  <c r="T345" i="17" s="1"/>
  <c r="T385" i="17" s="1" a="1"/>
  <c r="T385" i="17" s="1"/>
  <c r="T426" i="17" s="1" a="1"/>
  <c r="T426" i="17" s="1"/>
  <c r="T312" i="17" a="1"/>
  <c r="T312" i="17" s="1"/>
  <c r="T72" i="17" a="1"/>
  <c r="T72" i="17" s="1"/>
  <c r="T351" i="17" a="1"/>
  <c r="T351" i="17" s="1"/>
  <c r="T168" i="17" a="1"/>
  <c r="T168" i="17" s="1"/>
  <c r="T103" i="17" a="1"/>
  <c r="T103" i="17" s="1"/>
  <c r="T135" i="17" a="1"/>
  <c r="T135" i="17" s="1"/>
  <c r="T391" i="17" a="1"/>
  <c r="T391" i="17" s="1"/>
  <c r="T432" i="17" a="1"/>
  <c r="T432" i="17" s="1"/>
  <c r="T202" i="17" a="1"/>
  <c r="T202" i="17" s="1"/>
  <c r="R18" i="11"/>
  <c r="B26" i="15"/>
  <c r="B25" i="15"/>
  <c r="B24" i="15"/>
  <c r="B22" i="15"/>
  <c r="B21" i="15"/>
  <c r="B20" i="15"/>
  <c r="B19" i="15"/>
  <c r="J9" i="11"/>
  <c r="B18" i="15"/>
  <c r="B17" i="15"/>
  <c r="B16" i="15"/>
  <c r="B15" i="15"/>
  <c r="B13" i="15"/>
  <c r="B12" i="15"/>
  <c r="B11" i="15"/>
  <c r="B10" i="15"/>
  <c r="B9" i="15"/>
  <c r="B8" i="15"/>
  <c r="B7" i="15"/>
  <c r="B6" i="15"/>
  <c r="B4" i="15"/>
  <c r="A2" i="15"/>
  <c r="AS18" i="7" l="1"/>
  <c r="AQ18" i="7" s="1"/>
  <c r="AO8" i="7"/>
  <c r="AO7" i="7"/>
  <c r="AQ8" i="7"/>
  <c r="J91" i="11"/>
  <c r="H91" i="11" s="1"/>
  <c r="L21" i="2"/>
  <c r="AT18" i="7" l="1"/>
  <c r="AP18" i="7"/>
  <c r="B36" i="11"/>
  <c r="AO18" i="7" l="1"/>
  <c r="DH15" i="7"/>
  <c r="DY60" i="7"/>
  <c r="DX60" i="7"/>
  <c r="BH17" i="2" l="1"/>
  <c r="BG17" i="2"/>
  <c r="I90" i="11"/>
  <c r="AS1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L20" i="7"/>
  <c r="CL21" i="7"/>
  <c r="CL6" i="7"/>
  <c r="CL7" i="7"/>
  <c r="C23" i="11"/>
  <c r="DY57" i="7"/>
  <c r="DX57" i="7"/>
  <c r="DY56" i="7"/>
  <c r="DX56" i="7"/>
  <c r="M10" i="7" l="1"/>
  <c r="T4" i="7"/>
  <c r="C24" i="11"/>
  <c r="D24" i="11"/>
  <c r="M4" i="7" s="1"/>
  <c r="F2" i="2"/>
  <c r="T3" i="7" s="1"/>
  <c r="B5" i="15" s="1"/>
  <c r="DH5" i="7" l="1"/>
  <c r="U10" i="7" l="1"/>
  <c r="AK42" i="2"/>
  <c r="BL29" i="7" s="1"/>
  <c r="BZ9" i="7"/>
  <c r="BM9" i="7"/>
  <c r="J14" i="11"/>
  <c r="B26" i="14"/>
  <c r="B9" i="14"/>
  <c r="B30" i="13"/>
  <c r="B10" i="13"/>
  <c r="BB10" i="7"/>
  <c r="AV6" i="7"/>
  <c r="AV4" i="7"/>
  <c r="BB6" i="7"/>
  <c r="BB7" i="7" s="1"/>
  <c r="BO6" i="7"/>
  <c r="BO14" i="7" s="1"/>
  <c r="BU63" i="7"/>
  <c r="BV48" i="7"/>
  <c r="BV47" i="7"/>
  <c r="BY46" i="7"/>
  <c r="BV41" i="7"/>
  <c r="BY39" i="7"/>
  <c r="BU39" i="7"/>
  <c r="BU37" i="7"/>
  <c r="BU36" i="7"/>
  <c r="BL27" i="7"/>
  <c r="BM25" i="7"/>
  <c r="BI31" i="7"/>
  <c r="BH29" i="7"/>
  <c r="BH27" i="7"/>
  <c r="BH26" i="7"/>
  <c r="BY27" i="7"/>
  <c r="BZ25" i="7"/>
  <c r="BY25" i="7" s="1"/>
  <c r="BU29" i="7"/>
  <c r="BU26" i="7"/>
  <c r="BU25" i="7"/>
  <c r="BZ31" i="7"/>
  <c r="BZ19" i="7"/>
  <c r="BZ18" i="7"/>
  <c r="BZ17" i="7"/>
  <c r="BM19" i="7"/>
  <c r="BM18" i="7"/>
  <c r="BU20" i="7"/>
  <c r="BV19" i="7"/>
  <c r="BV11" i="7"/>
  <c r="BV9" i="7"/>
  <c r="BU8" i="7"/>
  <c r="K45" i="11"/>
  <c r="BI48" i="7"/>
  <c r="BL46" i="7"/>
  <c r="BI47" i="7"/>
  <c r="J39" i="11"/>
  <c r="BH48" i="7" s="1"/>
  <c r="J37" i="11"/>
  <c r="BU47" i="7" s="1"/>
  <c r="BM31" i="7"/>
  <c r="BH25" i="7"/>
  <c r="BM17" i="7"/>
  <c r="BH20" i="7"/>
  <c r="BI19" i="7"/>
  <c r="BI17" i="7"/>
  <c r="BM11" i="7"/>
  <c r="BM10" i="7"/>
  <c r="BI11" i="7"/>
  <c r="BI9" i="7"/>
  <c r="BH8" i="7"/>
  <c r="Q19" i="11"/>
  <c r="M19" i="11"/>
  <c r="M18" i="11"/>
  <c r="N19" i="11"/>
  <c r="O19" i="11"/>
  <c r="P19" i="11"/>
  <c r="S19" i="11"/>
  <c r="T19" i="11"/>
  <c r="T18" i="11"/>
  <c r="S18" i="11"/>
  <c r="Q18" i="11"/>
  <c r="P18" i="11"/>
  <c r="O18" i="11"/>
  <c r="N18" i="11"/>
  <c r="J24" i="11"/>
  <c r="J15" i="11"/>
  <c r="BY31" i="7" s="1"/>
  <c r="AB4" i="11"/>
  <c r="Y4" i="11" s="1"/>
  <c r="AB5" i="11"/>
  <c r="Y5" i="11" s="1"/>
  <c r="AB6" i="11"/>
  <c r="Y6" i="11" s="1"/>
  <c r="AB7" i="11"/>
  <c r="Y7" i="11" s="1"/>
  <c r="AB8" i="11"/>
  <c r="Y8" i="11" s="1"/>
  <c r="AB9" i="11"/>
  <c r="Y9" i="11" s="1"/>
  <c r="AB10" i="11"/>
  <c r="Y10" i="11" s="1"/>
  <c r="AB3" i="11"/>
  <c r="Y3" i="11" s="1"/>
  <c r="X4" i="11"/>
  <c r="BL39" i="7"/>
  <c r="BI41" i="7"/>
  <c r="BH37" i="7"/>
  <c r="BH36" i="7"/>
  <c r="J34" i="11"/>
  <c r="BB9" i="7" l="1"/>
  <c r="BO10" i="7"/>
  <c r="BO9" i="7"/>
  <c r="BO7" i="7"/>
  <c r="R20" i="11"/>
  <c r="BU48" i="7"/>
  <c r="BH47" i="7"/>
  <c r="BL31" i="7"/>
  <c r="R19" i="11"/>
  <c r="BY29" i="7" s="1"/>
  <c r="BO17" i="7"/>
  <c r="BO15" i="7"/>
  <c r="BO13" i="7"/>
  <c r="BO11" i="7"/>
  <c r="BO12" i="7"/>
  <c r="BO16" i="7"/>
  <c r="BB8" i="7"/>
  <c r="BO8" i="7"/>
  <c r="X9" i="11"/>
  <c r="X7" i="11"/>
  <c r="X5" i="11"/>
  <c r="X3" i="11"/>
  <c r="X10" i="11"/>
  <c r="X8" i="11"/>
  <c r="BZ11" i="7" s="1"/>
  <c r="X6" i="11"/>
  <c r="BH39" i="7"/>
  <c r="D91" i="11"/>
  <c r="AA12" i="11" l="1"/>
  <c r="AA13" i="11"/>
  <c r="Y13" i="11"/>
  <c r="Y12" i="11"/>
  <c r="Z13" i="11" l="1"/>
  <c r="BZ8" i="7" s="1"/>
  <c r="BY8" i="7"/>
  <c r="Z12" i="11"/>
  <c r="BL8" i="7"/>
  <c r="C20" i="11"/>
  <c r="BM8" i="7" l="1"/>
  <c r="DX59" i="7" l="1"/>
  <c r="DZ56" i="7"/>
  <c r="DY59" i="7"/>
  <c r="DZ59" i="7" s="1"/>
  <c r="DZ57" i="7"/>
  <c r="DY58" i="7"/>
  <c r="DX58" i="7"/>
  <c r="DZ58" i="7" l="1"/>
  <c r="DZ60" i="7" l="1"/>
  <c r="D88" i="11"/>
  <c r="D89" i="11"/>
  <c r="D81" i="11"/>
  <c r="DN16" i="7" l="1"/>
  <c r="DQ14" i="7"/>
  <c r="DO14" i="7"/>
  <c r="DN14" i="7"/>
  <c r="DR5" i="7"/>
  <c r="DR3" i="7"/>
  <c r="AR7" i="7"/>
  <c r="AS16" i="7"/>
  <c r="AS15" i="7"/>
  <c r="AR9" i="7"/>
  <c r="AQ9" i="7" s="1"/>
  <c r="AR21" i="7"/>
  <c r="AR20" i="7"/>
  <c r="AR19" i="7"/>
  <c r="AR17" i="7"/>
  <c r="AR14" i="7"/>
  <c r="AR13" i="7"/>
  <c r="AR12" i="7"/>
  <c r="AR11" i="7"/>
  <c r="AR10" i="7"/>
  <c r="D82" i="11"/>
  <c r="F82" i="11" s="1"/>
  <c r="M6" i="7"/>
  <c r="AP9" i="7" l="1"/>
  <c r="AT9" i="7"/>
  <c r="E82" i="11"/>
  <c r="AO9" i="7" l="1"/>
  <c r="B38" i="11"/>
  <c r="C38" i="11" s="1"/>
  <c r="F38" i="11"/>
  <c r="D38" i="11" s="1"/>
  <c r="B39" i="11"/>
  <c r="C39" i="11" s="1"/>
  <c r="F39" i="11"/>
  <c r="D39" i="11" s="1"/>
  <c r="B40" i="11"/>
  <c r="C40" i="11" s="1"/>
  <c r="F40" i="11"/>
  <c r="D40" i="11" s="1"/>
  <c r="B41" i="11"/>
  <c r="C41" i="11" s="1"/>
  <c r="F41" i="11"/>
  <c r="D41" i="11" s="1"/>
  <c r="B42" i="11"/>
  <c r="C42" i="11" s="1"/>
  <c r="F42" i="11"/>
  <c r="D42" i="11" s="1"/>
  <c r="B43" i="11"/>
  <c r="C43" i="11" s="1"/>
  <c r="F43" i="11"/>
  <c r="D43" i="11" s="1"/>
  <c r="B44" i="11"/>
  <c r="C44" i="11" s="1"/>
  <c r="F44" i="11"/>
  <c r="D44" i="11" s="1"/>
  <c r="B45" i="11"/>
  <c r="C45" i="11" s="1"/>
  <c r="F45" i="11"/>
  <c r="D45" i="11" s="1"/>
  <c r="B46" i="11"/>
  <c r="C46" i="11" s="1"/>
  <c r="F46" i="11"/>
  <c r="D46" i="11" s="1"/>
  <c r="B47" i="11"/>
  <c r="C47" i="11" s="1"/>
  <c r="F47" i="11"/>
  <c r="D47" i="11" s="1"/>
  <c r="B48" i="11"/>
  <c r="C48" i="11" s="1"/>
  <c r="F48" i="11"/>
  <c r="D48" i="11" s="1"/>
  <c r="B49" i="11"/>
  <c r="C49" i="11" s="1"/>
  <c r="F49" i="11"/>
  <c r="D49" i="11" s="1"/>
  <c r="B50" i="11"/>
  <c r="C50" i="11" s="1"/>
  <c r="F50" i="11"/>
  <c r="D50" i="11" s="1"/>
  <c r="B51" i="11"/>
  <c r="C51" i="11" s="1"/>
  <c r="F51" i="11"/>
  <c r="D51" i="11" s="1"/>
  <c r="B52" i="11"/>
  <c r="C52" i="11" s="1"/>
  <c r="F52" i="11"/>
  <c r="D52" i="11" s="1"/>
  <c r="B53" i="11"/>
  <c r="C53" i="11" s="1"/>
  <c r="F53" i="11"/>
  <c r="D53" i="11" s="1"/>
  <c r="B54" i="11"/>
  <c r="C54" i="11" s="1"/>
  <c r="F54" i="11"/>
  <c r="D54" i="11" s="1"/>
  <c r="B55" i="11"/>
  <c r="C55" i="11" s="1"/>
  <c r="F55" i="11"/>
  <c r="D55" i="11" s="1"/>
  <c r="B56" i="11"/>
  <c r="C56" i="11" s="1"/>
  <c r="F56" i="11"/>
  <c r="D56" i="11" s="1"/>
  <c r="B57" i="11"/>
  <c r="C57" i="11" s="1"/>
  <c r="F57" i="11"/>
  <c r="D57" i="11" s="1"/>
  <c r="B58" i="11"/>
  <c r="C58" i="11" s="1"/>
  <c r="F58" i="11"/>
  <c r="D58" i="11" s="1"/>
  <c r="B59" i="11"/>
  <c r="C59" i="11" s="1"/>
  <c r="F59" i="11"/>
  <c r="D59" i="11" s="1"/>
  <c r="B60" i="11"/>
  <c r="C60" i="11" s="1"/>
  <c r="F60" i="11"/>
  <c r="D60" i="11" s="1"/>
  <c r="B61" i="11"/>
  <c r="C61" i="11" s="1"/>
  <c r="F61" i="11"/>
  <c r="D61" i="11" s="1"/>
  <c r="B62" i="11"/>
  <c r="C62" i="11" s="1"/>
  <c r="F62" i="11"/>
  <c r="D62" i="11" s="1"/>
  <c r="B63" i="11"/>
  <c r="C63" i="11" s="1"/>
  <c r="F63" i="11"/>
  <c r="D63" i="11" s="1"/>
  <c r="B64" i="11"/>
  <c r="C64" i="11" s="1"/>
  <c r="F64" i="11"/>
  <c r="D64" i="11" s="1"/>
  <c r="B65" i="11"/>
  <c r="C65" i="11" s="1"/>
  <c r="F65" i="11"/>
  <c r="D65" i="11" s="1"/>
  <c r="B66" i="11"/>
  <c r="C66" i="11" s="1"/>
  <c r="F66" i="11"/>
  <c r="D66" i="11" s="1"/>
  <c r="B67" i="11"/>
  <c r="C67" i="11" s="1"/>
  <c r="F67" i="11"/>
  <c r="D67" i="11" s="1"/>
  <c r="B68" i="11"/>
  <c r="C68" i="11" s="1"/>
  <c r="F68" i="11"/>
  <c r="D68" i="11" s="1"/>
  <c r="B69" i="11"/>
  <c r="C69" i="11" s="1"/>
  <c r="F69" i="11"/>
  <c r="D69" i="11" s="1"/>
  <c r="B70" i="11"/>
  <c r="C70" i="11" s="1"/>
  <c r="F70" i="11"/>
  <c r="D70" i="11" s="1"/>
  <c r="B71" i="11"/>
  <c r="C71" i="11" s="1"/>
  <c r="F71" i="11"/>
  <c r="D71" i="11" s="1"/>
  <c r="B72" i="11"/>
  <c r="C72" i="11" s="1"/>
  <c r="F72" i="11"/>
  <c r="D72" i="11" s="1"/>
  <c r="B73" i="11"/>
  <c r="C73" i="11" s="1"/>
  <c r="F73" i="11"/>
  <c r="D73" i="11" s="1"/>
  <c r="B37" i="11"/>
  <c r="C37" i="11" s="1"/>
  <c r="F37" i="11"/>
  <c r="D37" i="11" s="1"/>
  <c r="F36" i="11"/>
  <c r="D36" i="11" s="1"/>
  <c r="C36" i="11"/>
  <c r="B31" i="14" l="1"/>
  <c r="B30" i="14"/>
  <c r="B15" i="14"/>
  <c r="B14" i="14"/>
  <c r="B37" i="13"/>
  <c r="B36" i="13"/>
  <c r="B18" i="13"/>
  <c r="B17" i="13"/>
  <c r="B25" i="14"/>
  <c r="B11" i="14"/>
  <c r="B27" i="14"/>
  <c r="B28" i="14"/>
  <c r="B16" i="14" l="1"/>
  <c r="B24" i="14"/>
  <c r="B23" i="14"/>
  <c r="B22" i="14"/>
  <c r="B20" i="14"/>
  <c r="B12" i="14"/>
  <c r="B15" i="13"/>
  <c r="B12" i="13"/>
  <c r="B10" i="14"/>
  <c r="B8" i="14"/>
  <c r="B7" i="14"/>
  <c r="B6" i="14"/>
  <c r="B5" i="14"/>
  <c r="B3" i="14"/>
  <c r="B26" i="13"/>
  <c r="B6" i="13"/>
  <c r="D86" i="11"/>
  <c r="D92" i="11"/>
  <c r="D90" i="11"/>
  <c r="D87" i="11"/>
  <c r="D85" i="11"/>
  <c r="D84" i="11"/>
  <c r="D83" i="11"/>
  <c r="J10" i="11"/>
  <c r="J8" i="11"/>
  <c r="J6" i="11"/>
  <c r="U18" i="7"/>
  <c r="U9" i="7"/>
  <c r="T9" i="7"/>
  <c r="J30" i="11"/>
  <c r="BU41" i="7" s="1"/>
  <c r="DN7" i="7"/>
  <c r="B34" i="13"/>
  <c r="B33" i="13"/>
  <c r="B32" i="13"/>
  <c r="B31" i="13"/>
  <c r="BU19" i="7" l="1"/>
  <c r="BH19" i="7"/>
  <c r="BL9" i="7"/>
  <c r="BY9" i="7"/>
  <c r="BL11" i="7"/>
  <c r="BY11" i="7"/>
  <c r="BH41" i="7"/>
  <c r="B29" i="13"/>
  <c r="B27" i="13"/>
  <c r="B25" i="13"/>
  <c r="B23" i="13"/>
  <c r="B14" i="13"/>
  <c r="B13" i="13"/>
  <c r="B8" i="13" s="1"/>
  <c r="B11" i="13"/>
  <c r="B9" i="13"/>
  <c r="B7" i="13"/>
  <c r="B5" i="13"/>
  <c r="B3" i="13"/>
  <c r="B28" i="13"/>
  <c r="DO7" i="7"/>
  <c r="U5" i="2"/>
  <c r="C81" i="11" s="1"/>
  <c r="U4" i="2"/>
  <c r="G81" i="11" l="1"/>
  <c r="B32" i="14"/>
  <c r="B38" i="13"/>
  <c r="B19" i="13"/>
  <c r="DZ44" i="7" l="1"/>
  <c r="CP14" i="7"/>
  <c r="CQ14" i="7"/>
  <c r="CR14" i="7"/>
  <c r="CS14" i="7"/>
  <c r="CT14" i="7"/>
  <c r="CU14" i="7"/>
  <c r="CP15" i="7"/>
  <c r="CQ15" i="7"/>
  <c r="CR15" i="7"/>
  <c r="CS15" i="7"/>
  <c r="CT15" i="7"/>
  <c r="CU15" i="7"/>
  <c r="CP16" i="7"/>
  <c r="CQ16" i="7"/>
  <c r="CR16" i="7"/>
  <c r="CS16" i="7"/>
  <c r="CT16" i="7"/>
  <c r="CU16" i="7"/>
  <c r="CP17" i="7"/>
  <c r="CQ17" i="7"/>
  <c r="CR17" i="7"/>
  <c r="CS17" i="7"/>
  <c r="CT17" i="7"/>
  <c r="CU17" i="7"/>
  <c r="CP18" i="7"/>
  <c r="CQ18" i="7"/>
  <c r="CR18" i="7"/>
  <c r="CS18" i="7"/>
  <c r="CT18" i="7"/>
  <c r="CU18" i="7"/>
  <c r="CP19" i="7"/>
  <c r="CQ19" i="7"/>
  <c r="CR19" i="7"/>
  <c r="CS19" i="7"/>
  <c r="CT19" i="7"/>
  <c r="CU19" i="7"/>
  <c r="CP20" i="7"/>
  <c r="CQ20" i="7"/>
  <c r="CR20" i="7"/>
  <c r="CS20" i="7"/>
  <c r="CT20" i="7"/>
  <c r="CU20" i="7"/>
  <c r="CP21" i="7"/>
  <c r="CQ21" i="7"/>
  <c r="CR21" i="7"/>
  <c r="CS21" i="7"/>
  <c r="CT21" i="7"/>
  <c r="CU21" i="7"/>
  <c r="CP22" i="7"/>
  <c r="CQ22" i="7"/>
  <c r="CR22" i="7"/>
  <c r="CS22" i="7"/>
  <c r="CT22" i="7"/>
  <c r="CU22" i="7"/>
  <c r="CP23" i="7"/>
  <c r="CQ23" i="7"/>
  <c r="CR23" i="7"/>
  <c r="CS23" i="7"/>
  <c r="CT23" i="7"/>
  <c r="CU23" i="7"/>
  <c r="CP24" i="7"/>
  <c r="CQ24" i="7"/>
  <c r="CR24" i="7"/>
  <c r="CS24" i="7"/>
  <c r="CT24" i="7"/>
  <c r="CU24" i="7"/>
  <c r="CP25" i="7"/>
  <c r="CQ25" i="7"/>
  <c r="CR25" i="7"/>
  <c r="CS25" i="7"/>
  <c r="CT25" i="7"/>
  <c r="CU25" i="7"/>
  <c r="CP26" i="7"/>
  <c r="CQ26" i="7"/>
  <c r="CR26" i="7"/>
  <c r="CS26" i="7"/>
  <c r="CT26" i="7"/>
  <c r="CU26" i="7"/>
  <c r="CP27" i="7"/>
  <c r="CQ27" i="7"/>
  <c r="CR27" i="7"/>
  <c r="CS27" i="7"/>
  <c r="CT27" i="7"/>
  <c r="CU27" i="7"/>
  <c r="CP28" i="7"/>
  <c r="CQ28" i="7"/>
  <c r="CR28" i="7"/>
  <c r="CS28" i="7"/>
  <c r="CT28" i="7"/>
  <c r="CU28" i="7"/>
  <c r="CP29" i="7"/>
  <c r="CQ29" i="7"/>
  <c r="CR29" i="7"/>
  <c r="CS29" i="7"/>
  <c r="CT29" i="7"/>
  <c r="CU29" i="7"/>
  <c r="CP30" i="7"/>
  <c r="CQ30" i="7"/>
  <c r="CR30" i="7"/>
  <c r="CS30" i="7"/>
  <c r="CT30" i="7"/>
  <c r="CU30" i="7"/>
  <c r="CP31" i="7"/>
  <c r="CQ31" i="7"/>
  <c r="CR31" i="7"/>
  <c r="CS31" i="7"/>
  <c r="CT31" i="7"/>
  <c r="CU31" i="7"/>
  <c r="CP32" i="7"/>
  <c r="CQ32" i="7"/>
  <c r="CR32" i="7"/>
  <c r="CS32" i="7"/>
  <c r="CT32" i="7"/>
  <c r="CU32" i="7"/>
  <c r="CP33" i="7"/>
  <c r="CQ33" i="7"/>
  <c r="CR33" i="7"/>
  <c r="CS33" i="7"/>
  <c r="CT33" i="7"/>
  <c r="CU33" i="7"/>
  <c r="CP34" i="7"/>
  <c r="CQ34" i="7"/>
  <c r="CR34" i="7"/>
  <c r="CS34" i="7"/>
  <c r="CT34" i="7"/>
  <c r="CU34" i="7"/>
  <c r="CP35" i="7"/>
  <c r="CQ35" i="7"/>
  <c r="CR35" i="7"/>
  <c r="CS35" i="7"/>
  <c r="CT35" i="7"/>
  <c r="CU35" i="7"/>
  <c r="CP36" i="7"/>
  <c r="CQ36" i="7"/>
  <c r="CR36" i="7"/>
  <c r="CS36" i="7"/>
  <c r="CT36" i="7"/>
  <c r="CU36" i="7"/>
  <c r="CP37" i="7"/>
  <c r="CQ37" i="7"/>
  <c r="CR37" i="7"/>
  <c r="CS37" i="7"/>
  <c r="CT37" i="7"/>
  <c r="CU37" i="7"/>
  <c r="CU13" i="7"/>
  <c r="CT13" i="7"/>
  <c r="CS13" i="7"/>
  <c r="CR13" i="7"/>
  <c r="CQ13" i="7"/>
  <c r="CP13" i="7"/>
  <c r="CP11" i="7" s="1"/>
  <c r="CK5" i="7"/>
  <c r="CK4" i="7"/>
  <c r="CK2" i="7"/>
  <c r="K3" i="11" l="1"/>
  <c r="BI8" i="7" l="1"/>
  <c r="BV8" i="7"/>
  <c r="AT15" i="7"/>
  <c r="AT16" i="7"/>
  <c r="AT8" i="7"/>
  <c r="AP15" i="7"/>
  <c r="DH12" i="7" s="1"/>
  <c r="AP16" i="7"/>
  <c r="DH13" i="7" s="1"/>
  <c r="AQ11" i="7"/>
  <c r="AP12" i="7"/>
  <c r="DH9" i="7" s="1"/>
  <c r="AQ14" i="7"/>
  <c r="AQ17" i="7"/>
  <c r="AQ19" i="7"/>
  <c r="AP4" i="7"/>
  <c r="AS4" i="7" s="1"/>
  <c r="AP3" i="7"/>
  <c r="AS3" i="7" l="1"/>
  <c r="AP13" i="7"/>
  <c r="DH10" i="7" s="1"/>
  <c r="AQ12" i="7"/>
  <c r="AQ15" i="7"/>
  <c r="AQ16" i="7"/>
  <c r="AP11" i="7"/>
  <c r="AP20" i="7"/>
  <c r="AP14" i="7"/>
  <c r="DH11" i="7" s="1"/>
  <c r="AQ13" i="7"/>
  <c r="AQ20" i="7"/>
  <c r="AP19" i="7"/>
  <c r="AP17" i="7"/>
  <c r="DH14" i="7" s="1"/>
  <c r="AQ7" i="7"/>
  <c r="AH5" i="7"/>
  <c r="DX5" i="7" s="1"/>
  <c r="AG5" i="7"/>
  <c r="DW5" i="7" s="1"/>
  <c r="AE6" i="7"/>
  <c r="D30" i="11"/>
  <c r="AB10" i="7" s="1"/>
  <c r="AA10" i="7"/>
  <c r="U19" i="7"/>
  <c r="E16" i="11" s="1"/>
  <c r="S11" i="7" s="1"/>
  <c r="X15" i="7"/>
  <c r="T15" i="7"/>
  <c r="T14" i="7"/>
  <c r="T12" i="7"/>
  <c r="X11" i="7"/>
  <c r="U7" i="7"/>
  <c r="U8" i="7"/>
  <c r="T10" i="7"/>
  <c r="T8" i="7"/>
  <c r="T7" i="7"/>
  <c r="T6" i="7"/>
  <c r="T5" i="7"/>
  <c r="DX47" i="7"/>
  <c r="D8" i="11"/>
  <c r="U5" i="7" s="1"/>
  <c r="M7" i="7"/>
  <c r="K31" i="11"/>
  <c r="BZ39" i="7" s="1"/>
  <c r="CS5" i="7" l="1"/>
  <c r="CU5" i="7" s="1"/>
  <c r="AO20" i="7"/>
  <c r="DH17" i="7"/>
  <c r="BM39" i="7"/>
  <c r="C5" i="11"/>
  <c r="J45" i="11" s="1"/>
  <c r="Q21" i="11" s="1"/>
  <c r="J13" i="11"/>
  <c r="J12" i="11"/>
  <c r="BH17" i="7"/>
  <c r="J7" i="11"/>
  <c r="BL10" i="7" s="1"/>
  <c r="J5" i="11"/>
  <c r="J4" i="11"/>
  <c r="D25" i="11"/>
  <c r="C25" i="11" s="1"/>
  <c r="D17" i="11"/>
  <c r="U12" i="7" s="1"/>
  <c r="BY17" i="7" l="1"/>
  <c r="BL17" i="7"/>
  <c r="BL19" i="7"/>
  <c r="BY19" i="7"/>
  <c r="BL18" i="7"/>
  <c r="BY18" i="7"/>
  <c r="BH9" i="7"/>
  <c r="BU9" i="7"/>
  <c r="BU58" i="7"/>
  <c r="R21" i="11"/>
  <c r="BH31" i="7"/>
  <c r="BL25" i="7"/>
  <c r="BH58" i="7"/>
  <c r="D9" i="11"/>
  <c r="U6" i="7" s="1"/>
  <c r="AQ21" i="7" l="1"/>
  <c r="AT21" i="7"/>
  <c r="AP21" i="7"/>
  <c r="F90" i="11"/>
  <c r="E90" i="11" s="1"/>
  <c r="AT17" i="7" s="1"/>
  <c r="F88" i="11"/>
  <c r="E88" i="11" s="1"/>
  <c r="F92" i="11"/>
  <c r="E92" i="11" s="1"/>
  <c r="AT19" i="7" s="1"/>
  <c r="AT20" i="7"/>
  <c r="AO21" i="7" l="1"/>
  <c r="DH18" i="7"/>
  <c r="AQ10" i="7"/>
  <c r="AP10" i="7"/>
  <c r="F85" i="11"/>
  <c r="E85" i="11" s="1"/>
  <c r="AT12" i="7" s="1"/>
  <c r="F83" i="11"/>
  <c r="E83" i="11" s="1"/>
  <c r="AT10" i="7" s="1"/>
  <c r="F84" i="11"/>
  <c r="E84" i="11" s="1"/>
  <c r="AT11" i="7" s="1"/>
  <c r="F87" i="11"/>
  <c r="E87" i="11" s="1"/>
  <c r="AT14" i="7" s="1"/>
  <c r="AP7" i="7"/>
  <c r="DH4" i="7" s="1"/>
  <c r="R28" i="12"/>
  <c r="T27" i="12"/>
  <c r="S27" i="12"/>
  <c r="R27" i="12"/>
  <c r="O27" i="12"/>
  <c r="N27" i="12"/>
  <c r="M27" i="12"/>
  <c r="L27" i="12"/>
  <c r="K27" i="12"/>
  <c r="J27" i="12"/>
  <c r="I27" i="12"/>
  <c r="CV37" i="7" s="1"/>
  <c r="B27" i="12"/>
  <c r="T26" i="12"/>
  <c r="S26" i="12"/>
  <c r="R26" i="12"/>
  <c r="O26" i="12"/>
  <c r="N26" i="12"/>
  <c r="M26" i="12"/>
  <c r="L26" i="12"/>
  <c r="K26" i="12"/>
  <c r="J26" i="12"/>
  <c r="I26" i="12"/>
  <c r="CV36" i="7" s="1"/>
  <c r="B26" i="12"/>
  <c r="T25" i="12"/>
  <c r="S25" i="12"/>
  <c r="R25" i="12"/>
  <c r="O25" i="12"/>
  <c r="N25" i="12"/>
  <c r="M25" i="12"/>
  <c r="L25" i="12"/>
  <c r="K25" i="12"/>
  <c r="J25" i="12"/>
  <c r="I25" i="12"/>
  <c r="CV35" i="7" s="1"/>
  <c r="B25" i="12"/>
  <c r="T24" i="12"/>
  <c r="S24" i="12"/>
  <c r="R24" i="12"/>
  <c r="O24" i="12"/>
  <c r="N24" i="12"/>
  <c r="M24" i="12"/>
  <c r="L24" i="12"/>
  <c r="K24" i="12"/>
  <c r="J24" i="12"/>
  <c r="I24" i="12"/>
  <c r="CV34" i="7" s="1"/>
  <c r="B24" i="12"/>
  <c r="T23" i="12"/>
  <c r="S23" i="12"/>
  <c r="R23" i="12"/>
  <c r="O23" i="12"/>
  <c r="N23" i="12"/>
  <c r="M23" i="12"/>
  <c r="L23" i="12"/>
  <c r="K23" i="12"/>
  <c r="J23" i="12"/>
  <c r="I23" i="12"/>
  <c r="CV33" i="7" s="1"/>
  <c r="B23" i="12"/>
  <c r="T22" i="12"/>
  <c r="S22" i="12"/>
  <c r="R22" i="12"/>
  <c r="O22" i="12"/>
  <c r="N22" i="12"/>
  <c r="M22" i="12"/>
  <c r="L22" i="12"/>
  <c r="K22" i="12"/>
  <c r="J22" i="12"/>
  <c r="I22" i="12"/>
  <c r="CV32" i="7" s="1"/>
  <c r="B22" i="12"/>
  <c r="T21" i="12"/>
  <c r="S21" i="12"/>
  <c r="R21" i="12"/>
  <c r="O21" i="12"/>
  <c r="N21" i="12"/>
  <c r="M21" i="12"/>
  <c r="L21" i="12"/>
  <c r="K21" i="12"/>
  <c r="J21" i="12"/>
  <c r="I21" i="12"/>
  <c r="CV31" i="7" s="1"/>
  <c r="B21" i="12"/>
  <c r="T20" i="12"/>
  <c r="S20" i="12"/>
  <c r="R20" i="12"/>
  <c r="O20" i="12"/>
  <c r="N20" i="12"/>
  <c r="M20" i="12"/>
  <c r="L20" i="12"/>
  <c r="K20" i="12"/>
  <c r="J20" i="12"/>
  <c r="I20" i="12"/>
  <c r="CV30" i="7" s="1"/>
  <c r="B20" i="12"/>
  <c r="T19" i="12"/>
  <c r="S19" i="12"/>
  <c r="R19" i="12"/>
  <c r="O19" i="12"/>
  <c r="N19" i="12"/>
  <c r="M19" i="12"/>
  <c r="L19" i="12"/>
  <c r="K19" i="12"/>
  <c r="J19" i="12"/>
  <c r="I19" i="12"/>
  <c r="CV29" i="7" s="1"/>
  <c r="B19" i="12"/>
  <c r="T18" i="12"/>
  <c r="S18" i="12"/>
  <c r="R18" i="12"/>
  <c r="O18" i="12"/>
  <c r="N18" i="12"/>
  <c r="M18" i="12"/>
  <c r="L18" i="12"/>
  <c r="K18" i="12"/>
  <c r="J18" i="12"/>
  <c r="I18" i="12"/>
  <c r="CV28" i="7" s="1"/>
  <c r="B18" i="12"/>
  <c r="T17" i="12"/>
  <c r="S17" i="12"/>
  <c r="R17" i="12"/>
  <c r="O17" i="12"/>
  <c r="N17" i="12"/>
  <c r="M17" i="12"/>
  <c r="L17" i="12"/>
  <c r="K17" i="12"/>
  <c r="J17" i="12"/>
  <c r="I17" i="12"/>
  <c r="CV27" i="7" s="1"/>
  <c r="B17" i="12"/>
  <c r="T16" i="12"/>
  <c r="S16" i="12"/>
  <c r="R16" i="12"/>
  <c r="O16" i="12"/>
  <c r="N16" i="12"/>
  <c r="M16" i="12"/>
  <c r="L16" i="12"/>
  <c r="K16" i="12"/>
  <c r="J16" i="12"/>
  <c r="I16" i="12"/>
  <c r="CV26" i="7" s="1"/>
  <c r="B16" i="12"/>
  <c r="T15" i="12"/>
  <c r="S15" i="12"/>
  <c r="R15" i="12"/>
  <c r="O15" i="12"/>
  <c r="N15" i="12"/>
  <c r="M15" i="12"/>
  <c r="L15" i="12"/>
  <c r="K15" i="12"/>
  <c r="J15" i="12"/>
  <c r="I15" i="12"/>
  <c r="CV25" i="7" s="1"/>
  <c r="B15" i="12"/>
  <c r="T14" i="12"/>
  <c r="S14" i="12"/>
  <c r="R14" i="12"/>
  <c r="O14" i="12"/>
  <c r="N14" i="12"/>
  <c r="M14" i="12"/>
  <c r="L14" i="12"/>
  <c r="K14" i="12"/>
  <c r="J14" i="12"/>
  <c r="I14" i="12"/>
  <c r="CV24" i="7" s="1"/>
  <c r="B14" i="12"/>
  <c r="T13" i="12"/>
  <c r="S13" i="12"/>
  <c r="R13" i="12"/>
  <c r="O13" i="12"/>
  <c r="N13" i="12"/>
  <c r="M13" i="12"/>
  <c r="L13" i="12"/>
  <c r="K13" i="12"/>
  <c r="J13" i="12"/>
  <c r="I13" i="12"/>
  <c r="CV23" i="7" s="1"/>
  <c r="B13" i="12"/>
  <c r="T12" i="12"/>
  <c r="S12" i="12"/>
  <c r="R12" i="12"/>
  <c r="O12" i="12"/>
  <c r="N12" i="12"/>
  <c r="M12" i="12"/>
  <c r="L12" i="12"/>
  <c r="K12" i="12"/>
  <c r="J12" i="12"/>
  <c r="I12" i="12"/>
  <c r="CV22" i="7" s="1"/>
  <c r="B12" i="12"/>
  <c r="T11" i="12"/>
  <c r="S11" i="12"/>
  <c r="R11" i="12"/>
  <c r="O11" i="12"/>
  <c r="N11" i="12"/>
  <c r="M11" i="12"/>
  <c r="L11" i="12"/>
  <c r="K11" i="12"/>
  <c r="J11" i="12"/>
  <c r="I11" i="12"/>
  <c r="CV21" i="7" s="1"/>
  <c r="B11" i="12"/>
  <c r="T10" i="12"/>
  <c r="S10" i="12"/>
  <c r="R10" i="12"/>
  <c r="O10" i="12"/>
  <c r="N10" i="12"/>
  <c r="M10" i="12"/>
  <c r="L10" i="12"/>
  <c r="K10" i="12"/>
  <c r="J10" i="12"/>
  <c r="I10" i="12"/>
  <c r="CV20" i="7" s="1"/>
  <c r="B10" i="12"/>
  <c r="T9" i="12"/>
  <c r="S9" i="12"/>
  <c r="R9" i="12"/>
  <c r="O9" i="12"/>
  <c r="N9" i="12"/>
  <c r="M9" i="12"/>
  <c r="L9" i="12"/>
  <c r="K9" i="12"/>
  <c r="J9" i="12"/>
  <c r="I9" i="12"/>
  <c r="CV19" i="7" s="1"/>
  <c r="B9" i="12"/>
  <c r="T8" i="12"/>
  <c r="S8" i="12"/>
  <c r="R8" i="12"/>
  <c r="O8" i="12"/>
  <c r="N8" i="12"/>
  <c r="M8" i="12"/>
  <c r="L8" i="12"/>
  <c r="K8" i="12"/>
  <c r="J8" i="12"/>
  <c r="I8" i="12"/>
  <c r="CV18" i="7" s="1"/>
  <c r="B8" i="12"/>
  <c r="T7" i="12"/>
  <c r="S7" i="12"/>
  <c r="R7" i="12"/>
  <c r="O7" i="12"/>
  <c r="N7" i="12"/>
  <c r="M7" i="12"/>
  <c r="L7" i="12"/>
  <c r="K7" i="12"/>
  <c r="J7" i="12"/>
  <c r="I7" i="12"/>
  <c r="CV17" i="7" s="1"/>
  <c r="B7" i="12"/>
  <c r="T6" i="12"/>
  <c r="S6" i="12"/>
  <c r="R6" i="12"/>
  <c r="O6" i="12"/>
  <c r="N6" i="12"/>
  <c r="M6" i="12"/>
  <c r="L6" i="12"/>
  <c r="K6" i="12"/>
  <c r="J6" i="12"/>
  <c r="I6" i="12"/>
  <c r="CV16" i="7" s="1"/>
  <c r="B6" i="12"/>
  <c r="T5" i="12"/>
  <c r="S5" i="12"/>
  <c r="R5" i="12"/>
  <c r="O5" i="12"/>
  <c r="N5" i="12"/>
  <c r="M5" i="12"/>
  <c r="L5" i="12"/>
  <c r="K5" i="12"/>
  <c r="J5" i="12"/>
  <c r="I5" i="12"/>
  <c r="CV15" i="7" s="1"/>
  <c r="B5" i="12"/>
  <c r="T4" i="12"/>
  <c r="S4" i="12"/>
  <c r="R4" i="12"/>
  <c r="O4" i="12"/>
  <c r="N4" i="12"/>
  <c r="M4" i="12"/>
  <c r="L4" i="12"/>
  <c r="K4" i="12"/>
  <c r="J4" i="12"/>
  <c r="I4" i="12"/>
  <c r="CV14" i="7" s="1"/>
  <c r="B4" i="12"/>
  <c r="T3" i="12"/>
  <c r="N3" i="12"/>
  <c r="M3" i="12"/>
  <c r="L3" i="12"/>
  <c r="K3" i="12"/>
  <c r="J3" i="12"/>
  <c r="I3" i="12"/>
  <c r="B3" i="12"/>
  <c r="T2" i="12"/>
  <c r="C26" i="11"/>
  <c r="DQ3" i="7" s="1"/>
  <c r="AO10" i="7" l="1"/>
  <c r="AO11" i="7" s="1"/>
  <c r="AO12" i="7" s="1"/>
  <c r="AO13" i="7" s="1"/>
  <c r="AO14" i="7" s="1"/>
  <c r="AO15" i="7" s="1"/>
  <c r="AO16" i="7" s="1"/>
  <c r="AO17" i="7" s="1"/>
  <c r="I28" i="12"/>
  <c r="I30" i="12" s="1"/>
  <c r="CV13" i="7"/>
  <c r="F91" i="11"/>
  <c r="E91" i="11" s="1"/>
  <c r="R3" i="12"/>
  <c r="S3" i="12"/>
  <c r="AO19" i="7" l="1"/>
  <c r="C22" i="11"/>
  <c r="C21" i="11"/>
  <c r="T18" i="7" s="1"/>
  <c r="C14" i="11"/>
  <c r="W11" i="7" s="1"/>
  <c r="C13" i="11"/>
  <c r="E19" i="11"/>
  <c r="F89" i="11"/>
  <c r="E89" i="11" s="1"/>
  <c r="F86" i="11"/>
  <c r="E86" i="11" s="1"/>
  <c r="AT13" i="7" s="1"/>
  <c r="C77" i="11"/>
  <c r="DX52" i="7" s="1"/>
  <c r="C76" i="11"/>
  <c r="DZ52" i="7" s="1"/>
  <c r="G74" i="11"/>
  <c r="AL42" i="7"/>
  <c r="EB42" i="7" s="1"/>
  <c r="AL41" i="7"/>
  <c r="EB41" i="7" s="1"/>
  <c r="AL40" i="7"/>
  <c r="EB40" i="7" s="1"/>
  <c r="AL39" i="7"/>
  <c r="EB39" i="7" s="1"/>
  <c r="AL38" i="7"/>
  <c r="EB38" i="7" s="1"/>
  <c r="AL37" i="7"/>
  <c r="EB37" i="7" s="1"/>
  <c r="AL36" i="7"/>
  <c r="EB36" i="7" s="1"/>
  <c r="AL35" i="7"/>
  <c r="EB35" i="7" s="1"/>
  <c r="AL34" i="7"/>
  <c r="EB34" i="7" s="1"/>
  <c r="AL33" i="7"/>
  <c r="EB33" i="7" s="1"/>
  <c r="AL32" i="7"/>
  <c r="EB32" i="7" s="1"/>
  <c r="AL31" i="7"/>
  <c r="EB31" i="7" s="1"/>
  <c r="AL30" i="7"/>
  <c r="EB30" i="7" s="1"/>
  <c r="AL29" i="7"/>
  <c r="EB29" i="7" s="1"/>
  <c r="AL28" i="7"/>
  <c r="EB28" i="7" s="1"/>
  <c r="AL27" i="7"/>
  <c r="EB27" i="7" s="1"/>
  <c r="AL26" i="7"/>
  <c r="EB26" i="7" s="1"/>
  <c r="AL25" i="7"/>
  <c r="EB25" i="7" s="1"/>
  <c r="AL24" i="7"/>
  <c r="EB24" i="7" s="1"/>
  <c r="AL23" i="7"/>
  <c r="EB23" i="7" s="1"/>
  <c r="AL22" i="7"/>
  <c r="EB22" i="7" s="1"/>
  <c r="AL21" i="7"/>
  <c r="EB21" i="7" s="1"/>
  <c r="AL20" i="7"/>
  <c r="EB20" i="7" s="1"/>
  <c r="AL19" i="7"/>
  <c r="EB19" i="7" s="1"/>
  <c r="AL18" i="7"/>
  <c r="EB18" i="7" s="1"/>
  <c r="AL17" i="7"/>
  <c r="EB17" i="7" s="1"/>
  <c r="AL16" i="7"/>
  <c r="EB16" i="7" s="1"/>
  <c r="AL15" i="7"/>
  <c r="EB15" i="7" s="1"/>
  <c r="AL14" i="7"/>
  <c r="EB14" i="7" s="1"/>
  <c r="AL13" i="7"/>
  <c r="EB13" i="7" s="1"/>
  <c r="AL12" i="7"/>
  <c r="EB12" i="7" s="1"/>
  <c r="AL11" i="7"/>
  <c r="EB11" i="7" s="1"/>
  <c r="AL10" i="7"/>
  <c r="EB10" i="7" s="1"/>
  <c r="AL9" i="7"/>
  <c r="EB9" i="7" s="1"/>
  <c r="AL8" i="7"/>
  <c r="EB8" i="7" s="1"/>
  <c r="AL7" i="7"/>
  <c r="EB7" i="7" s="1"/>
  <c r="AL6" i="7"/>
  <c r="EB6" i="7" s="1"/>
  <c r="AL5" i="7"/>
  <c r="D31" i="11"/>
  <c r="C29" i="11"/>
  <c r="BU11" i="7" l="1"/>
  <c r="B14" i="15"/>
  <c r="DX53" i="7"/>
  <c r="E77" i="11"/>
  <c r="E76" i="11"/>
  <c r="F81" i="11"/>
  <c r="E81" i="11" s="1"/>
  <c r="AT7" i="7" s="1"/>
  <c r="BH11" i="7"/>
  <c r="D74" i="11"/>
  <c r="AI7" i="7"/>
  <c r="DY7" i="7" s="1"/>
  <c r="AJ7" i="7"/>
  <c r="DZ7" i="7" s="1"/>
  <c r="AI8" i="7"/>
  <c r="DY8" i="7" s="1"/>
  <c r="AJ8" i="7"/>
  <c r="DZ8" i="7" s="1"/>
  <c r="D28" i="11"/>
  <c r="AB3" i="7" s="1"/>
  <c r="AE3" i="7"/>
  <c r="AI5" i="7"/>
  <c r="DY5" i="7" s="1"/>
  <c r="AJ5" i="7"/>
  <c r="DZ5" i="7" s="1"/>
  <c r="AI6" i="7"/>
  <c r="DY6" i="7" s="1"/>
  <c r="AJ6" i="7"/>
  <c r="DZ6" i="7" s="1"/>
  <c r="AI9" i="7"/>
  <c r="DY9" i="7" s="1"/>
  <c r="AJ9" i="7"/>
  <c r="DZ9" i="7" s="1"/>
  <c r="AI10" i="7"/>
  <c r="DY10" i="7" s="1"/>
  <c r="AJ10" i="7"/>
  <c r="DZ10" i="7" s="1"/>
  <c r="AI11" i="7"/>
  <c r="DY11" i="7" s="1"/>
  <c r="AJ11" i="7"/>
  <c r="DZ11" i="7" s="1"/>
  <c r="AI12" i="7"/>
  <c r="DY12" i="7" s="1"/>
  <c r="AJ12" i="7"/>
  <c r="DZ12" i="7" s="1"/>
  <c r="AI13" i="7"/>
  <c r="DY13" i="7" s="1"/>
  <c r="AJ13" i="7"/>
  <c r="DZ13" i="7" s="1"/>
  <c r="AI14" i="7"/>
  <c r="DY14" i="7" s="1"/>
  <c r="AJ14" i="7"/>
  <c r="DZ14" i="7" s="1"/>
  <c r="AI15" i="7"/>
  <c r="DY15" i="7" s="1"/>
  <c r="AJ15" i="7"/>
  <c r="DZ15" i="7" s="1"/>
  <c r="AI16" i="7"/>
  <c r="DY16" i="7" s="1"/>
  <c r="AJ16" i="7"/>
  <c r="DZ16" i="7" s="1"/>
  <c r="AI17" i="7"/>
  <c r="DY17" i="7" s="1"/>
  <c r="AJ17" i="7"/>
  <c r="DZ17" i="7" s="1"/>
  <c r="AI18" i="7"/>
  <c r="DY18" i="7" s="1"/>
  <c r="AJ18" i="7"/>
  <c r="DZ18" i="7" s="1"/>
  <c r="AI19" i="7"/>
  <c r="DY19" i="7" s="1"/>
  <c r="AJ19" i="7"/>
  <c r="DZ19" i="7" s="1"/>
  <c r="AI20" i="7"/>
  <c r="DY20" i="7" s="1"/>
  <c r="AJ20" i="7"/>
  <c r="DZ20" i="7" s="1"/>
  <c r="AI21" i="7"/>
  <c r="DY21" i="7" s="1"/>
  <c r="AJ21" i="7"/>
  <c r="DZ21" i="7" s="1"/>
  <c r="AI22" i="7"/>
  <c r="DY22" i="7" s="1"/>
  <c r="AJ22" i="7"/>
  <c r="DZ22" i="7" s="1"/>
  <c r="AI23" i="7"/>
  <c r="DY23" i="7" s="1"/>
  <c r="AJ23" i="7"/>
  <c r="DZ23" i="7" s="1"/>
  <c r="AI24" i="7"/>
  <c r="DY24" i="7" s="1"/>
  <c r="AJ24" i="7"/>
  <c r="DZ24" i="7" s="1"/>
  <c r="AI25" i="7"/>
  <c r="DY25" i="7" s="1"/>
  <c r="AJ25" i="7"/>
  <c r="DZ25" i="7" s="1"/>
  <c r="AI26" i="7"/>
  <c r="DY26" i="7" s="1"/>
  <c r="AJ26" i="7"/>
  <c r="DZ26" i="7" s="1"/>
  <c r="AI27" i="7"/>
  <c r="DY27" i="7" s="1"/>
  <c r="AJ27" i="7"/>
  <c r="DZ27" i="7" s="1"/>
  <c r="AI28" i="7"/>
  <c r="DY28" i="7" s="1"/>
  <c r="AJ28" i="7"/>
  <c r="DZ28" i="7" s="1"/>
  <c r="AI29" i="7"/>
  <c r="DY29" i="7" s="1"/>
  <c r="AJ29" i="7"/>
  <c r="DZ29" i="7" s="1"/>
  <c r="AI30" i="7"/>
  <c r="DY30" i="7" s="1"/>
  <c r="AJ30" i="7"/>
  <c r="DZ30" i="7" s="1"/>
  <c r="AI31" i="7"/>
  <c r="DY31" i="7" s="1"/>
  <c r="AJ31" i="7"/>
  <c r="DZ31" i="7" s="1"/>
  <c r="AI32" i="7"/>
  <c r="DY32" i="7" s="1"/>
  <c r="AJ32" i="7"/>
  <c r="DZ32" i="7" s="1"/>
  <c r="AI33" i="7"/>
  <c r="DY33" i="7" s="1"/>
  <c r="AJ33" i="7"/>
  <c r="DZ33" i="7" s="1"/>
  <c r="AI34" i="7"/>
  <c r="DY34" i="7" s="1"/>
  <c r="AJ34" i="7"/>
  <c r="DZ34" i="7" s="1"/>
  <c r="AI35" i="7"/>
  <c r="DY35" i="7" s="1"/>
  <c r="AJ35" i="7"/>
  <c r="DZ35" i="7" s="1"/>
  <c r="AI36" i="7"/>
  <c r="DY36" i="7" s="1"/>
  <c r="AJ36" i="7"/>
  <c r="DZ36" i="7" s="1"/>
  <c r="AI37" i="7"/>
  <c r="DY37" i="7" s="1"/>
  <c r="AJ37" i="7"/>
  <c r="DZ37" i="7" s="1"/>
  <c r="AI38" i="7"/>
  <c r="DY38" i="7" s="1"/>
  <c r="AJ38" i="7"/>
  <c r="DZ38" i="7" s="1"/>
  <c r="AI39" i="7"/>
  <c r="DY39" i="7" s="1"/>
  <c r="AJ39" i="7"/>
  <c r="DZ39" i="7" s="1"/>
  <c r="AI40" i="7"/>
  <c r="DY40" i="7" s="1"/>
  <c r="AJ40" i="7"/>
  <c r="DZ40" i="7" s="1"/>
  <c r="AI41" i="7"/>
  <c r="DY41" i="7" s="1"/>
  <c r="AJ41" i="7"/>
  <c r="DZ41" i="7" s="1"/>
  <c r="AI42" i="7"/>
  <c r="DY42" i="7" s="1"/>
  <c r="AJ42" i="7"/>
  <c r="DZ42" i="7" s="1"/>
  <c r="C31" i="11"/>
  <c r="AA6" i="7" s="1"/>
  <c r="AB6" i="7"/>
  <c r="T19" i="7"/>
  <c r="C28" i="11"/>
  <c r="AA3" i="7" s="1"/>
  <c r="F74" i="11"/>
  <c r="C78" i="11"/>
  <c r="V19" i="11" l="1"/>
  <c r="U18" i="11"/>
  <c r="U19" i="11"/>
  <c r="U21" i="11"/>
  <c r="AL43" i="7"/>
  <c r="EB5" i="7"/>
  <c r="EB43" i="7" s="1"/>
  <c r="AH42" i="7"/>
  <c r="DX42" i="7" s="1"/>
  <c r="AG42" i="7"/>
  <c r="DW42" i="7" s="1"/>
  <c r="AG41" i="7"/>
  <c r="DW41" i="7" s="1"/>
  <c r="AH41" i="7"/>
  <c r="DX41" i="7" s="1"/>
  <c r="AH40" i="7"/>
  <c r="DX40" i="7" s="1"/>
  <c r="AG40" i="7"/>
  <c r="DW40" i="7" s="1"/>
  <c r="AG39" i="7"/>
  <c r="DW39" i="7" s="1"/>
  <c r="AH39" i="7"/>
  <c r="DX39" i="7" s="1"/>
  <c r="AG38" i="7"/>
  <c r="DW38" i="7" s="1"/>
  <c r="AH38" i="7"/>
  <c r="DX38" i="7" s="1"/>
  <c r="AH37" i="7"/>
  <c r="DX37" i="7" s="1"/>
  <c r="AG37" i="7"/>
  <c r="DW37" i="7" s="1"/>
  <c r="AH36" i="7"/>
  <c r="DX36" i="7" s="1"/>
  <c r="AG36" i="7"/>
  <c r="DW36" i="7" s="1"/>
  <c r="AH35" i="7"/>
  <c r="DX35" i="7" s="1"/>
  <c r="AG35" i="7"/>
  <c r="DW35" i="7" s="1"/>
  <c r="AH34" i="7"/>
  <c r="DX34" i="7" s="1"/>
  <c r="AG34" i="7"/>
  <c r="DW34" i="7" s="1"/>
  <c r="AG33" i="7"/>
  <c r="DW33" i="7" s="1"/>
  <c r="AH33" i="7"/>
  <c r="DX33" i="7" s="1"/>
  <c r="AG32" i="7"/>
  <c r="DW32" i="7" s="1"/>
  <c r="AH32" i="7"/>
  <c r="DX32" i="7" s="1"/>
  <c r="AH31" i="7"/>
  <c r="DX31" i="7" s="1"/>
  <c r="AG31" i="7"/>
  <c r="DW31" i="7" s="1"/>
  <c r="AG30" i="7"/>
  <c r="DW30" i="7" s="1"/>
  <c r="AH30" i="7"/>
  <c r="DX30" i="7" s="1"/>
  <c r="AH29" i="7"/>
  <c r="DX29" i="7" s="1"/>
  <c r="AG29" i="7"/>
  <c r="DW29" i="7" s="1"/>
  <c r="AH28" i="7"/>
  <c r="DX28" i="7" s="1"/>
  <c r="AG28" i="7"/>
  <c r="DW28" i="7" s="1"/>
  <c r="AH27" i="7"/>
  <c r="DX27" i="7" s="1"/>
  <c r="AG27" i="7"/>
  <c r="DW27" i="7" s="1"/>
  <c r="AG26" i="7"/>
  <c r="DW26" i="7" s="1"/>
  <c r="AH26" i="7"/>
  <c r="DX26" i="7" s="1"/>
  <c r="AG25" i="7"/>
  <c r="DW25" i="7" s="1"/>
  <c r="AH25" i="7"/>
  <c r="DX25" i="7" s="1"/>
  <c r="AG24" i="7"/>
  <c r="DW24" i="7" s="1"/>
  <c r="AH24" i="7"/>
  <c r="DX24" i="7" s="1"/>
  <c r="AH23" i="7"/>
  <c r="DX23" i="7" s="1"/>
  <c r="AG23" i="7"/>
  <c r="DW23" i="7" s="1"/>
  <c r="AG22" i="7"/>
  <c r="DW22" i="7" s="1"/>
  <c r="AH22" i="7"/>
  <c r="DX22" i="7" s="1"/>
  <c r="AH21" i="7"/>
  <c r="DX21" i="7" s="1"/>
  <c r="AG21" i="7"/>
  <c r="DW21" i="7" s="1"/>
  <c r="AG20" i="7"/>
  <c r="DW20" i="7" s="1"/>
  <c r="AH20" i="7"/>
  <c r="DX20" i="7" s="1"/>
  <c r="AH19" i="7"/>
  <c r="DX19" i="7" s="1"/>
  <c r="AG19" i="7"/>
  <c r="DW19" i="7" s="1"/>
  <c r="AH18" i="7"/>
  <c r="DX18" i="7" s="1"/>
  <c r="AG18" i="7"/>
  <c r="DW18" i="7" s="1"/>
  <c r="AG17" i="7"/>
  <c r="DW17" i="7" s="1"/>
  <c r="AH17" i="7"/>
  <c r="DX17" i="7" s="1"/>
  <c r="AG16" i="7"/>
  <c r="DW16" i="7" s="1"/>
  <c r="AH16" i="7"/>
  <c r="DX16" i="7" s="1"/>
  <c r="AG15" i="7"/>
  <c r="DW15" i="7" s="1"/>
  <c r="AH15" i="7"/>
  <c r="DX15" i="7" s="1"/>
  <c r="AG14" i="7"/>
  <c r="DW14" i="7" s="1"/>
  <c r="AH14" i="7"/>
  <c r="DX14" i="7" s="1"/>
  <c r="AH13" i="7"/>
  <c r="DX13" i="7" s="1"/>
  <c r="AG13" i="7"/>
  <c r="DW13" i="7" s="1"/>
  <c r="AH12" i="7"/>
  <c r="DX12" i="7" s="1"/>
  <c r="AG12" i="7"/>
  <c r="DW12" i="7" s="1"/>
  <c r="AH11" i="7"/>
  <c r="DX11" i="7" s="1"/>
  <c r="AG11" i="7"/>
  <c r="DW11" i="7" s="1"/>
  <c r="AH10" i="7"/>
  <c r="DX10" i="7" s="1"/>
  <c r="AG10" i="7"/>
  <c r="DW10" i="7" s="1"/>
  <c r="AG9" i="7"/>
  <c r="DW9" i="7" s="1"/>
  <c r="AH9" i="7"/>
  <c r="DX9" i="7" s="1"/>
  <c r="AH6" i="7"/>
  <c r="DX6" i="7" s="1"/>
  <c r="AG6" i="7"/>
  <c r="DW6" i="7" s="1"/>
  <c r="AG8" i="7"/>
  <c r="DW8" i="7" s="1"/>
  <c r="AH8" i="7"/>
  <c r="DX8" i="7" s="1"/>
  <c r="AH7" i="7"/>
  <c r="DX7" i="7" s="1"/>
  <c r="AG7" i="7"/>
  <c r="DW7" i="7" s="1"/>
  <c r="U20" i="11"/>
  <c r="V18" i="11"/>
  <c r="DI15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tc={B40366D6-2ADE-4C6A-8785-4E58974C52D9}</author>
  </authors>
  <commentList>
    <comment ref="DW45" authorId="0" shapeId="0" xr:uid="{B40366D6-2ADE-4C6A-8785-4E58974C52D9}">
      <text>
        <t>[Threaded comment]
Your version of Excel allows you to read this threaded comment; however, any edits to it will get removed if the file is opened in a newer version of Excel. Learn more: https://go.microsoft.com/fwlink/?linkid=870924
Comment:
    Los valores manuales deben ir sin puntos y comas (. y ,)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<sst xmlns="http://schemas.openxmlformats.org/spreadsheetml/2006/main" count="3097" uniqueCount="2435">
  <si>
    <t>Company</t>
  </si>
  <si>
    <t>Branch</t>
  </si>
  <si>
    <t>Insured</t>
  </si>
  <si>
    <t>Reassured</t>
  </si>
  <si>
    <t>Department</t>
  </si>
  <si>
    <t>Trigger</t>
  </si>
  <si>
    <t>Other</t>
  </si>
  <si>
    <t>Fronting Fee</t>
  </si>
  <si>
    <t>Currency</t>
  </si>
  <si>
    <t>Days to cancel</t>
  </si>
  <si>
    <t>Market Hazard</t>
  </si>
  <si>
    <t>LOB</t>
  </si>
  <si>
    <t>Jurisdiction</t>
  </si>
  <si>
    <t>Coverage Territory</t>
  </si>
  <si>
    <t>Financial Loss</t>
  </si>
  <si>
    <t>Wrap up</t>
  </si>
  <si>
    <t>Pollution Code</t>
  </si>
  <si>
    <t>Liability Cover</t>
  </si>
  <si>
    <t>Retro Date</t>
  </si>
  <si>
    <t>Edit Section Detail</t>
  </si>
  <si>
    <t>Premium</t>
  </si>
  <si>
    <t>Retention Type</t>
  </si>
  <si>
    <t>Direct</t>
  </si>
  <si>
    <t>Assumed</t>
  </si>
  <si>
    <t>Terrorism</t>
  </si>
  <si>
    <t>Excluded</t>
  </si>
  <si>
    <t>LMUSA</t>
  </si>
  <si>
    <t>EL</t>
  </si>
  <si>
    <t>PRI</t>
  </si>
  <si>
    <t>EXC</t>
  </si>
  <si>
    <t>Yes</t>
  </si>
  <si>
    <t>No</t>
  </si>
  <si>
    <t xml:space="preserve">A   Financial Rating A    </t>
  </si>
  <si>
    <t xml:space="preserve">B   Financial Rating B    </t>
  </si>
  <si>
    <t xml:space="preserve">C   Financial Rating C    </t>
  </si>
  <si>
    <t>Agg Limit Type</t>
  </si>
  <si>
    <t>Attachment Point</t>
  </si>
  <si>
    <t>TREATIES</t>
  </si>
  <si>
    <t>Comments:</t>
  </si>
  <si>
    <t>Expenses</t>
  </si>
  <si>
    <t>COL</t>
  </si>
  <si>
    <t>PERU</t>
  </si>
  <si>
    <t>CHL</t>
  </si>
  <si>
    <t>MEXICO</t>
  </si>
  <si>
    <t>ECUADOR</t>
  </si>
  <si>
    <t>RWT (Gross):</t>
  </si>
  <si>
    <t>Country of Risk</t>
  </si>
  <si>
    <t>Broker Country</t>
  </si>
  <si>
    <t>Signed Order %</t>
  </si>
  <si>
    <t>Signed Line %</t>
  </si>
  <si>
    <t># of Instalments</t>
  </si>
  <si>
    <t>Split %</t>
  </si>
  <si>
    <t>Underwriting Maintenance - Select Screen</t>
  </si>
  <si>
    <t>Option</t>
  </si>
  <si>
    <t>1=Policy</t>
  </si>
  <si>
    <t>2=Endorsement</t>
  </si>
  <si>
    <t>3=Quote</t>
  </si>
  <si>
    <t>4=Declinature</t>
  </si>
  <si>
    <t>Transaction</t>
  </si>
  <si>
    <t>Date</t>
  </si>
  <si>
    <t>Product</t>
  </si>
  <si>
    <t>Policy Ref</t>
  </si>
  <si>
    <t>CAS</t>
  </si>
  <si>
    <t>Edit Policy Screen</t>
  </si>
  <si>
    <t>Policy Title</t>
  </si>
  <si>
    <t>Policy Number</t>
  </si>
  <si>
    <t>Broker</t>
  </si>
  <si>
    <t>Underwriter</t>
  </si>
  <si>
    <t>Direct/Assumed</t>
  </si>
  <si>
    <t>Dates:</t>
  </si>
  <si>
    <t>Effect (MMDDYY)</t>
  </si>
  <si>
    <t>Written Date</t>
  </si>
  <si>
    <t>Expiry (MMDDYY)</t>
  </si>
  <si>
    <t>Primary/Excess</t>
  </si>
  <si>
    <t>Edit Terms Screen</t>
  </si>
  <si>
    <t>Instalment Frq</t>
  </si>
  <si>
    <t>Instalments</t>
  </si>
  <si>
    <t>Cancelation</t>
  </si>
  <si>
    <t>PRO</t>
  </si>
  <si>
    <t>Premium Type</t>
  </si>
  <si>
    <t>A/C Ccy</t>
  </si>
  <si>
    <t>USD</t>
  </si>
  <si>
    <t>US Dolars</t>
  </si>
  <si>
    <t>Work With Instalment Detail Screen</t>
  </si>
  <si>
    <t>From
Date</t>
  </si>
  <si>
    <t>To
Date</t>
  </si>
  <si>
    <t>Due
Days</t>
  </si>
  <si>
    <t>Due
Date</t>
  </si>
  <si>
    <t>Edit Risk Share% &amp; Deductions Screen</t>
  </si>
  <si>
    <t>Written Order%</t>
  </si>
  <si>
    <t>Written Line%</t>
  </si>
  <si>
    <t>Op</t>
  </si>
  <si>
    <t>Clc
Seq</t>
  </si>
  <si>
    <t>Ded
Cde</t>
  </si>
  <si>
    <t>Percentage</t>
  </si>
  <si>
    <t>Amount</t>
  </si>
  <si>
    <t>Amount A/C</t>
  </si>
  <si>
    <t>UPT</t>
  </si>
  <si>
    <t>Work with Sections Screen</t>
  </si>
  <si>
    <t>Sec 
Cde</t>
  </si>
  <si>
    <t>Section</t>
  </si>
  <si>
    <t>SLP</t>
  </si>
  <si>
    <t>Statutory Liab</t>
  </si>
  <si>
    <t>CGL</t>
  </si>
  <si>
    <t>UMB</t>
  </si>
  <si>
    <t>XWC</t>
  </si>
  <si>
    <t>SPC</t>
  </si>
  <si>
    <t>EIL</t>
  </si>
  <si>
    <t>EVE</t>
  </si>
  <si>
    <t>CET</t>
  </si>
  <si>
    <t>Umbrella</t>
  </si>
  <si>
    <t>Excess</t>
  </si>
  <si>
    <t>XS Work Comp</t>
  </si>
  <si>
    <t>Employer Liab</t>
  </si>
  <si>
    <t>SPC IT Liab.</t>
  </si>
  <si>
    <t>Environmental I</t>
  </si>
  <si>
    <t>Event Cancel</t>
  </si>
  <si>
    <t>Work with Sections Details Screen</t>
  </si>
  <si>
    <t>N</t>
  </si>
  <si>
    <t>Edit Coverage Screen</t>
  </si>
  <si>
    <t>Work With Reinsurance Attachments Screen</t>
  </si>
  <si>
    <t>LSSPAULO</t>
  </si>
  <si>
    <t>BRNONAFF</t>
  </si>
  <si>
    <t>SAOAFF</t>
  </si>
  <si>
    <t>CONONAFF</t>
  </si>
  <si>
    <t>BOGAFF</t>
  </si>
  <si>
    <t>LIMA</t>
  </si>
  <si>
    <t>AREQUIPA</t>
  </si>
  <si>
    <t>CALLAO</t>
  </si>
  <si>
    <t>CHICLAYO</t>
  </si>
  <si>
    <t>IQUITOS</t>
  </si>
  <si>
    <t>PIURA</t>
  </si>
  <si>
    <t>PENONAFF</t>
  </si>
  <si>
    <t>LIMAFF</t>
  </si>
  <si>
    <t>CLNONAFF</t>
  </si>
  <si>
    <t>SCLAFF</t>
  </si>
  <si>
    <t>ECNONAFF</t>
  </si>
  <si>
    <t>UIOAFF</t>
  </si>
  <si>
    <t>MXNONAFF</t>
  </si>
  <si>
    <t>BRANCH</t>
  </si>
  <si>
    <t>LIBSEGBR</t>
  </si>
  <si>
    <t>BRASIL</t>
  </si>
  <si>
    <t>LIBSEGBPE</t>
  </si>
  <si>
    <t>Policy - Further Processing Screen</t>
  </si>
  <si>
    <t>Master Status :</t>
  </si>
  <si>
    <t>Auth Pol?</t>
  </si>
  <si>
    <t>Y=Yes,</t>
  </si>
  <si>
    <t>N=No</t>
  </si>
  <si>
    <t>RWT</t>
  </si>
  <si>
    <t>RI Policy</t>
  </si>
  <si>
    <t>Renewal</t>
  </si>
  <si>
    <t>3LMPR</t>
  </si>
  <si>
    <t>4LMCRB</t>
  </si>
  <si>
    <t>4LMROW</t>
  </si>
  <si>
    <t>5LSICRB</t>
  </si>
  <si>
    <t>5LSIROW</t>
  </si>
  <si>
    <t>5LSIPR</t>
  </si>
  <si>
    <t>6LIUIMIA</t>
  </si>
  <si>
    <t>LMLATAM</t>
  </si>
  <si>
    <t>LSILATAM</t>
  </si>
  <si>
    <t>LIUILATM</t>
  </si>
  <si>
    <t>In-Force non renewable</t>
  </si>
  <si>
    <t>&amp;=Master.OPPORTUNITY_COUNTRYRISK</t>
  </si>
  <si>
    <t>&amp;=Master.OPPORTUNITY_DIRECTASSUMED</t>
  </si>
  <si>
    <t>&amp;=Master.OPPORTUNITY_OPP_POLICY_NUMBER</t>
  </si>
  <si>
    <t>&amp;=Master.OPPORTUNITY_ACCOUNT_NAME</t>
  </si>
  <si>
    <t>&amp;=Master.OPPORTUNITY_BROKER_NAME</t>
  </si>
  <si>
    <t>&amp;=Master.OPPORTUNITY_BROKER_COUNTRY</t>
  </si>
  <si>
    <t>&amp;=Master.OPPORTUNITY_COMPANYCODE</t>
  </si>
  <si>
    <t>&amp;=Master.OPPORTUNITY_BRANCHCODE</t>
  </si>
  <si>
    <t>&amp;=Master.OPPORTUNITY_CEDENT_NAME</t>
  </si>
  <si>
    <t>&amp;=Master.OPPORTUNITY_UNDERWRITERNAME</t>
  </si>
  <si>
    <t>&amp;=Master.OPPORTUNITY_EFFECTIVEDATESFROM</t>
  </si>
  <si>
    <t>&amp;=Master.OPPORTUNITY_EFFECTIVEDATESENDFINAL</t>
  </si>
  <si>
    <t>&amp;=Master.OPPORTUNITY_GENIUS_EXPIRING_POLICY</t>
  </si>
  <si>
    <t>&amp;=Master.OPPORTUNITY_TERRORISM_INCLUSION_EXCLUSION</t>
  </si>
  <si>
    <t>&amp;=Master.OPPORTUNITY_SIGNED_LINE</t>
  </si>
  <si>
    <t>&amp;=Master.OPPORTUNITY_CURRENCYISOCODE</t>
  </si>
  <si>
    <t>&amp;=Master.OPPORTUNITY_NUMBEROFINSTALMENTS</t>
  </si>
  <si>
    <t>&amp;=Master.OPPORTUNITY_FRONTING_FEE</t>
  </si>
  <si>
    <t>&amp;=Master.OPPORTUNITY_JURISDICTION</t>
  </si>
  <si>
    <t>&amp;=Master.OPPORTUNITY_COVERAGE_TERRITORY</t>
  </si>
  <si>
    <t>Exposure Base Type</t>
  </si>
  <si>
    <t>L043</t>
  </si>
  <si>
    <t>Payment Dates</t>
  </si>
  <si>
    <t>&amp;=Instalments.INSTALMENT_DATE(Noadd)</t>
  </si>
  <si>
    <t>RWT 3 (Paid by LIU, as Reinsurer - Reinsurance Witholding Tax - Deducted from NWP)</t>
  </si>
  <si>
    <t>&amp;=Master.OPPORTUNITY_RWT_3</t>
  </si>
  <si>
    <t>Commission Finance Charge % (% of interest paid by the Assured that Broker receives)</t>
  </si>
  <si>
    <t>Premium Finance Charge $ (Paid by the Assured to LIU/Libseg as interest)</t>
  </si>
  <si>
    <t>Ecuador Local Tax</t>
  </si>
  <si>
    <t>&amp;=Master.OPPORTUNITY_COMMISSION_FINANCE_CHARGE</t>
  </si>
  <si>
    <t>&amp;=Master.OPPORTUNITY_INTRODUCTION_FEE</t>
  </si>
  <si>
    <t>&amp;=Master.OPPORTUNITY_NUM_OF_INSTALLMENTS</t>
  </si>
  <si>
    <t>&amp;=Master.OPPORTUNITY_TREATY_MAIN_NAME</t>
  </si>
  <si>
    <t>Defense</t>
  </si>
  <si>
    <t>&amp;=Master.OPPORTUNITY_MARKET_HAZARD</t>
  </si>
  <si>
    <t>&amp;=Master.OPPORTUNITY_FINANCIAL_LOSS</t>
  </si>
  <si>
    <t>&amp;=Master.OPPORTUNITY_FINANCIAL_RATING</t>
  </si>
  <si>
    <t>&amp;=Master.OPPORTUNITY_WRAP_UP</t>
  </si>
  <si>
    <t>&amp;=Master.OPPORTUNITY_POLLUTION_CODE</t>
  </si>
  <si>
    <t>&amp;=Master.OPPORTUNITY_DEFENSE</t>
  </si>
  <si>
    <t>&amp;=Master.OPPORTUNITY_LIABILITY_COVER</t>
  </si>
  <si>
    <t>Days to Cancel</t>
  </si>
  <si>
    <t>PPW</t>
  </si>
  <si>
    <t>&amp;=Master.OPPORTUNITY_PPW</t>
  </si>
  <si>
    <t>&amp;=Master.OPPORTUNITY_ATTACHMENTPOINT</t>
  </si>
  <si>
    <t>&amp;=Master.OPPORTUNITY_RETROACTIVE_DATE</t>
  </si>
  <si>
    <t>&amp;=Master.OPPORTUNITY_PRIMARY_EXCESS</t>
  </si>
  <si>
    <t>&amp;=Master.OPPORTUNITY_ADDITIONAL_COMMENTS_TO_BPO</t>
  </si>
  <si>
    <t>&amp;=Master.ACCOUNT_GENIUSID</t>
  </si>
  <si>
    <t>&amp;=Brokers.BROKER_GENIUSID</t>
  </si>
  <si>
    <t>&amp;=Master.OPPORTUNITY_CEDENT_GENIUS_ID</t>
  </si>
  <si>
    <t>Policy/Section/Detail Level</t>
  </si>
  <si>
    <t>&amp;=Master.OPPORTUNITY_Pol_Sec_SD_Level</t>
  </si>
  <si>
    <t>Rating Currency</t>
  </si>
  <si>
    <t>Technical Premium</t>
  </si>
  <si>
    <t>&amp;=Master.OPPORTUNITY_TECH_PREMIUM</t>
  </si>
  <si>
    <t>Modified Premium</t>
  </si>
  <si>
    <t>&amp;=Master.OPPORTUNITY_MODIFIED_PREMIUM</t>
  </si>
  <si>
    <t>Renewal Rate Change</t>
  </si>
  <si>
    <t>&amp;=Master.OPPORTUNITY_RENEWAL_RATE_CHANGE</t>
  </si>
  <si>
    <t>I051</t>
  </si>
  <si>
    <t>Facultative Protection</t>
  </si>
  <si>
    <t>Broker Name</t>
  </si>
  <si>
    <t>Cession to Reinsurer % (base 100%)</t>
  </si>
  <si>
    <t>GWP 100%</t>
  </si>
  <si>
    <t>&amp;=FAC.FAC__CBROKER_NAME_NAME(Noadd)</t>
  </si>
  <si>
    <t>&amp;=FAC.FAC__CINSURANCE_NAME(Noadd)</t>
  </si>
  <si>
    <t>&amp;=FAC.FAC_Net_premium_ceded_to_Fac(Noadd)</t>
  </si>
  <si>
    <t>&amp;=FAC.FAC_RiskShare(Noadd)</t>
  </si>
  <si>
    <t>&amp;=FAC.FAC_PremiumAmount(Noadd)</t>
  </si>
  <si>
    <t>&amp;=FAC.FAC_Commissions_ceding_brokerage(Noadd)</t>
  </si>
  <si>
    <t>&amp;=FAC.FAC_Fees(Noadd)</t>
  </si>
  <si>
    <t>&amp;=FAC.FAC_Tax(Noadd)</t>
  </si>
  <si>
    <t>&amp;=FAC.FAC_ATTACHMENT_POINT(Noadd)</t>
  </si>
  <si>
    <t>Involvement Tp:</t>
  </si>
  <si>
    <t>P</t>
  </si>
  <si>
    <t>Name Usage. .:</t>
  </si>
  <si>
    <t>Name. . . . .:</t>
  </si>
  <si>
    <t>&amp;=Master.OPPORTUNITY_CAMPAIGN_NAME</t>
  </si>
  <si>
    <t>&amp;=Master.OPPORTUNITY_CWT</t>
  </si>
  <si>
    <t>CWT</t>
  </si>
  <si>
    <t>Cyber Coverage</t>
  </si>
  <si>
    <t>Cyber Type</t>
  </si>
  <si>
    <t>&amp;=Master.OPPORTUNITY_CYBER_TYPE</t>
  </si>
  <si>
    <t>Cyber Limit</t>
  </si>
  <si>
    <t>&amp;=Master.OPPORTUNITY_CYBER_LIMIT</t>
  </si>
  <si>
    <t>Cyber Exclusion</t>
  </si>
  <si>
    <t>&amp;=Master.OPPORTUNITY_CYBER_EXCLUSION</t>
  </si>
  <si>
    <t>Full Exclusion</t>
  </si>
  <si>
    <t>Tier 1</t>
  </si>
  <si>
    <t>T</t>
  </si>
  <si>
    <t>Partial Exclusion</t>
  </si>
  <si>
    <t>Tier 2</t>
  </si>
  <si>
    <t>U</t>
  </si>
  <si>
    <t>Exclusion with add-on</t>
  </si>
  <si>
    <t>Tier 3</t>
  </si>
  <si>
    <t>V</t>
  </si>
  <si>
    <t>None</t>
  </si>
  <si>
    <t>S</t>
  </si>
  <si>
    <t>Affirmative</t>
  </si>
  <si>
    <t>R</t>
  </si>
  <si>
    <t>Non-Affirmative</t>
  </si>
  <si>
    <t>More than one</t>
  </si>
  <si>
    <t>Q</t>
  </si>
  <si>
    <t>Specific</t>
  </si>
  <si>
    <t>Cyber-Specific Policy</t>
  </si>
  <si>
    <t>R/I Policy</t>
  </si>
  <si>
    <t>Cession %</t>
  </si>
  <si>
    <t>Reinsurance Protections</t>
  </si>
  <si>
    <t>Clc Seq</t>
  </si>
  <si>
    <t>Press</t>
  </si>
  <si>
    <t>F6=Add</t>
  </si>
  <si>
    <t>Brazil</t>
  </si>
  <si>
    <t>011</t>
  </si>
  <si>
    <t>G/L Worldwide</t>
  </si>
  <si>
    <t>000</t>
  </si>
  <si>
    <t>Albania</t>
  </si>
  <si>
    <t>095</t>
  </si>
  <si>
    <t>Algeria</t>
  </si>
  <si>
    <t>096</t>
  </si>
  <si>
    <t>Aneganda</t>
  </si>
  <si>
    <t>097</t>
  </si>
  <si>
    <t>Angola</t>
  </si>
  <si>
    <t>098</t>
  </si>
  <si>
    <t>Anguilla</t>
  </si>
  <si>
    <t>099</t>
  </si>
  <si>
    <t>Antigua</t>
  </si>
  <si>
    <t>100</t>
  </si>
  <si>
    <t>Argentina</t>
  </si>
  <si>
    <t>001</t>
  </si>
  <si>
    <t>Armenia</t>
  </si>
  <si>
    <t>002</t>
  </si>
  <si>
    <t>Aruba</t>
  </si>
  <si>
    <t>101</t>
  </si>
  <si>
    <t>Australia</t>
  </si>
  <si>
    <t>003</t>
  </si>
  <si>
    <t>Austria</t>
  </si>
  <si>
    <t>004</t>
  </si>
  <si>
    <t>Azerbaijan</t>
  </si>
  <si>
    <t>102</t>
  </si>
  <si>
    <t>Bahamas</t>
  </si>
  <si>
    <t>005</t>
  </si>
  <si>
    <t>Bahrain</t>
  </si>
  <si>
    <t>020</t>
  </si>
  <si>
    <t>Bangladesh</t>
  </si>
  <si>
    <t>103</t>
  </si>
  <si>
    <t>Barbados</t>
  </si>
  <si>
    <t>006</t>
  </si>
  <si>
    <t>Barbuda</t>
  </si>
  <si>
    <t>104</t>
  </si>
  <si>
    <t>Belarus</t>
  </si>
  <si>
    <t>007</t>
  </si>
  <si>
    <t>Belgium</t>
  </si>
  <si>
    <t>008</t>
  </si>
  <si>
    <t>Belize</t>
  </si>
  <si>
    <t>105</t>
  </si>
  <si>
    <t>Benin</t>
  </si>
  <si>
    <t>106</t>
  </si>
  <si>
    <t>Bermuda</t>
  </si>
  <si>
    <t>009</t>
  </si>
  <si>
    <t>Bolivia</t>
  </si>
  <si>
    <t>010</t>
  </si>
  <si>
    <t>107</t>
  </si>
  <si>
    <t>Botswana</t>
  </si>
  <si>
    <t>108</t>
  </si>
  <si>
    <t>British Virgin</t>
  </si>
  <si>
    <t>195</t>
  </si>
  <si>
    <t>Bulgaria</t>
  </si>
  <si>
    <t>012</t>
  </si>
  <si>
    <t>Burkina Faso</t>
  </si>
  <si>
    <t>189</t>
  </si>
  <si>
    <t>Burundi</t>
  </si>
  <si>
    <t>013</t>
  </si>
  <si>
    <t>Cambodia</t>
  </si>
  <si>
    <t>014</t>
  </si>
  <si>
    <t>Cameroon</t>
  </si>
  <si>
    <t>109</t>
  </si>
  <si>
    <t>Canada</t>
  </si>
  <si>
    <t>015</t>
  </si>
  <si>
    <t>Cape Verde</t>
  </si>
  <si>
    <t>110</t>
  </si>
  <si>
    <t>Cayman Islands</t>
  </si>
  <si>
    <t>111</t>
  </si>
  <si>
    <t>Central African Rebublic</t>
  </si>
  <si>
    <t>112</t>
  </si>
  <si>
    <t>Chad</t>
  </si>
  <si>
    <t>113</t>
  </si>
  <si>
    <t>Chile</t>
  </si>
  <si>
    <t>016</t>
  </si>
  <si>
    <t>China</t>
  </si>
  <si>
    <t>017</t>
  </si>
  <si>
    <t>Colombia</t>
  </si>
  <si>
    <t>018</t>
  </si>
  <si>
    <t>Congo</t>
  </si>
  <si>
    <t>114</t>
  </si>
  <si>
    <t>Costa Rica</t>
  </si>
  <si>
    <t>019</t>
  </si>
  <si>
    <t>Cuba</t>
  </si>
  <si>
    <t>021</t>
  </si>
  <si>
    <t>Curacao</t>
  </si>
  <si>
    <t>115</t>
  </si>
  <si>
    <t>Cyprus</t>
  </si>
  <si>
    <t>116</t>
  </si>
  <si>
    <t>Czech Republic</t>
  </si>
  <si>
    <t>022</t>
  </si>
  <si>
    <t>Denmark</t>
  </si>
  <si>
    <t>023</t>
  </si>
  <si>
    <t>Dominica</t>
  </si>
  <si>
    <t>117</t>
  </si>
  <si>
    <t>Dominican Republic</t>
  </si>
  <si>
    <t>118</t>
  </si>
  <si>
    <t>Ecuador</t>
  </si>
  <si>
    <t>024</t>
  </si>
  <si>
    <t>Egypt</t>
  </si>
  <si>
    <t>025</t>
  </si>
  <si>
    <t>El Salvador</t>
  </si>
  <si>
    <t>119</t>
  </si>
  <si>
    <t>England</t>
  </si>
  <si>
    <t>085</t>
  </si>
  <si>
    <t>Estonia</t>
  </si>
  <si>
    <t>120</t>
  </si>
  <si>
    <t>Ethiopia</t>
  </si>
  <si>
    <t>121</t>
  </si>
  <si>
    <t>Fiji</t>
  </si>
  <si>
    <t>122</t>
  </si>
  <si>
    <t>Finland</t>
  </si>
  <si>
    <t>026</t>
  </si>
  <si>
    <t>France</t>
  </si>
  <si>
    <t>027</t>
  </si>
  <si>
    <t>French Guinea</t>
  </si>
  <si>
    <t>028</t>
  </si>
  <si>
    <t>Georgia</t>
  </si>
  <si>
    <t>029</t>
  </si>
  <si>
    <t>Germany</t>
  </si>
  <si>
    <t>030</t>
  </si>
  <si>
    <t>Greece</t>
  </si>
  <si>
    <t>031</t>
  </si>
  <si>
    <t>Guam</t>
  </si>
  <si>
    <t>032</t>
  </si>
  <si>
    <t>Guatemala</t>
  </si>
  <si>
    <t>033</t>
  </si>
  <si>
    <t>Guernsey</t>
  </si>
  <si>
    <t>034</t>
  </si>
  <si>
    <t>Hong Kong</t>
  </si>
  <si>
    <t>035</t>
  </si>
  <si>
    <t>Hungary</t>
  </si>
  <si>
    <t>036</t>
  </si>
  <si>
    <t>Iceland</t>
  </si>
  <si>
    <t>037</t>
  </si>
  <si>
    <t>India</t>
  </si>
  <si>
    <t>038</t>
  </si>
  <si>
    <t>Indonesia</t>
  </si>
  <si>
    <t>039</t>
  </si>
  <si>
    <t>Iran</t>
  </si>
  <si>
    <t>040</t>
  </si>
  <si>
    <t>Ireland</t>
  </si>
  <si>
    <t>041</t>
  </si>
  <si>
    <t>Israel</t>
  </si>
  <si>
    <t>042</t>
  </si>
  <si>
    <t>Italy</t>
  </si>
  <si>
    <t>043</t>
  </si>
  <si>
    <t>Jamaica</t>
  </si>
  <si>
    <t>044</t>
  </si>
  <si>
    <t>Japan</t>
  </si>
  <si>
    <t>045</t>
  </si>
  <si>
    <t>Jersey</t>
  </si>
  <si>
    <t>046</t>
  </si>
  <si>
    <t>Jordan</t>
  </si>
  <si>
    <t>047</t>
  </si>
  <si>
    <t>Kuwait</t>
  </si>
  <si>
    <t>048</t>
  </si>
  <si>
    <t>Latvia</t>
  </si>
  <si>
    <t>049</t>
  </si>
  <si>
    <t>Lebanon</t>
  </si>
  <si>
    <t>050</t>
  </si>
  <si>
    <t>Liechtenstein</t>
  </si>
  <si>
    <t>051</t>
  </si>
  <si>
    <t>Lithuania</t>
  </si>
  <si>
    <t>052</t>
  </si>
  <si>
    <t>Luxembourg</t>
  </si>
  <si>
    <t>053</t>
  </si>
  <si>
    <t>Malaysia</t>
  </si>
  <si>
    <t>054</t>
  </si>
  <si>
    <t>Mexico</t>
  </si>
  <si>
    <t>055</t>
  </si>
  <si>
    <t>Norway</t>
  </si>
  <si>
    <t>060</t>
  </si>
  <si>
    <t>Pakistan</t>
  </si>
  <si>
    <t>061</t>
  </si>
  <si>
    <t>Panama</t>
  </si>
  <si>
    <t>062</t>
  </si>
  <si>
    <t>Paraguay</t>
  </si>
  <si>
    <t>063</t>
  </si>
  <si>
    <t>Peru</t>
  </si>
  <si>
    <t>065</t>
  </si>
  <si>
    <t>Philippines</t>
  </si>
  <si>
    <t>066</t>
  </si>
  <si>
    <t>Poland</t>
  </si>
  <si>
    <t>067</t>
  </si>
  <si>
    <t>Portugal</t>
  </si>
  <si>
    <t>068</t>
  </si>
  <si>
    <t>Puerto Rico</t>
  </si>
  <si>
    <t>Romania</t>
  </si>
  <si>
    <t>070</t>
  </si>
  <si>
    <t>Russia</t>
  </si>
  <si>
    <t>071</t>
  </si>
  <si>
    <t>Rwanda</t>
  </si>
  <si>
    <t>072</t>
  </si>
  <si>
    <t>Saudi Arabia</t>
  </si>
  <si>
    <t>073</t>
  </si>
  <si>
    <t>Scotland</t>
  </si>
  <si>
    <t>086</t>
  </si>
  <si>
    <t>Singapore</t>
  </si>
  <si>
    <t>074</t>
  </si>
  <si>
    <t>Slovakia</t>
  </si>
  <si>
    <t>075</t>
  </si>
  <si>
    <t>South Africa</t>
  </si>
  <si>
    <t>076</t>
  </si>
  <si>
    <t>South Korea</t>
  </si>
  <si>
    <t>069</t>
  </si>
  <si>
    <t>Spain</t>
  </si>
  <si>
    <t>077</t>
  </si>
  <si>
    <t>Sweden</t>
  </si>
  <si>
    <t>078</t>
  </si>
  <si>
    <t>Switzerland</t>
  </si>
  <si>
    <t>079</t>
  </si>
  <si>
    <t>Taiwan</t>
  </si>
  <si>
    <t>080</t>
  </si>
  <si>
    <t>Thailand</t>
  </si>
  <si>
    <t>081</t>
  </si>
  <si>
    <t>Uganda</t>
  </si>
  <si>
    <t>083</t>
  </si>
  <si>
    <t>UK</t>
  </si>
  <si>
    <t>084</t>
  </si>
  <si>
    <t>Ukraine</t>
  </si>
  <si>
    <t>088</t>
  </si>
  <si>
    <t>Uruguay</t>
  </si>
  <si>
    <t>089</t>
  </si>
  <si>
    <t>USA</t>
  </si>
  <si>
    <t>090</t>
  </si>
  <si>
    <t>Venezuela</t>
  </si>
  <si>
    <t>091</t>
  </si>
  <si>
    <t>Vietnam</t>
  </si>
  <si>
    <t>092</t>
  </si>
  <si>
    <t>Virgin Islands</t>
  </si>
  <si>
    <t>U51</t>
  </si>
  <si>
    <t>Wales</t>
  </si>
  <si>
    <t>087</t>
  </si>
  <si>
    <t>Yugoslavia</t>
  </si>
  <si>
    <t>093</t>
  </si>
  <si>
    <t>Zaire</t>
  </si>
  <si>
    <t>094</t>
  </si>
  <si>
    <t>JOTH</t>
  </si>
  <si>
    <t>Worldwide</t>
  </si>
  <si>
    <t>WRLD</t>
  </si>
  <si>
    <t>Worldwide excl US &amp; Canada</t>
  </si>
  <si>
    <t>WWXN</t>
  </si>
  <si>
    <t>OTH</t>
  </si>
  <si>
    <t>WW</t>
  </si>
  <si>
    <t>Not Applicable</t>
  </si>
  <si>
    <t>Exp Base Amnt :</t>
  </si>
  <si>
    <t>Exp Base  . . :</t>
  </si>
  <si>
    <t>Limit . . . . :</t>
  </si>
  <si>
    <t>Aggregate Lmt :</t>
  </si>
  <si>
    <t>Premium . . . :</t>
  </si>
  <si>
    <t>Annual Premium:</t>
  </si>
  <si>
    <t>Retention Type:</t>
  </si>
  <si>
    <t>Attachmnt Point</t>
  </si>
  <si>
    <t>Tech Premium</t>
  </si>
  <si>
    <t>Modified Prem</t>
  </si>
  <si>
    <t>Pol/Sec/Sd Lvl</t>
  </si>
  <si>
    <t>&amp;=Master.OPPORTUNITY_TYPE</t>
  </si>
  <si>
    <t>Y</t>
  </si>
  <si>
    <t>GENERAL INFORMATION</t>
  </si>
  <si>
    <t>#</t>
  </si>
  <si>
    <t>COBERTURA</t>
  </si>
  <si>
    <t>TIV</t>
  </si>
  <si>
    <t>LIMIT</t>
  </si>
  <si>
    <t>RETENTION</t>
  </si>
  <si>
    <t>RETENTION TYPE</t>
  </si>
  <si>
    <t>ITEM</t>
  </si>
  <si>
    <t>CODE</t>
  </si>
  <si>
    <t>DESCRIPTION</t>
  </si>
  <si>
    <t>Business Type</t>
  </si>
  <si>
    <t>Reference #/Genius Policy #</t>
  </si>
  <si>
    <t>Genius Expiring Policy #</t>
  </si>
  <si>
    <t>Insured Name</t>
  </si>
  <si>
    <t>Insured Address</t>
  </si>
  <si>
    <t>&amp;=Master.OPPORTUNITY_BILLINGADDRESSINSURED</t>
  </si>
  <si>
    <t>Work with Coverages - Edit Coverage</t>
  </si>
  <si>
    <t>SECTIONS</t>
  </si>
  <si>
    <t>CODE COV.</t>
  </si>
  <si>
    <t>NOMBRE DE COBERTURA EN SF</t>
  </si>
  <si>
    <t>DESCRIPCION</t>
  </si>
  <si>
    <t>PREMIUM</t>
  </si>
  <si>
    <t>ANNUAL PREMIUM</t>
  </si>
  <si>
    <t>Premium for LIU Share</t>
  </si>
  <si>
    <t>Limit for LIU Share</t>
  </si>
  <si>
    <t>&amp;=Underwriter.OPPORTUNITYUNDERWRITER_GENIUSID</t>
  </si>
  <si>
    <t>Department &amp; Dpt Code</t>
  </si>
  <si>
    <t>Effective Date</t>
  </si>
  <si>
    <t>Expiry Date</t>
  </si>
  <si>
    <t>Premium Physical</t>
  </si>
  <si>
    <t>Primary Campaign Source</t>
  </si>
  <si>
    <t>New Policy/Renewal</t>
  </si>
  <si>
    <t>Premium BI</t>
  </si>
  <si>
    <t>Libety role</t>
  </si>
  <si>
    <t>&amp;=Master.OPPORTUNITY_LIBERTYROLE</t>
  </si>
  <si>
    <t>Payment Details</t>
  </si>
  <si>
    <t>Installment Frecquency:</t>
  </si>
  <si>
    <t>Edit Section -  I051 - GS Minimum Standard (Actuarial Information)</t>
  </si>
  <si>
    <t>Original Currency</t>
  </si>
  <si>
    <t>Cancellation</t>
  </si>
  <si>
    <t>&amp;=Master.OPPORTUNITY_CANCELLATION</t>
  </si>
  <si>
    <t>&amp;=Master.OPPORTUNITY_CANCELLATIONPERIOD</t>
  </si>
  <si>
    <t xml:space="preserve">Due  Due  </t>
  </si>
  <si>
    <t xml:space="preserve">Days Date </t>
  </si>
  <si>
    <t>INSTALAMENT DATE</t>
  </si>
  <si>
    <t>INSTALAMENT%</t>
  </si>
  <si>
    <t>&amp;=Instalments.INSTALMENT_TOTAL(noadd)</t>
  </si>
  <si>
    <t>Edit Section - X001 Attachmnt Point</t>
  </si>
  <si>
    <t>LIU Share %</t>
  </si>
  <si>
    <t>Written Order %</t>
  </si>
  <si>
    <t>&amp;=Master.OPPORTUNITY_SIGNED_ORDER(Numeric)</t>
  </si>
  <si>
    <t>Written Line %</t>
  </si>
  <si>
    <t>Deductions</t>
  </si>
  <si>
    <t>Account To</t>
  </si>
  <si>
    <t>Retail/Reins. Brokerage % (Paid by LIU/Libseg to retail Broker) or (Paid by LIU, as Reinsurer, to reinsurance Broker/Cedant)</t>
  </si>
  <si>
    <t>Broker Commission</t>
  </si>
  <si>
    <t>&amp;=Master.OPPORTUNITY_TOTALBROKERCOMISSION(Numeric)</t>
  </si>
  <si>
    <t>ISF</t>
  </si>
  <si>
    <t>Introduction Fee</t>
  </si>
  <si>
    <t>ENG</t>
  </si>
  <si>
    <t>Engineering Fees Flat $</t>
  </si>
  <si>
    <t>Aditional Information</t>
  </si>
  <si>
    <t>Campaign</t>
  </si>
  <si>
    <t>Swiss FAC Retrocession Latam</t>
  </si>
  <si>
    <t>UW Center Opp - Swiss FAC Retrocession Latam</t>
  </si>
  <si>
    <t>Munich Re FAC Retrocession Latam</t>
  </si>
  <si>
    <t>&amp;=CampaignInfluence.CAMPAIGN</t>
  </si>
  <si>
    <t>CAMPO</t>
  </si>
  <si>
    <t>L046</t>
  </si>
  <si>
    <t>Terrorism Exclusion</t>
  </si>
  <si>
    <t>Terrorism Inclusion</t>
  </si>
  <si>
    <t>COMPANY</t>
  </si>
  <si>
    <t>Liberty Seguros S.A.</t>
  </si>
  <si>
    <t>LIBSEGMX</t>
  </si>
  <si>
    <t>LIBSEGPR</t>
  </si>
  <si>
    <t>Liberty Seguros Mexico</t>
  </si>
  <si>
    <t>LIBSEGPR Puerto Rico</t>
  </si>
  <si>
    <t>MLYONSHR</t>
  </si>
  <si>
    <t>NONASEAN</t>
  </si>
  <si>
    <t>3CHICAGO</t>
  </si>
  <si>
    <t>4RICHMND</t>
  </si>
  <si>
    <t>5CHICAGO</t>
  </si>
  <si>
    <t xml:space="preserve">LIBSEGPE Arequipa Branch </t>
  </si>
  <si>
    <t xml:space="preserve">SOF Asean Branch         </t>
  </si>
  <si>
    <t xml:space="preserve">COL Affiliated Branch      </t>
  </si>
  <si>
    <t xml:space="preserve">BRASIL NON - AFF           </t>
  </si>
  <si>
    <t xml:space="preserve">LIBSEGPE Callao Branch   </t>
  </si>
  <si>
    <t xml:space="preserve">LIBSEGPE Chiclayo Branch </t>
  </si>
  <si>
    <t xml:space="preserve">CHILE NON - AFF          </t>
  </si>
  <si>
    <t xml:space="preserve">COLOMBIA NON - AFF       </t>
  </si>
  <si>
    <t xml:space="preserve">ECUADOR NON - AFF        </t>
  </si>
  <si>
    <t xml:space="preserve">LIBSEGPE Iquitos Branch </t>
  </si>
  <si>
    <t xml:space="preserve">ALB Los Angeles Branch  </t>
  </si>
  <si>
    <t xml:space="preserve">LIBSEGPE Lima Branch    </t>
  </si>
  <si>
    <t xml:space="preserve">PERU Affiliated Branch  </t>
  </si>
  <si>
    <t xml:space="preserve">LMUK London             </t>
  </si>
  <si>
    <t xml:space="preserve">LIBSEGBR Sao Paulo      </t>
  </si>
  <si>
    <t xml:space="preserve">LMIE Madrid Office      </t>
  </si>
  <si>
    <t>LIBSEGMX Mexico City Brh</t>
  </si>
  <si>
    <t xml:space="preserve">Malaysia Onshore Branch </t>
  </si>
  <si>
    <t xml:space="preserve">MEXICO NON - AFF         </t>
  </si>
  <si>
    <t xml:space="preserve">SOF NonAsean Branch      </t>
  </si>
  <si>
    <t xml:space="preserve">ALB New York Branch      </t>
  </si>
  <si>
    <t xml:space="preserve">LMIE Ltd. (Paris Branch) </t>
  </si>
  <si>
    <t xml:space="preserve">PERU NON - AFF           </t>
  </si>
  <si>
    <t xml:space="preserve">LIBSEGPE Piura Branch    </t>
  </si>
  <si>
    <t xml:space="preserve">LIBSEGPR San Juan Branch </t>
  </si>
  <si>
    <t xml:space="preserve">BRASIL Affilated Branch  </t>
  </si>
  <si>
    <t xml:space="preserve">CHL Affiliated Branch    </t>
  </si>
  <si>
    <t xml:space="preserve">SING Singapore Branch    </t>
  </si>
  <si>
    <t xml:space="preserve">AUS Sydney Branch        </t>
  </si>
  <si>
    <t>ECUADOR Affiliated Branch</t>
  </si>
  <si>
    <t xml:space="preserve">LMIE Zurich Branch       </t>
  </si>
  <si>
    <t xml:space="preserve">LMUSA Chicago Branch      </t>
  </si>
  <si>
    <t xml:space="preserve">LMUSA Dallas              </t>
  </si>
  <si>
    <t xml:space="preserve">LMUSA Houston Branch      </t>
  </si>
  <si>
    <t xml:space="preserve">LMUSA Los Angeles Branch  </t>
  </si>
  <si>
    <t xml:space="preserve">LMLATAM Puerto Rico Branc </t>
  </si>
  <si>
    <t xml:space="preserve">LMLATAM Caribbean Branch </t>
  </si>
  <si>
    <t>LMLATAM Rest of World Bra</t>
  </si>
  <si>
    <t xml:space="preserve">LMUSA New York            </t>
  </si>
  <si>
    <t xml:space="preserve">LMUSA Richmond Branch     </t>
  </si>
  <si>
    <t xml:space="preserve">LSI2 Chicago Branch       </t>
  </si>
  <si>
    <t xml:space="preserve">LSI2 Dallas Branch        </t>
  </si>
  <si>
    <t xml:space="preserve">LSI2 Houston Branch       </t>
  </si>
  <si>
    <t xml:space="preserve">LSI2 Los Angeles Branch   </t>
  </si>
  <si>
    <t xml:space="preserve">LSILATAM Caribbean Branch </t>
  </si>
  <si>
    <t>LSILATAM Puerto Rico Bran</t>
  </si>
  <si>
    <t>LSILATAM Rest of World Br</t>
  </si>
  <si>
    <t xml:space="preserve">LSI2 New York            </t>
  </si>
  <si>
    <t xml:space="preserve">LIUILATM Miami Branch    </t>
  </si>
  <si>
    <t>ASEAN</t>
  </si>
  <si>
    <t>LA</t>
  </si>
  <si>
    <t>LONDON</t>
  </si>
  <si>
    <t>MADRID</t>
  </si>
  <si>
    <t>MEXCITY</t>
  </si>
  <si>
    <t>NY</t>
  </si>
  <si>
    <t>PARIS</t>
  </si>
  <si>
    <t>SANJUAN</t>
  </si>
  <si>
    <t>SG</t>
  </si>
  <si>
    <t>SYDNEY</t>
  </si>
  <si>
    <t>ZURICH</t>
  </si>
  <si>
    <t>3LA</t>
  </si>
  <si>
    <t>4NY</t>
  </si>
  <si>
    <t>5LA</t>
  </si>
  <si>
    <t>5NY</t>
  </si>
  <si>
    <t>3DAL</t>
  </si>
  <si>
    <t>3HOU</t>
  </si>
  <si>
    <t>5DAL</t>
  </si>
  <si>
    <t>5HOU</t>
  </si>
  <si>
    <t>DAL</t>
  </si>
  <si>
    <t>ALB Dallas</t>
  </si>
  <si>
    <t>LSI2</t>
  </si>
  <si>
    <t>DIR</t>
  </si>
  <si>
    <t>ASU</t>
  </si>
  <si>
    <t>PROP - Commercial Property AP</t>
  </si>
  <si>
    <t>EF1</t>
  </si>
  <si>
    <t>PROP - Corporate Property AP</t>
  </si>
  <si>
    <t>EF2</t>
  </si>
  <si>
    <t>NA</t>
  </si>
  <si>
    <t>Primary</t>
  </si>
  <si>
    <t>CAMPAÑA EN SALESFORCE</t>
  </si>
  <si>
    <t>CAMPAÑA EN GENIUS</t>
  </si>
  <si>
    <t>SWIS9596</t>
  </si>
  <si>
    <t>SPCF0001</t>
  </si>
  <si>
    <t>UW Center Opp</t>
  </si>
  <si>
    <t>UWCE0001</t>
  </si>
  <si>
    <t>TYPE</t>
  </si>
  <si>
    <t>Direct Follow</t>
  </si>
  <si>
    <t>Direct Lead</t>
  </si>
  <si>
    <t>Reinsurer Follow</t>
  </si>
  <si>
    <t>Reinsurer Lead</t>
  </si>
  <si>
    <t>Pro-Rata</t>
  </si>
  <si>
    <t>Short Rate</t>
  </si>
  <si>
    <t>SHR</t>
  </si>
  <si>
    <t>Non Cancellable</t>
  </si>
  <si>
    <t>NCN</t>
  </si>
  <si>
    <t xml:space="preserve">CON BROKER </t>
  </si>
  <si>
    <t>SIN BROKER</t>
  </si>
  <si>
    <t>#FAC SF</t>
  </si>
  <si>
    <t>Clc Sec</t>
  </si>
  <si>
    <t>FAC TYPE</t>
  </si>
  <si>
    <t>BROKER NAME</t>
  </si>
  <si>
    <t>BROKER GENIUS ID</t>
  </si>
  <si>
    <t>REINSURER NAME</t>
  </si>
  <si>
    <t>REINSURER GENIUS ID</t>
  </si>
  <si>
    <t>CESSION TO REINSURER % (BASE 100%)</t>
  </si>
  <si>
    <t>Reinsurance Broker Commission %</t>
  </si>
  <si>
    <t>Ceding Commission %</t>
  </si>
  <si>
    <t>COMMISSIONS (CEDING COMMISSIONS  + BROKERAGE) %</t>
  </si>
  <si>
    <t>FEES%</t>
  </si>
  <si>
    <t>TAX%</t>
  </si>
  <si>
    <t>ATTACH point</t>
  </si>
  <si>
    <t>Premium Basis for FAC</t>
  </si>
  <si>
    <t>NET PREMIUM CEDED TO FAC</t>
  </si>
  <si>
    <t>GWP Share %</t>
  </si>
  <si>
    <t>Net Premium Entered</t>
  </si>
  <si>
    <t>&amp;=FAC.FAC_NAME(noadd)</t>
  </si>
  <si>
    <t>&amp;=FAC.FAC_FAC_TYPE(NOADD)</t>
  </si>
  <si>
    <t>&amp;=FAC.BROKER_NAME_GENIUSID(noadd)</t>
  </si>
  <si>
    <t>&amp;=FAC.FAC__CINSURANCE_GENIUSID(Noadd)</t>
  </si>
  <si>
    <t>&amp;=FAC.FAC_PREMIUM_BASIS_FOR_FAC(noadd)</t>
  </si>
  <si>
    <t>&amp;=FAC.FAC_REINSURANCE_BROKER_COMMISSION(noadd)</t>
  </si>
  <si>
    <t>&amp;=FAC.FAC_CEDINGCOMMISSION(noadd)</t>
  </si>
  <si>
    <t>A/C to</t>
  </si>
  <si>
    <t>Reinsurance Withholding Tax</t>
  </si>
  <si>
    <t>COM1 RI w/h Tax Net</t>
  </si>
  <si>
    <t>FD2A</t>
  </si>
  <si>
    <t>Fronting Fee - Dfr Gross %</t>
  </si>
  <si>
    <t>Commission Finance Charge</t>
  </si>
  <si>
    <t>CFC</t>
  </si>
  <si>
    <t>PFC</t>
  </si>
  <si>
    <t>&amp;=Master.OPPORTUNITY_PREMIUM_FINANCE_CHARGE</t>
  </si>
  <si>
    <t>Premium Finance Charge</t>
  </si>
  <si>
    <t>INT2</t>
  </si>
  <si>
    <t>Introduction Fee - Gross %</t>
  </si>
  <si>
    <t>&amp;=Master.OPPORTUNITY_ECUADOR_LOCAL_TAX</t>
  </si>
  <si>
    <t>ELT</t>
  </si>
  <si>
    <t>Ecuador Local Tax (ISP)</t>
  </si>
  <si>
    <t>PRWT</t>
  </si>
  <si>
    <t>PR WH Tax on Comm</t>
  </si>
  <si>
    <t>&amp;=Master.OPPORTUNITY_RWT(Numeric)</t>
  </si>
  <si>
    <t>LIU Code</t>
  </si>
  <si>
    <t>Financial Loss:</t>
  </si>
  <si>
    <t>Coverage Terr</t>
  </si>
  <si>
    <t>Financial Rtg</t>
  </si>
  <si>
    <t>Wrap Up</t>
  </si>
  <si>
    <t>Contingent Comm</t>
  </si>
  <si>
    <t>EXCL</t>
  </si>
  <si>
    <t>INCL</t>
  </si>
  <si>
    <t>WWX</t>
  </si>
  <si>
    <t>A</t>
  </si>
  <si>
    <t>B</t>
  </si>
  <si>
    <t>C</t>
  </si>
  <si>
    <t>Liberty Mutual Ins. Co.</t>
  </si>
  <si>
    <t>LSI</t>
  </si>
  <si>
    <t>MASTER</t>
  </si>
  <si>
    <t>PAYMENTS</t>
  </si>
  <si>
    <t>CURRENCY</t>
  </si>
  <si>
    <t>ARS</t>
  </si>
  <si>
    <t>Argentina - ARS</t>
  </si>
  <si>
    <t>BBD</t>
  </si>
  <si>
    <t>Barbados - BBD</t>
  </si>
  <si>
    <t>BRL</t>
  </si>
  <si>
    <t>Brazil - BRL</t>
  </si>
  <si>
    <t>CLF</t>
  </si>
  <si>
    <t>Chile - CLF</t>
  </si>
  <si>
    <t>COP</t>
  </si>
  <si>
    <t>Colombia - COP</t>
  </si>
  <si>
    <t>CRC</t>
  </si>
  <si>
    <t>Costa Rica - CRC</t>
  </si>
  <si>
    <t>DOP</t>
  </si>
  <si>
    <t>Dominican Republic - DOP</t>
  </si>
  <si>
    <t>GTQ</t>
  </si>
  <si>
    <t>Guatemala – GTQ</t>
  </si>
  <si>
    <t>HNL</t>
  </si>
  <si>
    <t>Honduras Lempira - HNL</t>
  </si>
  <si>
    <t>GBP</t>
  </si>
  <si>
    <t>Libras - GBP</t>
  </si>
  <si>
    <t>MXN</t>
  </si>
  <si>
    <t>Mexico - MXN</t>
  </si>
  <si>
    <t>PYG</t>
  </si>
  <si>
    <t>Paraguay - PYG</t>
  </si>
  <si>
    <t>PEN</t>
  </si>
  <si>
    <t>Peru - PEN</t>
  </si>
  <si>
    <t>TTD</t>
  </si>
  <si>
    <t>Trinidad &amp; Tobago - TTD</t>
  </si>
  <si>
    <t>US - USD</t>
  </si>
  <si>
    <t>VEF</t>
  </si>
  <si>
    <t>Venezuela - VEF</t>
  </si>
  <si>
    <t>DEDUCTIONS</t>
  </si>
  <si>
    <t>FACS &amp; TREATYS</t>
  </si>
  <si>
    <t>CAMPAING</t>
  </si>
  <si>
    <t>SECTIONS DETAILS</t>
  </si>
  <si>
    <t>D</t>
  </si>
  <si>
    <t>E</t>
  </si>
  <si>
    <t>PRIMARY GENERAL LIABILITY(4135)</t>
  </si>
  <si>
    <t>EXCESS XS GENERAL LIABILITY(4213)</t>
  </si>
  <si>
    <t>UMBRELLA(4308)</t>
  </si>
  <si>
    <t>UMBRELLA XS LIU GL(4309)</t>
  </si>
  <si>
    <t>EXCESS XS LIU GL(4321)</t>
  </si>
  <si>
    <t>EXCESS XS EXCESS/UMBRELLA(4215)</t>
  </si>
  <si>
    <t>BLENDED EXCESS LIU GL(4147)</t>
  </si>
  <si>
    <t>ENVIRONMENTAL IMPAIRMENT LIAB(7136)</t>
  </si>
  <si>
    <t>EUPO</t>
  </si>
  <si>
    <t>PRIMARY</t>
  </si>
  <si>
    <t>Coverage Trigger (UL)</t>
  </si>
  <si>
    <t>Claims Made</t>
  </si>
  <si>
    <t>Occurrence Reported</t>
  </si>
  <si>
    <t>Occurrence</t>
  </si>
  <si>
    <t>&amp;=Master.OPPORTUNITY_COVERAGE_TRIGGER_UL</t>
  </si>
  <si>
    <t>COVERAGE</t>
  </si>
  <si>
    <t>BASE EXPOSURE</t>
  </si>
  <si>
    <t>General Coverage (Casualty) (PRI)</t>
  </si>
  <si>
    <t>L001</t>
  </si>
  <si>
    <t>General Liab</t>
  </si>
  <si>
    <t>EXPOSURE BASE TYPE</t>
  </si>
  <si>
    <t>AGG LIMIT</t>
  </si>
  <si>
    <t>Third Party Liability (Terrorism) for Casualty</t>
  </si>
  <si>
    <t>&amp;=Master.OPPORTUNITY_OBSERVATIONS</t>
  </si>
  <si>
    <t>EXCESS</t>
  </si>
  <si>
    <t>L011, L021, L037, L031, L033, L034</t>
  </si>
  <si>
    <t>GENIUS Main Menu</t>
  </si>
  <si>
    <t>Underwriting</t>
  </si>
  <si>
    <t>Enquiries</t>
  </si>
  <si>
    <t>Renewal Menu</t>
  </si>
  <si>
    <t>Claims Menu</t>
  </si>
  <si>
    <t>Accounts Menu</t>
  </si>
  <si>
    <t>Diary</t>
  </si>
  <si>
    <t>Reports Menu</t>
  </si>
  <si>
    <t>Bureau Menu</t>
  </si>
  <si>
    <t>Housekeeping Menu</t>
  </si>
  <si>
    <t>Reporting Extract Menu</t>
  </si>
  <si>
    <t>AS400 Utilities Men</t>
  </si>
  <si>
    <t>Customer Specific Menu</t>
  </si>
  <si>
    <t>Signoff</t>
  </si>
  <si>
    <t>Selection</t>
  </si>
  <si>
    <t>Deduction</t>
  </si>
  <si>
    <t>Work with Coverages</t>
  </si>
  <si>
    <t>Cvr/Cur</t>
  </si>
  <si>
    <t>Coverage / Based on Amt</t>
  </si>
  <si>
    <t>GS Minimum St</t>
  </si>
  <si>
    <t>I061</t>
  </si>
  <si>
    <t>Excluded Cyber</t>
  </si>
  <si>
    <t>X001</t>
  </si>
  <si>
    <t>GEneral Liab</t>
  </si>
  <si>
    <t xml:space="preserve">OTHER COVERAGES </t>
  </si>
  <si>
    <t>SECCION GL PRIMARY</t>
  </si>
  <si>
    <t>Rating Area</t>
  </si>
  <si>
    <t>Line of Bus</t>
  </si>
  <si>
    <t>Pollution Cod</t>
  </si>
  <si>
    <t>Retention . . :</t>
  </si>
  <si>
    <t xml:space="preserve">               </t>
  </si>
  <si>
    <t>Agg Lmt Type  :</t>
  </si>
  <si>
    <t>1 Deductible Indem Exp</t>
  </si>
  <si>
    <t>2 Deductible Indem Only</t>
  </si>
  <si>
    <t>3 SIR Indem Exp</t>
  </si>
  <si>
    <t>4 SIR Indem Only</t>
  </si>
  <si>
    <t>5 None</t>
  </si>
  <si>
    <t>6 SIR EEC</t>
  </si>
  <si>
    <t>7 SIR EEC/AGG</t>
  </si>
  <si>
    <t>A Flat Rated</t>
  </si>
  <si>
    <t>B Loss Rated</t>
  </si>
  <si>
    <t>C Locations</t>
  </si>
  <si>
    <t>D Project Cost</t>
  </si>
  <si>
    <t>E Sales</t>
  </si>
  <si>
    <t>F Per Unit Imper</t>
  </si>
  <si>
    <t>F</t>
  </si>
  <si>
    <t>G Per Unit Metric</t>
  </si>
  <si>
    <t>G</t>
  </si>
  <si>
    <t>H Per Unit Other</t>
  </si>
  <si>
    <t>H</t>
  </si>
  <si>
    <t>I</t>
  </si>
  <si>
    <t>P Payroll</t>
  </si>
  <si>
    <t>SR Number of Stude</t>
  </si>
  <si>
    <t>SR</t>
  </si>
  <si>
    <t>TIV Tot Insured Val</t>
  </si>
  <si>
    <t>Y Revenues</t>
  </si>
  <si>
    <t>16 Contract Price</t>
  </si>
  <si>
    <t>21 No of Visitors</t>
  </si>
  <si>
    <t>22 No of Participa</t>
  </si>
  <si>
    <t>55 Gross Receipts</t>
  </si>
  <si>
    <t>56 Total Cost</t>
  </si>
  <si>
    <t>70 Railcars</t>
  </si>
  <si>
    <t>71 Tank Cars</t>
  </si>
  <si>
    <t>72 Locomotives</t>
  </si>
  <si>
    <t>73 RR Equipment</t>
  </si>
  <si>
    <t>74 Passengers</t>
  </si>
  <si>
    <t>75 Ticket Revenue</t>
  </si>
  <si>
    <t>I Area</t>
  </si>
  <si>
    <t>Coverage  . . : 001 INT L001 GEneral Liab</t>
  </si>
  <si>
    <t>Coverage  . . : 002 INT I051 GS Minimum Stan</t>
  </si>
  <si>
    <t>Coverage  . . : 003 INT Full Exclusion Cyber</t>
  </si>
  <si>
    <t>Coverage  . . : 004 INT L043 Terrorism Exclusion</t>
  </si>
  <si>
    <t>Coverage  . . : 005 INT L046 Terrorism Inclusion</t>
  </si>
  <si>
    <t>P – Policy Level</t>
  </si>
  <si>
    <t>S – Section Level</t>
  </si>
  <si>
    <t>D – Section Detail Level</t>
  </si>
  <si>
    <t>Pol/Sec/SD Level</t>
  </si>
  <si>
    <t>SIC</t>
  </si>
  <si>
    <t>Spec Clean, Polish, Sani Prep</t>
  </si>
  <si>
    <t>2842</t>
  </si>
  <si>
    <t>2676</t>
  </si>
  <si>
    <t>2673</t>
  </si>
  <si>
    <t>9431</t>
  </si>
  <si>
    <t>General Government, NOC</t>
  </si>
  <si>
    <t>9199</t>
  </si>
  <si>
    <t>9111</t>
  </si>
  <si>
    <t>Misc Business Credit Institu</t>
  </si>
  <si>
    <t>6159</t>
  </si>
  <si>
    <t>6081</t>
  </si>
  <si>
    <t>7623</t>
  </si>
  <si>
    <t>Auto Glass Replace Shops</t>
  </si>
  <si>
    <t>7313</t>
  </si>
  <si>
    <t>6519</t>
  </si>
  <si>
    <t>6515</t>
  </si>
  <si>
    <t>Insurance Carriers, NOC</t>
  </si>
  <si>
    <t>6399</t>
  </si>
  <si>
    <t>6331</t>
  </si>
  <si>
    <t>6289</t>
  </si>
  <si>
    <t>9511</t>
  </si>
  <si>
    <t>9532</t>
  </si>
  <si>
    <t>9531</t>
  </si>
  <si>
    <t>9512</t>
  </si>
  <si>
    <t>8651</t>
  </si>
  <si>
    <t>8611</t>
  </si>
  <si>
    <t>8249</t>
  </si>
  <si>
    <t>7992</t>
  </si>
  <si>
    <t>7948</t>
  </si>
  <si>
    <t>Commercial Banks, Not Elsew</t>
  </si>
  <si>
    <t>5989</t>
  </si>
  <si>
    <t>5719</t>
  </si>
  <si>
    <t>5651</t>
  </si>
  <si>
    <t>5611</t>
  </si>
  <si>
    <t>5441</t>
  </si>
  <si>
    <t>Hardware</t>
  </si>
  <si>
    <t>Grapes</t>
  </si>
  <si>
    <t>Sugarcane an</t>
  </si>
  <si>
    <t>2599</t>
  </si>
  <si>
    <t>1099</t>
  </si>
  <si>
    <t>1044</t>
  </si>
  <si>
    <t>Gold Ores</t>
  </si>
  <si>
    <t>1041</t>
  </si>
  <si>
    <t>1031</t>
  </si>
  <si>
    <t>1021</t>
  </si>
  <si>
    <t>Forestry Services</t>
  </si>
  <si>
    <t>2522</t>
  </si>
  <si>
    <t>2519</t>
  </si>
  <si>
    <t>2449</t>
  </si>
  <si>
    <t>2439</t>
  </si>
  <si>
    <t>2399</t>
  </si>
  <si>
    <t>Apparel and Access</t>
  </si>
  <si>
    <t>2389</t>
  </si>
  <si>
    <t>Wmn's, Infants' UnderNightwear</t>
  </si>
  <si>
    <t>2341</t>
  </si>
  <si>
    <t>2339</t>
  </si>
  <si>
    <t>2326</t>
  </si>
  <si>
    <t>2259</t>
  </si>
  <si>
    <t>2231</t>
  </si>
  <si>
    <t>2076</t>
  </si>
  <si>
    <t>Prepared Flour Mi</t>
  </si>
  <si>
    <t>2045</t>
  </si>
  <si>
    <t>2034</t>
  </si>
  <si>
    <t>1499</t>
  </si>
  <si>
    <t>Nonmet Minerals Servs, X Fuels</t>
  </si>
  <si>
    <t>1481</t>
  </si>
  <si>
    <t>Clay, Ceramic, and Refrac</t>
  </si>
  <si>
    <t>1459</t>
  </si>
  <si>
    <t>1389</t>
  </si>
  <si>
    <t>Vet Servs for Animal Special</t>
  </si>
  <si>
    <t>Animal Aquaculture</t>
  </si>
  <si>
    <t>Poultry and Eggs, Not E</t>
  </si>
  <si>
    <t>9651</t>
  </si>
  <si>
    <t>3548</t>
  </si>
  <si>
    <t>Air and Gas Compressors</t>
  </si>
  <si>
    <t>3563</t>
  </si>
  <si>
    <t>3561</t>
  </si>
  <si>
    <t>4961</t>
  </si>
  <si>
    <t>4959</t>
  </si>
  <si>
    <t>4924</t>
  </si>
  <si>
    <t>4783</t>
  </si>
  <si>
    <t>4492</t>
  </si>
  <si>
    <t>3632</t>
  </si>
  <si>
    <t>Electr Industrial Appar NOC</t>
  </si>
  <si>
    <t>3629</t>
  </si>
  <si>
    <t>3612</t>
  </si>
  <si>
    <t>3594</t>
  </si>
  <si>
    <t>3589</t>
  </si>
  <si>
    <t>3585</t>
  </si>
  <si>
    <t>3552</t>
  </si>
  <si>
    <t>3842</t>
  </si>
  <si>
    <t>3841</t>
  </si>
  <si>
    <t>Automatic Controls for Resid</t>
  </si>
  <si>
    <t>3822</t>
  </si>
  <si>
    <t>3579</t>
  </si>
  <si>
    <t>3569</t>
  </si>
  <si>
    <t>3568</t>
  </si>
  <si>
    <t>3799</t>
  </si>
  <si>
    <t>3795</t>
  </si>
  <si>
    <t>Electric Mach, Equip and Supp</t>
  </si>
  <si>
    <t>3699</t>
  </si>
  <si>
    <t>Lighting Equipment, NOC</t>
  </si>
  <si>
    <t>3648</t>
  </si>
  <si>
    <t>Electric Lamp Bulbs and Tubes</t>
  </si>
  <si>
    <t>3641</t>
  </si>
  <si>
    <t>4491</t>
  </si>
  <si>
    <t>Water Transp</t>
  </si>
  <si>
    <t>4489</t>
  </si>
  <si>
    <t>Ferries</t>
  </si>
  <si>
    <t>4482</t>
  </si>
  <si>
    <t>4173</t>
  </si>
  <si>
    <t>4131</t>
  </si>
  <si>
    <t>3996</t>
  </si>
  <si>
    <t>Photographic Equipmen</t>
  </si>
  <si>
    <t>3861</t>
  </si>
  <si>
    <t>Overhead Travel Cranes, Hoists</t>
  </si>
  <si>
    <t>3536</t>
  </si>
  <si>
    <t>3534</t>
  </si>
  <si>
    <t>Oil Gas Field Mach and Equip</t>
  </si>
  <si>
    <t>3533</t>
  </si>
  <si>
    <t>3532</t>
  </si>
  <si>
    <t>3519</t>
  </si>
  <si>
    <t>3498</t>
  </si>
  <si>
    <t>Industrial Valves</t>
  </si>
  <si>
    <t>3491</t>
  </si>
  <si>
    <t>Ammunition, Except for Sma</t>
  </si>
  <si>
    <t>3483</t>
  </si>
  <si>
    <t>Iron and Steel Forgings</t>
  </si>
  <si>
    <t>3462</t>
  </si>
  <si>
    <t>3452</t>
  </si>
  <si>
    <t>Misc Structural Metal Work</t>
  </si>
  <si>
    <t>3449</t>
  </si>
  <si>
    <t>3441</t>
  </si>
  <si>
    <t>Plumb Fixture Fittings Trim</t>
  </si>
  <si>
    <t>3432</t>
  </si>
  <si>
    <t>3429</t>
  </si>
  <si>
    <t>Primary Metal Products,</t>
  </si>
  <si>
    <t>3399</t>
  </si>
  <si>
    <t>3291</t>
  </si>
  <si>
    <t>Ready-Mixed Concrete</t>
  </si>
  <si>
    <t>3273</t>
  </si>
  <si>
    <t>3271</t>
  </si>
  <si>
    <t>2992</t>
  </si>
  <si>
    <t>3353</t>
  </si>
  <si>
    <t>3351</t>
  </si>
  <si>
    <t>3299</t>
  </si>
  <si>
    <t>3334</t>
  </si>
  <si>
    <t>2952</t>
  </si>
  <si>
    <t>2951</t>
  </si>
  <si>
    <t>2875</t>
  </si>
  <si>
    <t>4449</t>
  </si>
  <si>
    <t>Industrial Machinery &amp; Constru</t>
  </si>
  <si>
    <t>3531</t>
  </si>
  <si>
    <t>8082</t>
  </si>
  <si>
    <t>8063</t>
  </si>
  <si>
    <t>7353</t>
  </si>
  <si>
    <t>7381</t>
  </si>
  <si>
    <t>5251</t>
  </si>
  <si>
    <t>2086</t>
  </si>
  <si>
    <t>8422</t>
  </si>
  <si>
    <t>2131</t>
  </si>
  <si>
    <t>Fishing Hunting Misc</t>
  </si>
  <si>
    <t>0921</t>
  </si>
  <si>
    <t>Insurance Agents &amp; Brokers</t>
  </si>
  <si>
    <t>6411</t>
  </si>
  <si>
    <t>6324</t>
  </si>
  <si>
    <t>Real Estate Non Residential</t>
  </si>
  <si>
    <t>6512</t>
  </si>
  <si>
    <t>6552</t>
  </si>
  <si>
    <t>3366</t>
  </si>
  <si>
    <t>3316</t>
  </si>
  <si>
    <t>8721</t>
  </si>
  <si>
    <t>Professional Services NEC</t>
  </si>
  <si>
    <t>8999</t>
  </si>
  <si>
    <t>8743</t>
  </si>
  <si>
    <t>4941</t>
  </si>
  <si>
    <t>4952</t>
  </si>
  <si>
    <t>4953</t>
  </si>
  <si>
    <t>4922</t>
  </si>
  <si>
    <t>4911</t>
  </si>
  <si>
    <t>Personal Svs Photo Studio</t>
  </si>
  <si>
    <t>7221</t>
  </si>
  <si>
    <t>7299</t>
  </si>
  <si>
    <t>Heavy Constr Highway Street</t>
  </si>
  <si>
    <t>1611</t>
  </si>
  <si>
    <t>8062</t>
  </si>
  <si>
    <t>8351</t>
  </si>
  <si>
    <t>Petroleum Refining</t>
  </si>
  <si>
    <t>2911</t>
  </si>
  <si>
    <t>2999</t>
  </si>
  <si>
    <t>Leather Product NEC</t>
  </si>
  <si>
    <t>3199</t>
  </si>
  <si>
    <t>3143</t>
  </si>
  <si>
    <t>5941</t>
  </si>
  <si>
    <t>5995</t>
  </si>
  <si>
    <t>5999</t>
  </si>
  <si>
    <t>5311</t>
  </si>
  <si>
    <t>1711</t>
  </si>
  <si>
    <t>1791</t>
  </si>
  <si>
    <t>1799</t>
  </si>
  <si>
    <t>1629</t>
  </si>
  <si>
    <t>Construction Roofing Sheet Mtl</t>
  </si>
  <si>
    <t>1761</t>
  </si>
  <si>
    <t>1721</t>
  </si>
  <si>
    <t>1741</t>
  </si>
  <si>
    <t>8741</t>
  </si>
  <si>
    <t>1796</t>
  </si>
  <si>
    <t>2040</t>
  </si>
  <si>
    <t>4785</t>
  </si>
  <si>
    <t>6531</t>
  </si>
  <si>
    <t>4011</t>
  </si>
  <si>
    <t>1429</t>
  </si>
  <si>
    <t>Chemicals Synthetic Rubber</t>
  </si>
  <si>
    <t>2822</t>
  </si>
  <si>
    <t>Chemicals Soap Detergents</t>
  </si>
  <si>
    <t>2841</t>
  </si>
  <si>
    <t>Chemicals Plastic Synthetic</t>
  </si>
  <si>
    <t>2821</t>
  </si>
  <si>
    <t>4832</t>
  </si>
  <si>
    <t>Communication Cable TV Svs</t>
  </si>
  <si>
    <t>4841</t>
  </si>
  <si>
    <t>6021</t>
  </si>
  <si>
    <t>Agri Services Lawn Garden Svs</t>
  </si>
  <si>
    <t>8748</t>
  </si>
  <si>
    <t>8731</t>
  </si>
  <si>
    <t>4912</t>
  </si>
  <si>
    <t>4121</t>
  </si>
  <si>
    <t>3221</t>
  </si>
  <si>
    <t>3211</t>
  </si>
  <si>
    <t>4729</t>
  </si>
  <si>
    <t>7032</t>
  </si>
  <si>
    <t>7011</t>
  </si>
  <si>
    <t>8361</t>
  </si>
  <si>
    <t>8331</t>
  </si>
  <si>
    <t>7513</t>
  </si>
  <si>
    <t>3577</t>
  </si>
  <si>
    <t>7373</t>
  </si>
  <si>
    <t>Auto Service Tire Repair</t>
  </si>
  <si>
    <t>7514</t>
  </si>
  <si>
    <t>7515</t>
  </si>
  <si>
    <t>2891</t>
  </si>
  <si>
    <t>Chemicals &amp; Chemical Preparati</t>
  </si>
  <si>
    <t>2899</t>
  </si>
  <si>
    <t>5812</t>
  </si>
  <si>
    <t>5813</t>
  </si>
  <si>
    <t>Forestry</t>
  </si>
  <si>
    <t>5461</t>
  </si>
  <si>
    <t>5499</t>
  </si>
  <si>
    <t>Agri Livestock Chickens</t>
  </si>
  <si>
    <t>3088</t>
  </si>
  <si>
    <t>Rubber Product Plastic Resin</t>
  </si>
  <si>
    <t>3087</t>
  </si>
  <si>
    <t>3084</t>
  </si>
  <si>
    <t>3086</t>
  </si>
  <si>
    <t>2679</t>
  </si>
  <si>
    <t>2611</t>
  </si>
  <si>
    <t>2652</t>
  </si>
  <si>
    <t>2621</t>
  </si>
  <si>
    <t>2653</t>
  </si>
  <si>
    <t>2493</t>
  </si>
  <si>
    <t>4213</t>
  </si>
  <si>
    <t>Freight WHSE Storage NEC</t>
  </si>
  <si>
    <t>4226</t>
  </si>
  <si>
    <t>4222</t>
  </si>
  <si>
    <t>4212</t>
  </si>
  <si>
    <t>7217</t>
  </si>
  <si>
    <t>7231</t>
  </si>
  <si>
    <t>7997</t>
  </si>
  <si>
    <t>7941</t>
  </si>
  <si>
    <t>7991</t>
  </si>
  <si>
    <t>7929</t>
  </si>
  <si>
    <t>7996</t>
  </si>
  <si>
    <t>4741</t>
  </si>
  <si>
    <t>8111</t>
  </si>
  <si>
    <t>3144</t>
  </si>
  <si>
    <t>7322</t>
  </si>
  <si>
    <t>7349</t>
  </si>
  <si>
    <t>7311</t>
  </si>
  <si>
    <t>5511</t>
  </si>
  <si>
    <t>5531</t>
  </si>
  <si>
    <t>5541</t>
  </si>
  <si>
    <t>Transport Svs Tour Operators</t>
  </si>
  <si>
    <t>4725</t>
  </si>
  <si>
    <t>4731</t>
  </si>
  <si>
    <t>3732</t>
  </si>
  <si>
    <t>5722</t>
  </si>
  <si>
    <t>5731</t>
  </si>
  <si>
    <t>5712</t>
  </si>
  <si>
    <t>7261</t>
  </si>
  <si>
    <t>7216</t>
  </si>
  <si>
    <t>Agri Products Soybeans</t>
  </si>
  <si>
    <t>Agri Products Corn</t>
  </si>
  <si>
    <t>0115</t>
  </si>
  <si>
    <t>Agri Products Citrus Fruits</t>
  </si>
  <si>
    <t>2085</t>
  </si>
  <si>
    <t>6099</t>
  </si>
  <si>
    <t>4013</t>
  </si>
  <si>
    <t>3743</t>
  </si>
  <si>
    <t>Radio &amp; Television Broadcastin</t>
  </si>
  <si>
    <t>3663</t>
  </si>
  <si>
    <t>Household Appliances, Not Else</t>
  </si>
  <si>
    <t>3639</t>
  </si>
  <si>
    <t>Agri Livestock NEC</t>
  </si>
  <si>
    <t>Agri Livestock General</t>
  </si>
  <si>
    <t>Agri Livestock Dairy Farms</t>
  </si>
  <si>
    <t>7812</t>
  </si>
  <si>
    <t>6162</t>
  </si>
  <si>
    <t>3272</t>
  </si>
  <si>
    <t>3241</t>
  </si>
  <si>
    <t>9223</t>
  </si>
  <si>
    <t>5399</t>
  </si>
  <si>
    <t>3714</t>
  </si>
  <si>
    <t>7832</t>
  </si>
  <si>
    <t>8661</t>
  </si>
  <si>
    <t>8699</t>
  </si>
  <si>
    <t>Organizations Civic Fraternal</t>
  </si>
  <si>
    <t>8641</t>
  </si>
  <si>
    <t>2098</t>
  </si>
  <si>
    <t>2011</t>
  </si>
  <si>
    <t>2097</t>
  </si>
  <si>
    <t>2082</t>
  </si>
  <si>
    <t>6211</t>
  </si>
  <si>
    <t>8299</t>
  </si>
  <si>
    <t>3914</t>
  </si>
  <si>
    <t>3993</t>
  </si>
  <si>
    <t>3421</t>
  </si>
  <si>
    <t>3411</t>
  </si>
  <si>
    <t>3669</t>
  </si>
  <si>
    <t>4833</t>
  </si>
  <si>
    <t>4899</t>
  </si>
  <si>
    <t>5599</t>
  </si>
  <si>
    <t>Argi Services Crop Harvesting</t>
  </si>
  <si>
    <t>Apparel Shoe Stores</t>
  </si>
  <si>
    <t>5661</t>
  </si>
  <si>
    <t>Apparel Misc Apparel Store</t>
  </si>
  <si>
    <t>5699</t>
  </si>
  <si>
    <t>2329</t>
  </si>
  <si>
    <t>Apparel Womens Misses Clothing</t>
  </si>
  <si>
    <t>2369</t>
  </si>
  <si>
    <t>5621</t>
  </si>
  <si>
    <t>3081</t>
  </si>
  <si>
    <t>Rubber Product Plastic Bottle</t>
  </si>
  <si>
    <t>3085</t>
  </si>
  <si>
    <t>Rubber Product Plastc Footware</t>
  </si>
  <si>
    <t>3021</t>
  </si>
  <si>
    <t>3069</t>
  </si>
  <si>
    <t>8221</t>
  </si>
  <si>
    <t>8211</t>
  </si>
  <si>
    <t>4119</t>
  </si>
  <si>
    <t>4142</t>
  </si>
  <si>
    <t>4141</t>
  </si>
  <si>
    <t>2087</t>
  </si>
  <si>
    <t>2047</t>
  </si>
  <si>
    <t>2052</t>
  </si>
  <si>
    <t>2064</t>
  </si>
  <si>
    <t>1794</t>
  </si>
  <si>
    <t>4619</t>
  </si>
  <si>
    <t>4724</t>
  </si>
  <si>
    <t>Misc Retail LPG (Gas) Dealer</t>
  </si>
  <si>
    <t>5984</t>
  </si>
  <si>
    <t>5921</t>
  </si>
  <si>
    <t>5944</t>
  </si>
  <si>
    <t>5945</t>
  </si>
  <si>
    <t>5947</t>
  </si>
  <si>
    <t>2515</t>
  </si>
  <si>
    <t>5431</t>
  </si>
  <si>
    <t>2084</t>
  </si>
  <si>
    <t>Food Product Roasted Coffee</t>
  </si>
  <si>
    <t>2095</t>
  </si>
  <si>
    <t>2024</t>
  </si>
  <si>
    <t>2037</t>
  </si>
  <si>
    <t>2099</t>
  </si>
  <si>
    <t>Food Product Fluid Milk</t>
  </si>
  <si>
    <t>2026</t>
  </si>
  <si>
    <t>2033</t>
  </si>
  <si>
    <t>2062</t>
  </si>
  <si>
    <t>2048</t>
  </si>
  <si>
    <t>1795</t>
  </si>
  <si>
    <t>1781</t>
  </si>
  <si>
    <t>Chemicals Nitrogen Fertilizer</t>
  </si>
  <si>
    <t>2873</t>
  </si>
  <si>
    <t>2833</t>
  </si>
  <si>
    <t>2816</t>
  </si>
  <si>
    <t>Misc MFG Sporting Goods</t>
  </si>
  <si>
    <t>3949</t>
  </si>
  <si>
    <t>7342</t>
  </si>
  <si>
    <t>7389</t>
  </si>
  <si>
    <t>5331</t>
  </si>
  <si>
    <t>3621</t>
  </si>
  <si>
    <t>4499</t>
  </si>
  <si>
    <t>4493</t>
  </si>
  <si>
    <t>1522</t>
  </si>
  <si>
    <t>1542</t>
  </si>
  <si>
    <t>1541</t>
  </si>
  <si>
    <t>5962</t>
  </si>
  <si>
    <t>5993</t>
  </si>
  <si>
    <t>8059</t>
  </si>
  <si>
    <t>8051</t>
  </si>
  <si>
    <t>8099</t>
  </si>
  <si>
    <t>8049</t>
  </si>
  <si>
    <t>5912</t>
  </si>
  <si>
    <t>4913</t>
  </si>
  <si>
    <t>Textile Mill Finishers Cotton</t>
  </si>
  <si>
    <t>2261</t>
  </si>
  <si>
    <t>2211</t>
  </si>
  <si>
    <t>2295</t>
  </si>
  <si>
    <t>Operators of Dwellings, x Aprt</t>
  </si>
  <si>
    <t>6514</t>
  </si>
  <si>
    <t>1321</t>
  </si>
  <si>
    <t>1382</t>
  </si>
  <si>
    <t>Oil &amp; Gas Drilling Oil Wells</t>
  </si>
  <si>
    <t>1381</t>
  </si>
  <si>
    <t>Business Svs Computer NEC</t>
  </si>
  <si>
    <t>7379</t>
  </si>
  <si>
    <t>7335</t>
  </si>
  <si>
    <t>2091</t>
  </si>
  <si>
    <t>2421</t>
  </si>
  <si>
    <t>2411</t>
  </si>
  <si>
    <t>5211</t>
  </si>
  <si>
    <t>Agri Products Tree nuts</t>
  </si>
  <si>
    <t>4111</t>
  </si>
  <si>
    <t>3149</t>
  </si>
  <si>
    <t>3523</t>
  </si>
  <si>
    <t>3544</t>
  </si>
  <si>
    <t>9221</t>
  </si>
  <si>
    <t>5261</t>
  </si>
  <si>
    <t>3679</t>
  </si>
  <si>
    <t>3661</t>
  </si>
  <si>
    <t>7549</t>
  </si>
  <si>
    <t>7539</t>
  </si>
  <si>
    <t>7521</t>
  </si>
  <si>
    <t>5521</t>
  </si>
  <si>
    <t>5411</t>
  </si>
  <si>
    <t>1480</t>
  </si>
  <si>
    <t>3911</t>
  </si>
  <si>
    <t>Misc MFG Games Toys</t>
  </si>
  <si>
    <t>3944</t>
  </si>
  <si>
    <t>3942</t>
  </si>
  <si>
    <t>2392</t>
  </si>
  <si>
    <t>Apparel Fur Goods</t>
  </si>
  <si>
    <t>2371</t>
  </si>
  <si>
    <t>Apparel Apparel Belts</t>
  </si>
  <si>
    <t>2387</t>
  </si>
  <si>
    <t>1731</t>
  </si>
  <si>
    <t>Construction Concrete Work</t>
  </si>
  <si>
    <t>1771</t>
  </si>
  <si>
    <t>Construction Carpentry Work</t>
  </si>
  <si>
    <t>1751</t>
  </si>
  <si>
    <t>Mining Construction Stone Grav</t>
  </si>
  <si>
    <t>1442</t>
  </si>
  <si>
    <t>1090</t>
  </si>
  <si>
    <t>Misc Retail Fuel Oil Dealer</t>
  </si>
  <si>
    <t>5983</t>
  </si>
  <si>
    <t>5963</t>
  </si>
  <si>
    <t>5942</t>
  </si>
  <si>
    <t>7692</t>
  </si>
  <si>
    <t>7359</t>
  </si>
  <si>
    <t>7361</t>
  </si>
  <si>
    <t>7374</t>
  </si>
  <si>
    <t>2711</t>
  </si>
  <si>
    <t>2741</t>
  </si>
  <si>
    <t>Printing Commercial Print NEC</t>
  </si>
  <si>
    <t>2759</t>
  </si>
  <si>
    <t>Prim Metal Steel Wire Nails</t>
  </si>
  <si>
    <t>3315</t>
  </si>
  <si>
    <t>3317</t>
  </si>
  <si>
    <t>3325</t>
  </si>
  <si>
    <t>4813</t>
  </si>
  <si>
    <t>3365</t>
  </si>
  <si>
    <t>3444</t>
  </si>
  <si>
    <t>3496</t>
  </si>
  <si>
    <t>Food Product Prepared Seafood</t>
  </si>
  <si>
    <t>2092</t>
  </si>
  <si>
    <t>Food Product Prepared Meat</t>
  </si>
  <si>
    <t>2013</t>
  </si>
  <si>
    <t>Food Product Poultry Process</t>
  </si>
  <si>
    <t>2015</t>
  </si>
  <si>
    <t>2096</t>
  </si>
  <si>
    <t>8744</t>
  </si>
  <si>
    <t>8733</t>
  </si>
  <si>
    <t>8711</t>
  </si>
  <si>
    <t>8742</t>
  </si>
  <si>
    <t>8712</t>
  </si>
  <si>
    <t>1311</t>
  </si>
  <si>
    <t>4214</t>
  </si>
  <si>
    <t>8412</t>
  </si>
  <si>
    <t>3711</t>
  </si>
  <si>
    <t>3089</t>
  </si>
  <si>
    <t>3011</t>
  </si>
  <si>
    <t>8071</t>
  </si>
  <si>
    <t>Measure Instrument NEC</t>
  </si>
  <si>
    <t>3829</t>
  </si>
  <si>
    <t>1623</t>
  </si>
  <si>
    <t>Chemicals Phosphate Fertilizer</t>
  </si>
  <si>
    <t>2874</t>
  </si>
  <si>
    <t>2834</t>
  </si>
  <si>
    <t>Chemicals Pesticides</t>
  </si>
  <si>
    <t>2879</t>
  </si>
  <si>
    <t>2844</t>
  </si>
  <si>
    <t>Chemicals Paints Varnish</t>
  </si>
  <si>
    <t>2851</t>
  </si>
  <si>
    <t>Chemicals Industrial Gases</t>
  </si>
  <si>
    <t>2813</t>
  </si>
  <si>
    <t>7382</t>
  </si>
  <si>
    <t>7371</t>
  </si>
  <si>
    <t>4581</t>
  </si>
  <si>
    <t>0783</t>
  </si>
  <si>
    <t>8734</t>
  </si>
  <si>
    <t>8713</t>
  </si>
  <si>
    <t>Cane Sugar, Except Refining</t>
  </si>
  <si>
    <t>2061</t>
  </si>
  <si>
    <t>4932</t>
  </si>
  <si>
    <t>4925</t>
  </si>
  <si>
    <t>4789</t>
  </si>
  <si>
    <t>3559</t>
  </si>
  <si>
    <t>3499</t>
  </si>
  <si>
    <t>Irrigation Systems</t>
  </si>
  <si>
    <t>4971</t>
  </si>
  <si>
    <t>Explosives</t>
  </si>
  <si>
    <t>2892</t>
  </si>
  <si>
    <t>2499</t>
  </si>
  <si>
    <t>2299</t>
  </si>
  <si>
    <t>2083</t>
  </si>
  <si>
    <t>1622</t>
  </si>
  <si>
    <t>1479</t>
  </si>
  <si>
    <t>1081</t>
  </si>
  <si>
    <t>9224</t>
  </si>
  <si>
    <t>SECCION GL EXC</t>
  </si>
  <si>
    <t>FAC NAME</t>
  </si>
  <si>
    <t>SEC CODE</t>
  </si>
  <si>
    <t>CESION%</t>
  </si>
  <si>
    <t>OTHER FACS REGULAR</t>
  </si>
  <si>
    <t>Work with Section Details Screen</t>
  </si>
  <si>
    <t>Edit Name Involvement Screen</t>
  </si>
  <si>
    <t>Press:</t>
  </si>
  <si>
    <t>Enter</t>
  </si>
  <si>
    <t>Work with Policy Screen</t>
  </si>
  <si>
    <t>Enquiry</t>
  </si>
  <si>
    <t>Shift + F3</t>
  </si>
  <si>
    <t>Cmd Opt</t>
  </si>
  <si>
    <t>CQ</t>
  </si>
  <si>
    <t>&amp;=Master.OPPORTUNITY_PREMIUMGROSS</t>
  </si>
  <si>
    <t>Lead/Follow? :</t>
  </si>
  <si>
    <t>Shift + F5</t>
  </si>
  <si>
    <t>Currency?</t>
  </si>
  <si>
    <t>F12</t>
  </si>
  <si>
    <t>Enter Accounting Details</t>
  </si>
  <si>
    <t>Post to A/C</t>
  </si>
  <si>
    <t>INWD</t>
  </si>
  <si>
    <t>Process Mode</t>
  </si>
  <si>
    <t>X2</t>
  </si>
  <si>
    <t>Enter Amounts</t>
  </si>
  <si>
    <t>Policy</t>
  </si>
  <si>
    <t>Coverage</t>
  </si>
  <si>
    <t>RI Attachment</t>
  </si>
  <si>
    <t xml:space="preserve">Signed Line % </t>
  </si>
  <si>
    <t xml:space="preserve">Share % </t>
  </si>
  <si>
    <t xml:space="preserve">Calculation % </t>
  </si>
  <si>
    <t>Decimal Places</t>
  </si>
  <si>
    <t>Rev Description</t>
  </si>
  <si>
    <t>Debit</t>
  </si>
  <si>
    <t>Credit</t>
  </si>
  <si>
    <t>Total</t>
  </si>
  <si>
    <t>PRM Premium</t>
  </si>
  <si>
    <t>COM Commission</t>
  </si>
  <si>
    <t>Fees</t>
  </si>
  <si>
    <t>Taxes</t>
  </si>
  <si>
    <t>Net to Source:</t>
  </si>
  <si>
    <t>Engineering Fee $</t>
  </si>
  <si>
    <t>TOTAL</t>
  </si>
  <si>
    <t>PR</t>
  </si>
  <si>
    <t>CODE COMISSION</t>
  </si>
  <si>
    <t>OTHERS</t>
  </si>
  <si>
    <t>MACRO FAC WITH BROKER</t>
  </si>
  <si>
    <t>PANTALLA EN GENIUS DONDE COMIENZA MACRO</t>
  </si>
  <si>
    <t>FECHA INICIO FAC (MM/DD/AA)</t>
  </si>
  <si>
    <t>FECHA FIN FAC (MM/DD/AA)</t>
  </si>
  <si>
    <t>BUSSINESS CLASS</t>
  </si>
  <si>
    <t>MONEDA DEL NEGOCIO</t>
  </si>
  <si>
    <t>COMMISSION FAC</t>
  </si>
  <si>
    <t>LOB FAC</t>
  </si>
  <si>
    <t>BROKER FAC CODE</t>
  </si>
  <si>
    <t>REINSURER FAC CODE</t>
  </si>
  <si>
    <t>% CESION FACILITY</t>
  </si>
  <si>
    <t>INCLUIR MANUALMENTE LOS SIGUIENTES ITEMS DENTRO DEL FAC SELECCIONADO</t>
  </si>
  <si>
    <t>MACRO FAC WITHOUT BROKER</t>
  </si>
  <si>
    <t>MONEDA CONTABLE</t>
  </si>
  <si>
    <t>R12</t>
  </si>
  <si>
    <t>R21</t>
  </si>
  <si>
    <t>CYBER EXCLUSION</t>
  </si>
  <si>
    <t>CYBER TYPE</t>
  </si>
  <si>
    <t>APPROVED</t>
  </si>
  <si>
    <t>New/Renewal Code</t>
  </si>
  <si>
    <t>New</t>
  </si>
  <si>
    <t>IN</t>
  </si>
  <si>
    <t>IR</t>
  </si>
  <si>
    <t>IF</t>
  </si>
  <si>
    <t>B    Moderate Hazard</t>
  </si>
  <si>
    <t>1   Public/Products Liability</t>
  </si>
  <si>
    <t>2   Moderate Hazard</t>
  </si>
  <si>
    <t>3   High Hazard</t>
  </si>
  <si>
    <t>4   Very High Hazard</t>
  </si>
  <si>
    <t>0   Not Applicable</t>
  </si>
  <si>
    <t>EXCL Excluded</t>
  </si>
  <si>
    <t xml:space="preserve">INCL   Included    </t>
  </si>
  <si>
    <t>A    Low Hazard</t>
  </si>
  <si>
    <t>C    High Hazard</t>
  </si>
  <si>
    <t>D    Very High Hazard</t>
  </si>
  <si>
    <t>E    No Hazard</t>
  </si>
  <si>
    <t>0  Not Applicable</t>
  </si>
  <si>
    <t>3  Products Only</t>
  </si>
  <si>
    <t>2   In addn to limits</t>
  </si>
  <si>
    <t>1   Within limits</t>
  </si>
  <si>
    <t>1    Within limits</t>
  </si>
  <si>
    <t>3   Partially Within Limits</t>
  </si>
  <si>
    <t>N   Not Applicable</t>
  </si>
  <si>
    <t>0   General</t>
  </si>
  <si>
    <t>1   Prod/Compl Ops</t>
  </si>
  <si>
    <t>2  Location</t>
  </si>
  <si>
    <t>3  Pollution</t>
  </si>
  <si>
    <t>4  Follow Form</t>
  </si>
  <si>
    <t>5  Gen-Stretched</t>
  </si>
  <si>
    <t>6  PC Ops-Stretch</t>
  </si>
  <si>
    <t>7  Loc-Stretched</t>
  </si>
  <si>
    <t>8  Poll-Stretched</t>
  </si>
  <si>
    <t>9  Follow Form Stretched</t>
  </si>
  <si>
    <t>&amp;=Master.OPPORTUNITY_ENGINEERING_FEES</t>
  </si>
  <si>
    <t>2   Public Only</t>
  </si>
  <si>
    <t>Other (All countries in LATAM)</t>
  </si>
  <si>
    <t>EUPO Europe Only</t>
  </si>
  <si>
    <t>1   Low Hazard</t>
  </si>
  <si>
    <t>3MIAMI</t>
  </si>
  <si>
    <t>T0403C11-20A</t>
  </si>
  <si>
    <t>4PAULO</t>
  </si>
  <si>
    <t>T0403C13-20A</t>
  </si>
  <si>
    <t>3PR</t>
  </si>
  <si>
    <t>T0403C8-20A</t>
  </si>
  <si>
    <t>5MIAMI</t>
  </si>
  <si>
    <t>T0403E10-20A</t>
  </si>
  <si>
    <t>5PR</t>
  </si>
  <si>
    <t>T0403E8-20A</t>
  </si>
  <si>
    <t>T0403L3-20A</t>
  </si>
  <si>
    <t>T0403L4-20A</t>
  </si>
  <si>
    <t>T0403L5-20A</t>
  </si>
  <si>
    <t>T0403M2-20A</t>
  </si>
  <si>
    <t>T0403M3-20A</t>
  </si>
  <si>
    <t>T0403M4-20A</t>
  </si>
  <si>
    <t>T0403N4-20A</t>
  </si>
  <si>
    <t>T0403R0-20A</t>
  </si>
  <si>
    <t>T0403R2-20A</t>
  </si>
  <si>
    <t>T0403R3-20A</t>
  </si>
  <si>
    <t>T0403R5-20A</t>
  </si>
  <si>
    <t>T0403R7-20A</t>
  </si>
  <si>
    <t>T0403R9-20A</t>
  </si>
  <si>
    <t>T0403RB-20A</t>
  </si>
  <si>
    <t>T0403RI-20A</t>
  </si>
  <si>
    <t>T0403RK-20A</t>
  </si>
  <si>
    <t>T0403RL-20A</t>
  </si>
  <si>
    <t>T0403L3-21C</t>
  </si>
  <si>
    <t>T0403L4-21C</t>
  </si>
  <si>
    <t>T0403L5-21C</t>
  </si>
  <si>
    <t>T0403M2-21C</t>
  </si>
  <si>
    <t>T0403M3-21C</t>
  </si>
  <si>
    <t>T0403M4-21C</t>
  </si>
  <si>
    <t>T0403N4-21C</t>
  </si>
  <si>
    <t>T0403R0-21C</t>
  </si>
  <si>
    <t>T0403R2-21C</t>
  </si>
  <si>
    <t>T0403R3-21C</t>
  </si>
  <si>
    <t>T0403R5-21C</t>
  </si>
  <si>
    <t>T0403R6-21C</t>
  </si>
  <si>
    <t>T0403R7-21C</t>
  </si>
  <si>
    <t>T0403R9-21C</t>
  </si>
  <si>
    <t>T0403RI-21C</t>
  </si>
  <si>
    <t>T0403RK-21C</t>
  </si>
  <si>
    <t>T0403RL-21C</t>
  </si>
  <si>
    <t>T0403R0-22</t>
  </si>
  <si>
    <t>T0403R2-22</t>
  </si>
  <si>
    <t>T0403R3-22</t>
  </si>
  <si>
    <t>T0403R5-22</t>
  </si>
  <si>
    <t>T0403R6-22</t>
  </si>
  <si>
    <t>T0403R7-22</t>
  </si>
  <si>
    <t>T0403R9-22</t>
  </si>
  <si>
    <t>T0403N4-22</t>
  </si>
  <si>
    <t>T0403L3-22</t>
  </si>
  <si>
    <t>T0403L4-22</t>
  </si>
  <si>
    <t>T0403L5-22</t>
  </si>
  <si>
    <t>T0403M4-22</t>
  </si>
  <si>
    <t>T0403M3-22</t>
  </si>
  <si>
    <t>T0403M2-22</t>
  </si>
  <si>
    <t>T0403RI-22</t>
  </si>
  <si>
    <t>T0403RK-22</t>
  </si>
  <si>
    <t>T0403RL-22</t>
  </si>
  <si>
    <t>T0403R6-20A</t>
  </si>
  <si>
    <t>T0209O1-20</t>
  </si>
  <si>
    <t>COM</t>
  </si>
  <si>
    <t>COMPR</t>
  </si>
  <si>
    <t>COM1PR</t>
  </si>
  <si>
    <t>COM1</t>
  </si>
  <si>
    <t>Broker Commission Non-ceding</t>
  </si>
  <si>
    <t>001 INT L001 GEneral Liab</t>
  </si>
  <si>
    <t>Coverage  . . : 004 INT X001 Attachmnt Point</t>
  </si>
  <si>
    <t>On behalf of</t>
  </si>
  <si>
    <t>&amp;=FAC.FAC__CON_BEHALF_OF_NAME(noadd)</t>
  </si>
  <si>
    <t>TRATADO AP CAS</t>
  </si>
  <si>
    <t>&amp;=Master.OPPORTUNITY_LINEOFBUSINESS</t>
  </si>
  <si>
    <t>R41</t>
  </si>
  <si>
    <t>Through Broker</t>
  </si>
  <si>
    <t>BRK</t>
  </si>
  <si>
    <t>EXP BASE AMNT</t>
  </si>
  <si>
    <t>LIMIT TYPE</t>
  </si>
  <si>
    <t>EXP BASE TYPE</t>
  </si>
  <si>
    <t>Aggregate Limit</t>
  </si>
  <si>
    <t>&amp;=OppLineItems.OPPORTUNITY_LINEITEM_PRODUCT2(noadd)</t>
  </si>
  <si>
    <t>&amp;=OppLineItems.OPPORTUNITY_LINEITEM_LOB(noadd)</t>
  </si>
  <si>
    <t>&amp;=OppLineItems.OPPORTUNITY_LINEITEM_EXPOSURE_BASE_AMOUNT(noadd)</t>
  </si>
  <si>
    <t>&amp;=OppLineItems.OPPORTUNITY_LINEITEM_RISKLIMIT(noadd)</t>
  </si>
  <si>
    <t>&amp;=OppLineItems.OPPORTUNITY_LINEITEM_RETENTION(noadd)</t>
  </si>
  <si>
    <t>&amp;=OppLineItems.OPPORTUNITY_LINEITEM_TOTALPRICE(noadd)</t>
  </si>
  <si>
    <t>&amp;=OppLineItems.OPPORTUNITY_LINEITEM_RETENTION_TYPE(noadd)</t>
  </si>
  <si>
    <t>&amp;=OppLineItems.OPPORTUNITY_LINEITEM_LIMIT_TYPE(noadd)</t>
  </si>
  <si>
    <t>&amp;=OppLineItems.OPPORTUNITY_LINEITEM_EXPOSURE_BASE_AMMOUNT_TYPE(noadd)</t>
  </si>
  <si>
    <t>&amp;=OppLineItems.OPPORTUNITY_LINEITEM_RISK(NOADD)</t>
  </si>
  <si>
    <t>PRODUCTO A INGRESAR</t>
  </si>
  <si>
    <t>INGRESAR O NO?</t>
  </si>
  <si>
    <t>PRODUCT</t>
  </si>
  <si>
    <t>NOMBRE EN GENIUS</t>
  </si>
  <si>
    <t>LOB A UTILIZAR</t>
  </si>
  <si>
    <t>lob CODE</t>
  </si>
  <si>
    <t>&amp;=Master.OPPORTUNITY_AGG_LIMIT_TYPE</t>
  </si>
  <si>
    <t xml:space="preserve">Agg Limit Type	</t>
  </si>
  <si>
    <t>COMPONENT</t>
  </si>
  <si>
    <t>&amp;=Master.OPPORTUNITY_COMPONENT</t>
  </si>
  <si>
    <t>MAIN COVERAGE FOR NEXT COVERAGE</t>
  </si>
  <si>
    <t>&amp;=CoverageMain.OPPORTUNITYLINEITEM_LOB</t>
  </si>
  <si>
    <t>Terrorism Inclusion/Exclusion</t>
  </si>
  <si>
    <t>General Coverage (Casualty) (EXC)</t>
  </si>
  <si>
    <t>OTHER COVERAGES FOR EXC</t>
  </si>
  <si>
    <t>ALL COVERAGES</t>
  </si>
  <si>
    <t>L011</t>
  </si>
  <si>
    <t>L021</t>
  </si>
  <si>
    <t>L037</t>
  </si>
  <si>
    <t>L031</t>
  </si>
  <si>
    <t>L033</t>
  </si>
  <si>
    <t>L034</t>
  </si>
  <si>
    <t>Poll-Abs Excl</t>
  </si>
  <si>
    <t>EPL Exclusion</t>
  </si>
  <si>
    <t>Employers Liab</t>
  </si>
  <si>
    <t>Non Owned Auto</t>
  </si>
  <si>
    <t xml:space="preserve">Non Owned Water </t>
  </si>
  <si>
    <t>Owned Aircraft</t>
  </si>
  <si>
    <t>Coverage  . . : 009 INT L034 Owned Aircraft</t>
  </si>
  <si>
    <t>Coverage  . . : 005 INT L011 Poll-Abs Excl</t>
  </si>
  <si>
    <t>Coverage  . . : 006 INT INT L021 EPL Exclusion</t>
  </si>
  <si>
    <t>Coverage  . . : 007 INT L031 Employers Liab</t>
  </si>
  <si>
    <t>Coverage  . . : 008 INT L033 Non Owned Auto</t>
  </si>
  <si>
    <t>Coverage  . . : 0010 INT L037 Non Owned Water</t>
  </si>
  <si>
    <t>Pri Gen Liab</t>
  </si>
  <si>
    <t>Blnd Exc LIU GL</t>
  </si>
  <si>
    <t>Excess xs CGL</t>
  </si>
  <si>
    <t>Excess xs Umb</t>
  </si>
  <si>
    <t>Umbrella xs LIU</t>
  </si>
  <si>
    <t>ENVIRON IMP LIA</t>
  </si>
  <si>
    <t>PRM GROSS 100%</t>
  </si>
  <si>
    <t>PRM X SHARE</t>
  </si>
  <si>
    <t>ABV</t>
  </si>
  <si>
    <t>AL</t>
  </si>
  <si>
    <t>DZ</t>
  </si>
  <si>
    <t>AO</t>
  </si>
  <si>
    <t>AI</t>
  </si>
  <si>
    <t>AG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</si>
  <si>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</si>
  <si>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</si>
  <si>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</si>
  <si>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</si>
  <si>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</si>
  <si>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</si>
  <si>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</si>
  <si>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</si>
  <si>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</si>
  <si>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</si>
  <si>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</si>
  <si>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</si>
  <si>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</si>
  <si>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</si>
  <si>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</si>
  <si>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BOL</t>
  </si>
  <si>
    <t>BES</t>
  </si>
  <si>
    <t>BW</t>
  </si>
  <si>
    <t>BR</t>
  </si>
  <si>
    <t>VGB</t>
  </si>
  <si>
    <t>BDI</t>
  </si>
  <si>
    <t>BG</t>
  </si>
  <si>
    <t>KH</t>
  </si>
  <si>
    <t>CM</t>
  </si>
  <si>
    <t>CA</t>
  </si>
  <si>
    <t>CPV</t>
  </si>
  <si>
    <t>KY</t>
  </si>
  <si>
    <t>TD</t>
  </si>
  <si>
    <t>CL</t>
  </si>
  <si>
    <t>CN</t>
  </si>
  <si>
    <t>CO</t>
  </si>
  <si>
    <t>CG</t>
  </si>
  <si>
    <t>CR</t>
  </si>
  <si>
    <t>CU</t>
  </si>
  <si>
    <t>CUW</t>
  </si>
  <si>
    <t>CY</t>
  </si>
  <si>
    <t>CZ</t>
  </si>
  <si>
    <t>DNK</t>
  </si>
  <si>
    <t>DO</t>
  </si>
  <si>
    <t>EC</t>
  </si>
  <si>
    <t>EG</t>
  </si>
  <si>
    <t>SV</t>
  </si>
  <si>
    <t>EE</t>
  </si>
  <si>
    <t>ET</t>
  </si>
  <si>
    <t>FJ</t>
  </si>
  <si>
    <t>FI</t>
  </si>
  <si>
    <t>FR</t>
  </si>
  <si>
    <t>GF</t>
  </si>
  <si>
    <t>GE</t>
  </si>
  <si>
    <t>DE</t>
  </si>
  <si>
    <t>GR</t>
  </si>
  <si>
    <t>GU</t>
  </si>
  <si>
    <t>GTM</t>
  </si>
  <si>
    <t>HK</t>
  </si>
  <si>
    <t>HU</t>
  </si>
  <si>
    <t>IS</t>
  </si>
  <si>
    <t>ID</t>
  </si>
  <si>
    <t>IRN</t>
  </si>
  <si>
    <t>IE</t>
  </si>
  <si>
    <t>IL</t>
  </si>
  <si>
    <t>IT</t>
  </si>
  <si>
    <t>JM</t>
  </si>
  <si>
    <t>JP</t>
  </si>
  <si>
    <t>JE</t>
  </si>
  <si>
    <t>JO</t>
  </si>
  <si>
    <t>KW</t>
  </si>
  <si>
    <t>LV</t>
  </si>
  <si>
    <t>LT</t>
  </si>
  <si>
    <t>LU</t>
  </si>
  <si>
    <t>MY</t>
  </si>
  <si>
    <t>MX</t>
  </si>
  <si>
    <t>NO</t>
  </si>
  <si>
    <t>PK</t>
  </si>
  <si>
    <t>PA</t>
  </si>
  <si>
    <t>PY</t>
  </si>
  <si>
    <t>PE</t>
  </si>
  <si>
    <t>PH</t>
  </si>
  <si>
    <t>PL</t>
  </si>
  <si>
    <t>PT</t>
  </si>
  <si>
    <t>RO</t>
  </si>
  <si>
    <t>RW</t>
  </si>
  <si>
    <t>SA</t>
  </si>
  <si>
    <t>STK</t>
  </si>
  <si>
    <t>SK</t>
  </si>
  <si>
    <t>ZA</t>
  </si>
  <si>
    <t>ES</t>
  </si>
  <si>
    <t>SE</t>
  </si>
  <si>
    <t>CH</t>
  </si>
  <si>
    <t>TWN</t>
  </si>
  <si>
    <t>TH</t>
  </si>
  <si>
    <t>UG</t>
  </si>
  <si>
    <t>UA</t>
  </si>
  <si>
    <t>UY</t>
  </si>
  <si>
    <t>VEN</t>
  </si>
  <si>
    <t>VNM</t>
  </si>
  <si>
    <t>VG</t>
  </si>
  <si>
    <t>WLS</t>
  </si>
  <si>
    <t>YU</t>
  </si>
  <si>
    <t>ZR</t>
  </si>
  <si>
    <t>&amp;=Master.OPPORTUNITY_RENEWAL_TYPE</t>
  </si>
  <si>
    <t>Type</t>
  </si>
  <si>
    <t>Renewal Type</t>
  </si>
  <si>
    <t>Master Status</t>
  </si>
  <si>
    <t>Renew</t>
  </si>
  <si>
    <t>Auto Renewal</t>
  </si>
  <si>
    <t>Manual</t>
  </si>
  <si>
    <t>Submission</t>
  </si>
  <si>
    <t>Non-Renewable</t>
  </si>
  <si>
    <t>MASTER STATUS</t>
  </si>
  <si>
    <t>BFA</t>
  </si>
  <si>
    <t>CAF</t>
  </si>
  <si>
    <t>DM</t>
  </si>
  <si>
    <t>GG</t>
  </si>
  <si>
    <t>LB</t>
  </si>
  <si>
    <t>LI</t>
  </si>
  <si>
    <t>RU</t>
  </si>
  <si>
    <t>KR</t>
  </si>
  <si>
    <t>Affinite Fine Arts Terror Brazil</t>
  </si>
  <si>
    <t>AFFI0710</t>
  </si>
  <si>
    <t>Alsum Marine</t>
  </si>
  <si>
    <t>ALSU0043</t>
  </si>
  <si>
    <t>AON D&amp;O Brazil</t>
  </si>
  <si>
    <t>AOND0008</t>
  </si>
  <si>
    <t>ASSA Centro America</t>
  </si>
  <si>
    <t>ASSA0726</t>
  </si>
  <si>
    <t>Blue - cportugal</t>
  </si>
  <si>
    <t>BLUE4108</t>
  </si>
  <si>
    <t>Capital Bay Financial Lines Latam</t>
  </si>
  <si>
    <t>CAPI2592</t>
  </si>
  <si>
    <t>Delima Marsh Direct Colombia</t>
  </si>
  <si>
    <t>DELI0404</t>
  </si>
  <si>
    <t>Fronting FAC Business</t>
  </si>
  <si>
    <t>FRON1614</t>
  </si>
  <si>
    <t>Licitaciones Brasil</t>
  </si>
  <si>
    <t>LICI0025</t>
  </si>
  <si>
    <t>Marsh Peru Direct Facility CAR</t>
  </si>
  <si>
    <t>MAR17321</t>
  </si>
  <si>
    <t>Marlin Aon 1st Party Latam</t>
  </si>
  <si>
    <t>MARL1497</t>
  </si>
  <si>
    <t>Marsh D&amp;O Brazil</t>
  </si>
  <si>
    <t>MARS6838</t>
  </si>
  <si>
    <t>Marsh Pyme 5MM PERU DIRECT</t>
  </si>
  <si>
    <t>MARS9254</t>
  </si>
  <si>
    <t>Multinational Accounts Latam</t>
  </si>
  <si>
    <t>MNPL0008</t>
  </si>
  <si>
    <t>MSC Re Property Marine Financial Lines Ecuador</t>
  </si>
  <si>
    <t>MSCR0011</t>
  </si>
  <si>
    <t>MY - mvenazar</t>
  </si>
  <si>
    <t>MYMV0001</t>
  </si>
  <si>
    <t>PROVEEDORES BANCOLOMBIA Financial Lines Colombia</t>
  </si>
  <si>
    <t>PROV1321</t>
  </si>
  <si>
    <t>QP - cquiroz</t>
  </si>
  <si>
    <t>QUIR0172</t>
  </si>
  <si>
    <t>Renovacion LS+SwissRe CHL</t>
  </si>
  <si>
    <t>RENO0438</t>
  </si>
  <si>
    <t>Solis Re Property Energy</t>
  </si>
  <si>
    <t>SOLI0512</t>
  </si>
  <si>
    <t>Sprint Re</t>
  </si>
  <si>
    <t>SPRI2300</t>
  </si>
  <si>
    <t>Swiss Construction FAC retrocession</t>
  </si>
  <si>
    <t>SWIS0215</t>
  </si>
  <si>
    <t>UW Center Opp - Renovacion LS+SwissRe CHL</t>
  </si>
  <si>
    <t>Willis US D&amp;O Central America</t>
  </si>
  <si>
    <t>WIL02685</t>
  </si>
  <si>
    <t>0171</t>
  </si>
  <si>
    <t>0174</t>
  </si>
  <si>
    <t>0139</t>
  </si>
  <si>
    <t>0179</t>
  </si>
  <si>
    <t>0172</t>
  </si>
  <si>
    <t>0181</t>
  </si>
  <si>
    <t>0112</t>
  </si>
  <si>
    <t>0116</t>
  </si>
  <si>
    <t>0133</t>
  </si>
  <si>
    <t>0173</t>
  </si>
  <si>
    <t>0161</t>
  </si>
  <si>
    <t>0111</t>
  </si>
  <si>
    <t>0273</t>
  </si>
  <si>
    <t>0279</t>
  </si>
  <si>
    <t>0251</t>
  </si>
  <si>
    <t>0252</t>
  </si>
  <si>
    <t>0241</t>
  </si>
  <si>
    <t>0219</t>
  </si>
  <si>
    <t>0259</t>
  </si>
  <si>
    <t>0254</t>
  </si>
  <si>
    <t>0722</t>
  </si>
  <si>
    <t>0721</t>
  </si>
  <si>
    <t>0761</t>
  </si>
  <si>
    <t>0781</t>
  </si>
  <si>
    <t>0782</t>
  </si>
  <si>
    <t>0742</t>
  </si>
  <si>
    <t>0919</t>
  </si>
  <si>
    <t>0913</t>
  </si>
  <si>
    <t>0800</t>
  </si>
  <si>
    <t>0851</t>
  </si>
  <si>
    <t>4823</t>
  </si>
  <si>
    <t>Berry crops</t>
  </si>
  <si>
    <t xml:space="preserve"> Field Crops, Except</t>
  </si>
  <si>
    <t xml:space="preserve">Agri Products Fruit Nuts NEC </t>
  </si>
  <si>
    <t xml:space="preserve">Agri Prod Orchards Nurserys </t>
  </si>
  <si>
    <t xml:space="preserve">Agri Products Rice  </t>
  </si>
  <si>
    <t xml:space="preserve">Agri Products Veg Fruits </t>
  </si>
  <si>
    <t xml:space="preserve">Agri Products Wheat </t>
  </si>
  <si>
    <t xml:space="preserve">Agri Livestock Chicken Eggs </t>
  </si>
  <si>
    <t xml:space="preserve">Poultry Hatcheries </t>
  </si>
  <si>
    <t xml:space="preserve"> Agri Services Crop Planting</t>
  </si>
  <si>
    <t xml:space="preserve">Agri Services Farm Labor </t>
  </si>
  <si>
    <t xml:space="preserve">Agri Services Landscape Planng </t>
  </si>
  <si>
    <t xml:space="preserve">Agri Services Ornamental Shrub </t>
  </si>
  <si>
    <t>Fishing Hunting Hatcheries</t>
  </si>
  <si>
    <t xml:space="preserve">Fishing Hunting Shellfish </t>
  </si>
  <si>
    <t xml:space="preserve">Building Constr GC Industrial </t>
  </si>
  <si>
    <t xml:space="preserve"> Building Constr GC Other</t>
  </si>
  <si>
    <t xml:space="preserve"> Building Constr GC Residential</t>
  </si>
  <si>
    <t xml:space="preserve"> Construction Electrical</t>
  </si>
  <si>
    <t xml:space="preserve">Demolit/Construc/Excavation </t>
  </si>
  <si>
    <t xml:space="preserve">Construction installation NEC  </t>
  </si>
  <si>
    <t xml:space="preserve">Construction Masonry, Stone </t>
  </si>
  <si>
    <t xml:space="preserve">Construction Painting Paperhan  </t>
  </si>
  <si>
    <t xml:space="preserve">Construction Plumbing HVAC </t>
  </si>
  <si>
    <t xml:space="preserve">Construction Special Trade NEC </t>
  </si>
  <si>
    <t xml:space="preserve">Construction Structural Steel </t>
  </si>
  <si>
    <t xml:space="preserve">Construction Water Well Drill </t>
  </si>
  <si>
    <t xml:space="preserve">Construction Wrecking Demolitn </t>
  </si>
  <si>
    <t xml:space="preserve">Bridge Tunnel El Hghwy Constr </t>
  </si>
  <si>
    <t xml:space="preserve">Construction Services </t>
  </si>
  <si>
    <t>Water, Sewer, Pipeline</t>
  </si>
  <si>
    <t xml:space="preserve"> Branches Agenc Foreign Bnks</t>
  </si>
  <si>
    <t xml:space="preserve">Depository Institutions Banks </t>
  </si>
  <si>
    <t>Commercial Banks</t>
  </si>
  <si>
    <t xml:space="preserve">Fire, Marine, Casualty Ins </t>
  </si>
  <si>
    <t xml:space="preserve">Hospital Medical Svs Plan HMO </t>
  </si>
  <si>
    <t xml:space="preserve"> Mortgage Bankers &amp; Loan Corres</t>
  </si>
  <si>
    <t xml:space="preserve">Real Estate Apartment Building </t>
  </si>
  <si>
    <t xml:space="preserve"> Ops of Res Mobile Home Sites</t>
  </si>
  <si>
    <t xml:space="preserve"> Real Estate Agents Managers</t>
  </si>
  <si>
    <t xml:space="preserve">Lessors of Real Property NOC </t>
  </si>
  <si>
    <t xml:space="preserve"> Real Estate Developers</t>
  </si>
  <si>
    <t xml:space="preserve"> Security Broker Invest Advice</t>
  </si>
  <si>
    <t xml:space="preserve"> Services Allied With t</t>
  </si>
  <si>
    <t xml:space="preserve"> Security Broker Dealers</t>
  </si>
  <si>
    <t xml:space="preserve"> Fabricated Textile Prods NOC</t>
  </si>
  <si>
    <t xml:space="preserve">Apparel House Furnishings </t>
  </si>
  <si>
    <t xml:space="preserve"> Apparel Mens Boys Clothing</t>
  </si>
  <si>
    <t xml:space="preserve">Men's and Boys' Work Clothing </t>
  </si>
  <si>
    <t xml:space="preserve">Women's, Misses'Outerwear NOC </t>
  </si>
  <si>
    <t xml:space="preserve">Chemicals Adhesives Sealants </t>
  </si>
  <si>
    <t xml:space="preserve">Fertilizers, Mixing Only </t>
  </si>
  <si>
    <t xml:space="preserve">Chemicals Inorganic Pigments </t>
  </si>
  <si>
    <t xml:space="preserve">Chemicals Medicinal Chemicals </t>
  </si>
  <si>
    <t xml:space="preserve"> Chemicals Pharmacutical Prepa</t>
  </si>
  <si>
    <t xml:space="preserve">Chemicals Perfumes Cosmetics </t>
  </si>
  <si>
    <t xml:space="preserve">Communications Equip NOC </t>
  </si>
  <si>
    <t xml:space="preserve"> Electronic Components, Not</t>
  </si>
  <si>
    <t xml:space="preserve"> Household Refrigerators </t>
  </si>
  <si>
    <t xml:space="preserve">Motors and Generators  </t>
  </si>
  <si>
    <t xml:space="preserve"> Power, Distrib, Spec Transf</t>
  </si>
  <si>
    <t xml:space="preserve"> Electrical Equipment Telephone </t>
  </si>
  <si>
    <t xml:space="preserve"> Bolts, Nuts, Screws, Rivets </t>
  </si>
  <si>
    <t xml:space="preserve"> Fab Metal Cutlery </t>
  </si>
  <si>
    <t>Fab Metal Products, NOC</t>
  </si>
  <si>
    <t xml:space="preserve">Fabricated Pipe and Pipe </t>
  </si>
  <si>
    <t xml:space="preserve"> Fabricated Structural Metal</t>
  </si>
  <si>
    <t xml:space="preserve"> Hardware, Not Elsewhere Clas</t>
  </si>
  <si>
    <t xml:space="preserve"> Fab Metal Cans</t>
  </si>
  <si>
    <t xml:space="preserve"> Fab Metal Misc Fabricated Wire</t>
  </si>
  <si>
    <t xml:space="preserve">Fab Metal Sheet Metal Work  </t>
  </si>
  <si>
    <t xml:space="preserve">Bottled Drink Manufacturing </t>
  </si>
  <si>
    <t xml:space="preserve"> Food Product Confectionary</t>
  </si>
  <si>
    <t xml:space="preserve"> Food Product Cane Suga</t>
  </si>
  <si>
    <t xml:space="preserve"> Food Product Canned Seafood</t>
  </si>
  <si>
    <t xml:space="preserve">Food Product Canned Fruit Veg </t>
  </si>
  <si>
    <t xml:space="preserve">Food Product Cookies Crackers </t>
  </si>
  <si>
    <t xml:space="preserve"> Dried Dehydr Fruits, Vegets</t>
  </si>
  <si>
    <t>Distilled &amp; Blended Liquor Man</t>
  </si>
  <si>
    <t xml:space="preserve">Food Product Dog Cat Food </t>
  </si>
  <si>
    <t xml:space="preserve"> Food Product Flavorings </t>
  </si>
  <si>
    <t xml:space="preserve"> Food Product Food Prep NEC</t>
  </si>
  <si>
    <t xml:space="preserve">Food Processing - Other </t>
  </si>
  <si>
    <t xml:space="preserve">Food Product Frozen Fruit Veg  </t>
  </si>
  <si>
    <t xml:space="preserve">Food Product Ice Cream </t>
  </si>
  <si>
    <t xml:space="preserve">Food Product Pasta </t>
  </si>
  <si>
    <t>Malt</t>
  </si>
  <si>
    <t xml:space="preserve">Food Product Malt Beverage   </t>
  </si>
  <si>
    <t xml:space="preserve"> Food Product Manufactured Ic</t>
  </si>
  <si>
    <t xml:space="preserve"> Food Product Meat Pack Plant</t>
  </si>
  <si>
    <t xml:space="preserve"> Food Product Potato Snacks </t>
  </si>
  <si>
    <t xml:space="preserve">Food Product Animal Feeds </t>
  </si>
  <si>
    <t xml:space="preserve"> Vegetable Oil Mills, E</t>
  </si>
  <si>
    <t xml:space="preserve"> Food Product Wines &amp; Spirits </t>
  </si>
  <si>
    <t xml:space="preserve">Furniture and Fixtures, NOC </t>
  </si>
  <si>
    <t xml:space="preserve">Household Furniture, NOC </t>
  </si>
  <si>
    <t xml:space="preserve">Furniture Mattress Beds </t>
  </si>
  <si>
    <t xml:space="preserve">Office Furniture, Except W </t>
  </si>
  <si>
    <t xml:space="preserve">Computer Peripheral Equipment </t>
  </si>
  <si>
    <t xml:space="preserve"> Elevators and Moving Stairways</t>
  </si>
  <si>
    <t xml:space="preserve">Industr Mach Farm Equipment </t>
  </si>
  <si>
    <t xml:space="preserve">Fluid Power Pumps and Motors </t>
  </si>
  <si>
    <t xml:space="preserve">Gen Industrial Mach Equip NOC </t>
  </si>
  <si>
    <t xml:space="preserve">Internal Combustion Eng, NOC </t>
  </si>
  <si>
    <t xml:space="preserve">Mining Machinery Equip, X Oil </t>
  </si>
  <si>
    <t xml:space="preserve">Office Machines, NOC </t>
  </si>
  <si>
    <t xml:space="preserve">MechPower Transm Equip NOC </t>
  </si>
  <si>
    <t xml:space="preserve"> Pumps and Pumping Equipment</t>
  </si>
  <si>
    <t xml:space="preserve">AC and Warm Air Heat Equip  </t>
  </si>
  <si>
    <t xml:space="preserve"> Service Industry Machinery NOC</t>
  </si>
  <si>
    <t xml:space="preserve"> Industr Mach Dies Tools Molds</t>
  </si>
  <si>
    <t>Special Industry Machinery,</t>
  </si>
  <si>
    <t xml:space="preserve"> Textile Machinery</t>
  </si>
  <si>
    <t xml:space="preserve">Elect Gas Welding Soldering Eq </t>
  </si>
  <si>
    <t xml:space="preserve">Leather Product Footwear NEC </t>
  </si>
  <si>
    <t xml:space="preserve">Leather Product Mens Footwear </t>
  </si>
  <si>
    <t xml:space="preserve">Leather Product Women Footwear </t>
  </si>
  <si>
    <t xml:space="preserve">Lumber Product Logging </t>
  </si>
  <si>
    <t xml:space="preserve">Furniture - wood (unupholstrd) </t>
  </si>
  <si>
    <t xml:space="preserve"> Lumber Product Sawmills </t>
  </si>
  <si>
    <t xml:space="preserve">Structural Wood Members, NOC </t>
  </si>
  <si>
    <t xml:space="preserve">Wood Containers, Not Elsewh </t>
  </si>
  <si>
    <t xml:space="preserve">Surgical Medical Instruments </t>
  </si>
  <si>
    <t xml:space="preserve"> Orthopedic, Prosthetic, Surg</t>
  </si>
  <si>
    <t xml:space="preserve">Misc MFG Dolls Stuffed Toys </t>
  </si>
  <si>
    <t xml:space="preserve">Linoleum, Asphalted </t>
  </si>
  <si>
    <t xml:space="preserve">Misc MFG Jewelry Silver </t>
  </si>
  <si>
    <t xml:space="preserve"> Misc MFG Signs Specialties</t>
  </si>
  <si>
    <t xml:space="preserve">Misc MFG Silverware </t>
  </si>
  <si>
    <t xml:space="preserve"> Plastic, Foil, Coated Pper Bag</t>
  </si>
  <si>
    <t xml:space="preserve">Paper Products NEC </t>
  </si>
  <si>
    <t xml:space="preserve">Paper Product Corrugated Boxes </t>
  </si>
  <si>
    <t xml:space="preserve"> Paper Product Paper Mills</t>
  </si>
  <si>
    <t xml:space="preserve"> Paper Product Pulp Mills</t>
  </si>
  <si>
    <t xml:space="preserve">Sanitary Paper Products </t>
  </si>
  <si>
    <t xml:space="preserve">Paper Product Paperboard Boxes </t>
  </si>
  <si>
    <t xml:space="preserve">Asphalt Paving Mixtures </t>
  </si>
  <si>
    <t xml:space="preserve"> Lubricating Oils and Greases</t>
  </si>
  <si>
    <t xml:space="preserve"> Petroleum &amp; Coal Product Manuf </t>
  </si>
  <si>
    <t xml:space="preserve">Prim Metal Aluminum Foundry </t>
  </si>
  <si>
    <t xml:space="preserve">Aluminum Sheet, Plate, Foil </t>
  </si>
  <si>
    <t xml:space="preserve"> Prim Metal Cold Rolled Steel</t>
  </si>
  <si>
    <t xml:space="preserve">Prim Metal Copper Foundry   </t>
  </si>
  <si>
    <t xml:space="preserve">Rolling, Drawing, Extru Copper  </t>
  </si>
  <si>
    <t xml:space="preserve">Primary Production of Aluminum </t>
  </si>
  <si>
    <t xml:space="preserve">Prim Metal Steel Foundry NEC  </t>
  </si>
  <si>
    <t xml:space="preserve">Prim Metal Steel Pipe Tubes </t>
  </si>
  <si>
    <t xml:space="preserve">Printing Misc Publishing </t>
  </si>
  <si>
    <t>Printing Newspaper Publishing</t>
  </si>
  <si>
    <t xml:space="preserve"> Rubber Product NEC  </t>
  </si>
  <si>
    <t xml:space="preserve"> Rubber Product Plastic Foam</t>
  </si>
  <si>
    <t xml:space="preserve">Rubber Product Plastic Pipe </t>
  </si>
  <si>
    <t xml:space="preserve">Rubber Product Plumbing Fixtur </t>
  </si>
  <si>
    <t xml:space="preserve">Rubber Products Plastic NEC </t>
  </si>
  <si>
    <t xml:space="preserve">Rubber Product Tire Inner Tube </t>
  </si>
  <si>
    <t xml:space="preserve"> Rubber Product Plastic Film</t>
  </si>
  <si>
    <t xml:space="preserve">Abrasive Products </t>
  </si>
  <si>
    <t xml:space="preserve">Stone Glass Cement Hydraulic </t>
  </si>
  <si>
    <t xml:space="preserve">Concrete Block and Brick </t>
  </si>
  <si>
    <t xml:space="preserve"> Stone Glass Contrete Products</t>
  </si>
  <si>
    <t xml:space="preserve"> Stone Glass Flat Glass</t>
  </si>
  <si>
    <t xml:space="preserve"> Stone Glass Glass Containers</t>
  </si>
  <si>
    <t xml:space="preserve">Nonmetallic Mineral Produ   </t>
  </si>
  <si>
    <t xml:space="preserve"> Textile Mill Fabric Mills Cott</t>
  </si>
  <si>
    <t xml:space="preserve">Broadwoven Fabric Mills, Wool </t>
  </si>
  <si>
    <t xml:space="preserve">Textile Mill Coated Fabrics </t>
  </si>
  <si>
    <t xml:space="preserve"> Knitting Mills, NOC  </t>
  </si>
  <si>
    <t xml:space="preserve">Textile goods, Not Els </t>
  </si>
  <si>
    <t xml:space="preserve"> Tobacco - Chewing Smokeless</t>
  </si>
  <si>
    <t xml:space="preserve">Transport Equip Boat Building  </t>
  </si>
  <si>
    <t xml:space="preserve"> Motor Vehicle Parts And Access </t>
  </si>
  <si>
    <t xml:space="preserve"> Motor Vehicles And Passenger C </t>
  </si>
  <si>
    <t xml:space="preserve"> Railroad Equipment </t>
  </si>
  <si>
    <t xml:space="preserve"> Tanks and Tank Components</t>
  </si>
  <si>
    <t xml:space="preserve">Transportation Equipment, Not </t>
  </si>
  <si>
    <t xml:space="preserve">Coal Mining Mining Services </t>
  </si>
  <si>
    <t xml:space="preserve">Copper Ores </t>
  </si>
  <si>
    <t xml:space="preserve">Iron Ores </t>
  </si>
  <si>
    <t xml:space="preserve">Lead and Zinc Or  </t>
  </si>
  <si>
    <t xml:space="preserve">Metal Mining Services </t>
  </si>
  <si>
    <t xml:space="preserve"> Misc Metal Ores, NOC</t>
  </si>
  <si>
    <t xml:space="preserve"> Mining - Other Underground</t>
  </si>
  <si>
    <t xml:space="preserve"> Silver Ores</t>
  </si>
  <si>
    <t xml:space="preserve"> Chemical and Fertil </t>
  </si>
  <si>
    <t xml:space="preserve"> Mining Crushed Stone NEC</t>
  </si>
  <si>
    <t xml:space="preserve"> Misc Nonmet Minerals, X Fuels</t>
  </si>
  <si>
    <t xml:space="preserve"> Other Open Cast Mining  </t>
  </si>
  <si>
    <t>Oil &amp; Gas Crude Petroleum</t>
  </si>
  <si>
    <t xml:space="preserve">Oil &amp; Gas Natural Gas Liquid </t>
  </si>
  <si>
    <t xml:space="preserve">Oil &amp; Gas Field Exploration Sv </t>
  </si>
  <si>
    <t xml:space="preserve">Oil Gas Field Services, NOC </t>
  </si>
  <si>
    <t xml:space="preserve">Reg, Licens, Inspect of Misc </t>
  </si>
  <si>
    <t xml:space="preserve">Air Water Res Solid Wste Mgmnt </t>
  </si>
  <si>
    <t xml:space="preserve"> Admin of Housing Programs</t>
  </si>
  <si>
    <t xml:space="preserve"> Land, Mineral, Wildlife, Cnsrv</t>
  </si>
  <si>
    <t xml:space="preserve"> Admin of Urban Planning</t>
  </si>
  <si>
    <t xml:space="preserve">Admin of Pub Health Prgrms </t>
  </si>
  <si>
    <t xml:space="preserve"> Executive Offices</t>
  </si>
  <si>
    <t xml:space="preserve">Government Correction Facility  </t>
  </si>
  <si>
    <t xml:space="preserve"> Fire Protection</t>
  </si>
  <si>
    <t xml:space="preserve"> Government Police Protectio</t>
  </si>
  <si>
    <t xml:space="preserve">Family Clothing Stores </t>
  </si>
  <si>
    <t xml:space="preserve"> Men's Boys' Clothing Stores</t>
  </si>
  <si>
    <t xml:space="preserve"> Apparel Womens Clothing Store</t>
  </si>
  <si>
    <t xml:space="preserve"> Auto Dlr Home Supply Store </t>
  </si>
  <si>
    <t xml:space="preserve"> Auto Dlr Auto Dealer NEC</t>
  </si>
  <si>
    <t xml:space="preserve"> Auto Dlr Gas Station </t>
  </si>
  <si>
    <t xml:space="preserve"> Auto Dlr MV New Used</t>
  </si>
  <si>
    <t xml:space="preserve"> Auto Dlr Used only</t>
  </si>
  <si>
    <t xml:space="preserve"> Build Material Hardware Stores</t>
  </si>
  <si>
    <t xml:space="preserve">Build Material Lumber Dlrs  </t>
  </si>
  <si>
    <t xml:space="preserve"> Build Material Nurserys</t>
  </si>
  <si>
    <t xml:space="preserve"> Restaurants Drinking Places</t>
  </si>
  <si>
    <t xml:space="preserve">Restaurants Eating Places </t>
  </si>
  <si>
    <t xml:space="preserve">Candy, Nut, Confectionery St </t>
  </si>
  <si>
    <t xml:space="preserve">Food Store Fruit Vegetable </t>
  </si>
  <si>
    <t xml:space="preserve"> Other Retail </t>
  </si>
  <si>
    <t xml:space="preserve"> Food Store Misc Food Store</t>
  </si>
  <si>
    <t xml:space="preserve"> Food Store Retail Bakery</t>
  </si>
  <si>
    <t xml:space="preserve">General Merchandise Dept Store </t>
  </si>
  <si>
    <t xml:space="preserve"> General Merchandise Gen Store   </t>
  </si>
  <si>
    <t xml:space="preserve">Variety Stores </t>
  </si>
  <si>
    <t xml:space="preserve"> Home Furish Store Furniture </t>
  </si>
  <si>
    <t xml:space="preserve">Home Furish Store Misc Home </t>
  </si>
  <si>
    <t xml:space="preserve"> Misc home furnishings Store </t>
  </si>
  <si>
    <t>Home Furish Store Home Applnce</t>
  </si>
  <si>
    <t xml:space="preserve">Misc Retail Bookstore </t>
  </si>
  <si>
    <t xml:space="preserve">Misc Retail Direct Sales </t>
  </si>
  <si>
    <t xml:space="preserve">Drug Stores And Proprietary St   </t>
  </si>
  <si>
    <t xml:space="preserve"> Fuel Dealers, NOC</t>
  </si>
  <si>
    <t xml:space="preserve">Misc Retail Gift Souvenir Shop </t>
  </si>
  <si>
    <t xml:space="preserve">Misc Retail Hobby Toy Store </t>
  </si>
  <si>
    <t xml:space="preserve">Misc Retail Jewelery Store </t>
  </si>
  <si>
    <t xml:space="preserve"> Misc Retail Liquor Store </t>
  </si>
  <si>
    <t xml:space="preserve">Misc Retail Vending Machines </t>
  </si>
  <si>
    <t xml:space="preserve">Misc Retail NEC </t>
  </si>
  <si>
    <t xml:space="preserve">Misc Retail Optical Goods </t>
  </si>
  <si>
    <t xml:space="preserve">Misc Retail Sporting Goods   </t>
  </si>
  <si>
    <t xml:space="preserve">Misc Retail Tobacco Store </t>
  </si>
  <si>
    <t xml:space="preserve"> Recreation NEC</t>
  </si>
  <si>
    <t xml:space="preserve"> Recreation Amusement Parks </t>
  </si>
  <si>
    <t xml:space="preserve">Recreation Bands Orchestra </t>
  </si>
  <si>
    <t xml:space="preserve"> Recreation Sports Clubs </t>
  </si>
  <si>
    <t xml:space="preserve"> Recreation Fittnes Facilities</t>
  </si>
  <si>
    <t xml:space="preserve"> Public Golf Course</t>
  </si>
  <si>
    <t xml:space="preserve">Racing, Incl Track Operation </t>
  </si>
  <si>
    <t xml:space="preserve"> Recreation Pro Sports Clubs</t>
  </si>
  <si>
    <t xml:space="preserve"> Auto Service Auto Parking</t>
  </si>
  <si>
    <t xml:space="preserve">Auto Service Auto Services </t>
  </si>
  <si>
    <t xml:space="preserve"> Auto Service Car Leasing</t>
  </si>
  <si>
    <t xml:space="preserve"> Auto Service Car Rental</t>
  </si>
  <si>
    <t xml:space="preserve">Auto Service Truck Rental </t>
  </si>
  <si>
    <t xml:space="preserve">Business Svs Collection Svs </t>
  </si>
  <si>
    <t xml:space="preserve">Business Svs Advertise Agency </t>
  </si>
  <si>
    <t xml:space="preserve"> Business Svs Building Cleaning</t>
  </si>
  <si>
    <t xml:space="preserve"> Business Svs NEC </t>
  </si>
  <si>
    <t xml:space="preserve"> Business Svs Comm Photography</t>
  </si>
  <si>
    <t>mputer Integrated Syste</t>
  </si>
  <si>
    <t xml:space="preserve"> Business Svs Programming Svs</t>
  </si>
  <si>
    <t xml:space="preserve">Business Svs EDP Data Process </t>
  </si>
  <si>
    <t>Business Svs Guard Armored Car</t>
  </si>
  <si>
    <t xml:space="preserve">Business Svs Pest Control </t>
  </si>
  <si>
    <t xml:space="preserve">Business Svs Employment Agency </t>
  </si>
  <si>
    <t xml:space="preserve"> Business Svs Equip Rental NEC</t>
  </si>
  <si>
    <t xml:space="preserve">Business Svs Hvy Equip Rental </t>
  </si>
  <si>
    <t xml:space="preserve"> Radio, Television, and Pub</t>
  </si>
  <si>
    <t xml:space="preserve">Business Svs Security Systems </t>
  </si>
  <si>
    <t xml:space="preserve">Education Svs Colleges </t>
  </si>
  <si>
    <t xml:space="preserve">Education Services  </t>
  </si>
  <si>
    <t xml:space="preserve">Schools &amp; Educ. Services Other </t>
  </si>
  <si>
    <t xml:space="preserve">Vocational Schools, NOC </t>
  </si>
  <si>
    <t xml:space="preserve">Professional Svs Accounting </t>
  </si>
  <si>
    <t xml:space="preserve"> Professional Svs Architectural</t>
  </si>
  <si>
    <t xml:space="preserve"> Prof Svs Consulting NEC</t>
  </si>
  <si>
    <t xml:space="preserve">Prof Svs Comm Biological R&amp;D </t>
  </si>
  <si>
    <t xml:space="preserve">Professional Svs Engineering </t>
  </si>
  <si>
    <t xml:space="preserve"> Professional Svs Support Mgmt</t>
  </si>
  <si>
    <t xml:space="preserve">Professional Svs Consulting </t>
  </si>
  <si>
    <t xml:space="preserve">Construction Management  </t>
  </si>
  <si>
    <t xml:space="preserve"> Professional Svs Research Orgs</t>
  </si>
  <si>
    <t xml:space="preserve"> Prof Svs Public Relations</t>
  </si>
  <si>
    <t xml:space="preserve"> Professional Svs Surveying</t>
  </si>
  <si>
    <t xml:space="preserve"> Professional Svs Testing Labs</t>
  </si>
  <si>
    <t xml:space="preserve"> Health Services Gen Hospital </t>
  </si>
  <si>
    <t xml:space="preserve"> Health Services NEC</t>
  </si>
  <si>
    <t xml:space="preserve">Health Svs Home Health Care </t>
  </si>
  <si>
    <t>Medical Laboratories</t>
  </si>
  <si>
    <t>Health Services Nursing Home</t>
  </si>
  <si>
    <t xml:space="preserve">Health Services NEC </t>
  </si>
  <si>
    <t xml:space="preserve">Health Services Phych Hospital </t>
  </si>
  <si>
    <t xml:space="preserve"> Health Services Nursing Care</t>
  </si>
  <si>
    <t xml:space="preserve"> Lodging Place Hotel Motel</t>
  </si>
  <si>
    <t xml:space="preserve"> Lodging Place Recreation Camp</t>
  </si>
  <si>
    <t xml:space="preserve">Legal Services </t>
  </si>
  <si>
    <t xml:space="preserve"> Business Associations</t>
  </si>
  <si>
    <t xml:space="preserve">Organizations NEC </t>
  </si>
  <si>
    <t xml:space="preserve">Political Organizations </t>
  </si>
  <si>
    <t xml:space="preserve">Organizations Religious </t>
  </si>
  <si>
    <t xml:space="preserve"> Refrigeration and AC Serv</t>
  </si>
  <si>
    <t xml:space="preserve"> Misc Repair Welding</t>
  </si>
  <si>
    <t xml:space="preserve"> Motion Picture Productio</t>
  </si>
  <si>
    <t xml:space="preserve">Motion Picture Theaters </t>
  </si>
  <si>
    <t xml:space="preserve"> Botanical Gardens Aquarium</t>
  </si>
  <si>
    <t xml:space="preserve"> Museums &amp; Art Gallerie</t>
  </si>
  <si>
    <t xml:space="preserve"> Personal Svs Beauty Shops</t>
  </si>
  <si>
    <t xml:space="preserve"> Personal Svs Carpet Cleaning </t>
  </si>
  <si>
    <t xml:space="preserve"> Personal Svs Drycleaning Plant</t>
  </si>
  <si>
    <t xml:space="preserve">Personal Svs Funeral Parlor </t>
  </si>
  <si>
    <t xml:space="preserve"> Personal Svs Misc NEC </t>
  </si>
  <si>
    <t xml:space="preserve">Social Services Child Day Care </t>
  </si>
  <si>
    <t xml:space="preserve"> Social Services Job Training</t>
  </si>
  <si>
    <t xml:space="preserve"> Social Svs Residential Care</t>
  </si>
  <si>
    <t xml:space="preserve">Communication Services NEC </t>
  </si>
  <si>
    <t xml:space="preserve"> Communication Radio Broadcast</t>
  </si>
  <si>
    <t xml:space="preserve">Telephone Comm, Except R </t>
  </si>
  <si>
    <t>Communication TV Broadcast</t>
  </si>
  <si>
    <t xml:space="preserve"> Distribution of Electricit</t>
  </si>
  <si>
    <t xml:space="preserve">Utility Services Electricity </t>
  </si>
  <si>
    <t>Gas  Othr Services Combined</t>
  </si>
  <si>
    <t xml:space="preserve">Mixed, Manufactured, or Lique  </t>
  </si>
  <si>
    <t xml:space="preserve">Communication Radio Broadcast </t>
  </si>
  <si>
    <t xml:space="preserve"> Natural Gas Distribution</t>
  </si>
  <si>
    <t xml:space="preserve"> Utility Services Natural Gas</t>
  </si>
  <si>
    <t xml:space="preserve"> Production of Electricity</t>
  </si>
  <si>
    <t xml:space="preserve"> Utility Svs Refuse Systems</t>
  </si>
  <si>
    <t xml:space="preserve"> Sanitary Services,</t>
  </si>
  <si>
    <t xml:space="preserve">Utility Svs Sewerage Systems </t>
  </si>
  <si>
    <t xml:space="preserve"> Steam Air-Conditioning Supply</t>
  </si>
  <si>
    <t xml:space="preserve"> Utility Svs Water Supply</t>
  </si>
  <si>
    <t xml:space="preserve"> Local Transport Bus Svs Other</t>
  </si>
  <si>
    <t xml:space="preserve"> Terminal and Serv</t>
  </si>
  <si>
    <t xml:space="preserve"> Intercity and </t>
  </si>
  <si>
    <t xml:space="preserve"> Local and Suburban Transit</t>
  </si>
  <si>
    <t xml:space="preserve"> Local Transport Bus Svs Local</t>
  </si>
  <si>
    <t xml:space="preserve"> Local Transport NEC</t>
  </si>
  <si>
    <t xml:space="preserve"> Local Transport Taxicabs</t>
  </si>
  <si>
    <t xml:space="preserve"> Freight WHSE Local Truck Storg</t>
  </si>
  <si>
    <t xml:space="preserve"> Freight WHSE Local Trucking</t>
  </si>
  <si>
    <t xml:space="preserve"> Freight WHSE Reefer Warehouse</t>
  </si>
  <si>
    <t xml:space="preserve"> Freight WHSE Trucking Othe</t>
  </si>
  <si>
    <t xml:space="preserve"> Transport via pipelines </t>
  </si>
  <si>
    <t xml:space="preserve"> Railroads, Line-Haul Operating </t>
  </si>
  <si>
    <t xml:space="preserve">Railroad Switchng and Term </t>
  </si>
  <si>
    <t xml:space="preserve"> Air Transport Airport Terminal</t>
  </si>
  <si>
    <t xml:space="preserve"> Transport Svs Freight Broker</t>
  </si>
  <si>
    <t xml:space="preserve"> Fixd FAC &amp; INS &amp; WEIGH SRV-MVT</t>
  </si>
  <si>
    <t xml:space="preserve">Packing and Crating </t>
  </si>
  <si>
    <t xml:space="preserve"> Other Transport Activities</t>
  </si>
  <si>
    <t>Renting of Other Trnsprt Equip</t>
  </si>
  <si>
    <t xml:space="preserve"> Transportation Services, NOC</t>
  </si>
  <si>
    <t xml:space="preserve">Transport Svs Travel Agencies </t>
  </si>
  <si>
    <t xml:space="preserve">Water Transport Marinas </t>
  </si>
  <si>
    <t xml:space="preserve"> Marine Cargo Handling </t>
  </si>
  <si>
    <t xml:space="preserve"> Towing and Tugboat Service</t>
  </si>
  <si>
    <t xml:space="preserve"> Inland Water Transport</t>
  </si>
  <si>
    <t xml:space="preserve"> Water Transport Services NEC </t>
  </si>
  <si>
    <t xml:space="preserve">Whsl Durable Automobiles </t>
  </si>
  <si>
    <t xml:space="preserve"> Brick, Stone, Relat Constr Mat</t>
  </si>
  <si>
    <t xml:space="preserve">Whsl Durable Commercial NEC </t>
  </si>
  <si>
    <t xml:space="preserve">Whsl Durable Construct Mach </t>
  </si>
  <si>
    <t xml:space="preserve">Whsl Durable Goods NEC </t>
  </si>
  <si>
    <t xml:space="preserve">Electrical Apparatus Equip </t>
  </si>
  <si>
    <t xml:space="preserve">Whsl Durable Elec Appliance </t>
  </si>
  <si>
    <t xml:space="preserve">Whsl Durable Electronic Parts </t>
  </si>
  <si>
    <t xml:space="preserve">Home furnishin </t>
  </si>
  <si>
    <t xml:space="preserve">Industrial Supplies </t>
  </si>
  <si>
    <t xml:space="preserve">Whsl Durable Jewelry Prec Metl </t>
  </si>
  <si>
    <t xml:space="preserve"> Whsl Durable Med Dent Equip</t>
  </si>
  <si>
    <t xml:space="preserve"> Whsl Durable Office Equipment</t>
  </si>
  <si>
    <t xml:space="preserve"> Drug Supply-Low Hazard </t>
  </si>
  <si>
    <t xml:space="preserve"> Waste Transfer &amp;/or Recycling </t>
  </si>
  <si>
    <t xml:space="preserve">Whsl Durable Service Equipment </t>
  </si>
  <si>
    <t xml:space="preserve"> Tires and Tubes</t>
  </si>
  <si>
    <t xml:space="preserve">Warm Air Heating AC Equip </t>
  </si>
  <si>
    <t xml:space="preserve">Whsl NonDurable Beer Ale </t>
  </si>
  <si>
    <t xml:space="preserve"> Chems  Allied Products, NOC </t>
  </si>
  <si>
    <t xml:space="preserve"> Dairy Products, Except Dried</t>
  </si>
  <si>
    <t xml:space="preserve">Drugs, Drug Proprietaries </t>
  </si>
  <si>
    <t xml:space="preserve">Whsl NonDurable Farm Supplies </t>
  </si>
  <si>
    <t xml:space="preserve">Whsl NonDurable Fish Seafood </t>
  </si>
  <si>
    <t xml:space="preserve">Fresh Fruits and Vegetables </t>
  </si>
  <si>
    <t xml:space="preserve"> Whsl NonDurable Groceries </t>
  </si>
  <si>
    <t xml:space="preserve"> Meats and Meat Product </t>
  </si>
  <si>
    <t xml:space="preserve">Whsl NonDurable NEC </t>
  </si>
  <si>
    <t xml:space="preserve"> Packaged Frozen Foods</t>
  </si>
  <si>
    <t xml:space="preserve">Paints, Varnishes, Supplies </t>
  </si>
  <si>
    <t xml:space="preserve"> Petro Bulk Stations and Terms</t>
  </si>
  <si>
    <t xml:space="preserve"> Plastics Matrials, Basic Forms </t>
  </si>
  <si>
    <t xml:space="preserve">Whsl NonDurable Poultry Prod </t>
  </si>
  <si>
    <t xml:space="preserve">Stationary &amp; Office Supplies W </t>
  </si>
  <si>
    <t xml:space="preserve">Wine and Distille </t>
  </si>
  <si>
    <t xml:space="preserve"> Women's, Children's Clothing </t>
  </si>
  <si>
    <t>&amp;=Master.OPPORTUNITY_GENIUS_SIC_ID</t>
  </si>
  <si>
    <t>Click aquí para revisar y realizar ajuste manual a los fac "Net Premium Entered".</t>
  </si>
  <si>
    <t>T0403L3-23</t>
  </si>
  <si>
    <t>T0403L4-23</t>
  </si>
  <si>
    <t>T0403L5-23</t>
  </si>
  <si>
    <t>T0403M2-23</t>
  </si>
  <si>
    <t>T0403M3-23</t>
  </si>
  <si>
    <t>T0403M4-23</t>
  </si>
  <si>
    <t>T0403N4-23</t>
  </si>
  <si>
    <t>T0403R0-23</t>
  </si>
  <si>
    <t>T0403R2-23</t>
  </si>
  <si>
    <t>T0403R3-23</t>
  </si>
  <si>
    <t>T0403R5-23</t>
  </si>
  <si>
    <t>T0403R6-23</t>
  </si>
  <si>
    <t>T0403R7-23</t>
  </si>
  <si>
    <t>T0403R9-23</t>
  </si>
  <si>
    <t>T0403RI-23</t>
  </si>
  <si>
    <t>T0403RK-23</t>
  </si>
  <si>
    <t>T0403RL-23</t>
  </si>
  <si>
    <t>TODAY</t>
  </si>
  <si>
    <t>DER</t>
  </si>
  <si>
    <t>Opp Policy Number</t>
  </si>
  <si>
    <t>Opp title</t>
  </si>
  <si>
    <t>UW</t>
  </si>
  <si>
    <t>Country Risk</t>
  </si>
  <si>
    <t>&lt;input value="[down]2[enter][down][backtab]4[enter][enter][down][down][down][backtab]2[enter][pf6][tab][tab][tab]" row="0" col="0" movecursor="true" xlatehostkeys="true" encrypted="false" /&gt;</t>
  </si>
  <si>
    <t>&lt;input value="87334213A[tab]JOTHN[enter]3[enter]y[down][down][down][down][backtab]16[tab][tab]10[tab]13[tab][tab]" row="0" col="0" movecursor="true" xlatehostkeys="true" encrypted="false" /&gt;</t>
  </si>
  <si>
    <t>&lt;input value="12[tab]12[tab] [enter][enter][enter][enter]1[enter][enter][enter][enter][enter][enter]" row="0" col="0" movecursor="true" xlatehostkeys="true" encrypted="false" /&gt;</t>
  </si>
  <si>
    <t>&lt;HAScript name="EMISION CHILE MARINE" description="" timeout="60000" pausetime="800" promptall="true" blockinput="false" author="" creationdate="" supressclearevents="false" usevars="false"</t>
  </si>
  <si>
    <t>ignorepauseforenhancedtn="true" delayifnotenhancedtn="0" ignorepausetimeforenhancedtn="true" continueontimeout="false"&gt;</t>
  </si>
  <si>
    <t>&lt;screen name="Screen1" entryscreen="false" exitscreen="true" transient="true"&gt;</t>
  </si>
  <si>
    <t>&lt;description &gt;</t>
  </si>
  <si>
    <t>&lt;oia status="NOTINHIBITED" optional="false" invertmatch="false" /&gt;</t>
  </si>
  <si>
    <t>&lt;/description&gt;</t>
  </si>
  <si>
    <t>&lt;actions&gt;</t>
  </si>
  <si>
    <t>&lt;input value="101[enter][tab][tab]</t>
  </si>
  <si>
    <t>041323</t>
  </si>
  <si>
    <t>[tab]CAS[enter][enter]</t>
  </si>
  <si>
    <t>" row="5" col="20" movecursor="true" xlatehostkeys="true" encrypted="false" /&gt;</t>
  </si>
  <si>
    <t>&lt;input value="[enter][field+][field+][field+][enter][up]</t>
  </si>
  <si>
    <t>[tab]</t>
  </si>
  <si>
    <t>[tab]" row="0" col="0" movecursor="true" xlatehostkeys="true" encrypted="false" /&gt;</t>
  </si>
  <si>
    <t>&lt;input value="</t>
  </si>
  <si>
    <t>[tab]asu[tab]</t>
  </si>
  <si>
    <t>[field+]</t>
  </si>
  <si>
    <t>[field+][tab]</t>
  </si>
  <si>
    <t xml:space="preserve">[enter]y" row="0" col="0" movecursor="true" xlatehostkeys="true" encrypted="false" /&gt; </t>
  </si>
  <si>
    <t>01</t>
  </si>
  <si>
    <t>[tab][tab][tab][tab]</t>
  </si>
  <si>
    <t xml:space="preserve">usd[enter]y" row="0" col="0" movecursor="true" xlatehostkeys="true" encrypted="false" /&gt; </t>
  </si>
  <si>
    <t>&lt;input value="4[enter][tab]</t>
  </si>
  <si>
    <t>[tab][tab]</t>
  </si>
  <si>
    <t>[tab]100[enter][enter][enter][enter]" row="0" col="0" movecursor="true" xlatehostkeys="true" encrypted="false" /&gt;</t>
  </si>
  <si>
    <t>&lt;input value="[enter]y[down][left][left][left][left]2[enter][pf6]" row="0" col="0" movecursor="true" xlatehostkeys="true" encrypted="false" /&gt;</t>
  </si>
  <si>
    <t>[enter][enter]" row="8" col="19" movecursor="true" xlatehostkeys="true" encrypted="false" /&gt;</t>
  </si>
  <si>
    <t>&lt;input value="[tab][tab][tab][tab][tab]2[enter]2[enter][tab]4[tab][tab][tab][tab]4[tab][tab][tab][tab]4" row="12" col="02" movecursor="true" xlatehostkeys="true" encrypted="false" /&gt;</t>
  </si>
  <si>
    <t>&lt;input value="[enter][enter][enter][enter][enter][enter][enter]" row="12" col="02" movecursor="true" xlatehostkeys="true" encrypted="false" /&gt;</t>
  </si>
  <si>
    <t>&lt;/actions&gt;</t>
  </si>
  <si>
    <t>&lt;nextscreens timeout="0" &gt;</t>
  </si>
  <si>
    <t>&lt;/nextscreens&gt;</t>
  </si>
  <si>
    <t>&lt;recolimit value="10000" /&gt;</t>
  </si>
  <si>
    <t>&lt;/screen&gt;</t>
  </si>
  <si>
    <t>&lt;/HAScript&gt;</t>
  </si>
  <si>
    <t>051323</t>
  </si>
  <si>
    <t/>
  </si>
  <si>
    <t>&lt;input value="4[backtab][down]4[enter]" row="0" col="0" movecursor="true" xlatehostkeys="true" encrypted="false" /&gt;</t>
  </si>
  <si>
    <t>[down][down][down]</t>
  </si>
  <si>
    <t>[down]</t>
  </si>
  <si>
    <t>&lt;input value="[tab]</t>
  </si>
  <si>
    <t>[enter][enter][enter][enter]" row="0" col="0" movecursor="true" xlatehostkeys="true" encrypted="false" /&gt;</t>
  </si>
  <si>
    <t>&lt;input value="[tab]081222[tab]081223[tab][tab]091222[tab]50[tab]" row="0" col="0" movecursor="true" xlatehostkeys="true" encrypted="false" /&gt;</t>
  </si>
  <si>
    <t>&lt;input value="[tab]081222[tab]081223[tab][tab][tab]50[enter][enter][enter][enter]" row="0" col="0" movecursor="true" xlatehostkeys="true" encrypted="false" /&gt;</t>
  </si>
  <si>
    <t>&lt;input value="4[backtab][down]4[backtab][down]4[enter]" row="0" col="0" movecursor="true" xlatehostkeys="true" encrypted="false" /&gt;</t>
  </si>
  <si>
    <t>[enter]</t>
  </si>
  <si>
    <t>[enter]y[down][down][down][down][backtab]</t>
  </si>
  <si>
    <t>[tab][tab]" row="0" col="0" movecursor="true" xlatehostkeys="true" encrypted="false" /&gt;</t>
  </si>
  <si>
    <t>[enter][enter][enter][enter]</t>
  </si>
  <si>
    <t>[enter][enter][enter][enter][enter][enter]" row="0" col="0" movecursor="true" xlatehostkeys="true" encrypted="false" /&gt;</t>
  </si>
  <si>
    <t>&lt;input value="2[enter]</t>
  </si>
  <si>
    <t>[backtab]2[enter][down][backtab]2[enter][enter][pagedn]I061[enter]" row="8" col="02" movecursor="true" xlatehostkeys="true" encrypted="false" /&gt;</t>
  </si>
  <si>
    <t>[backtab]2[enter][down][left][left][left]2[enter][enter][pagedn]" row="8" col="02" movecursor="true" xlatehostkeys="true" encrypted="false" /&gt;</t>
  </si>
  <si>
    <t>[tab][tab][tab]</t>
  </si>
  <si>
    <t>[tab][enter][enter]" row="12" col="05" movecursor="true" xlatehostkeys="true" encrypted="false" /&gt;</t>
  </si>
  <si>
    <t>&lt;input value="[enter][enter][enter][enter]" row="0" col="0" movecursor="true" xlatehostkeys="true" encrypted="false" /&gt;</t>
  </si>
  <si>
    <t>&lt;input value="4[backtab][down]4[backtab][down]4[backtab][down]4[enter]" row="0" col="0" movecursor="true" xlatehostkeys="true" encrypted="false" /&gt;</t>
  </si>
  <si>
    <t>[backtab]2[enter][down][backtab]2[enter][enter][pagedn][pagedn]L046[enter]N2[enter]" row="8" col="02" movecursor="true" xlatehostkeys="true" encrypted="false" /&gt;</t>
  </si>
  <si>
    <t>&lt;input value="[tab][tab][tab][tab][tab][tab]</t>
  </si>
  <si>
    <t>[enter][enter][enter]y[pf12][pf12]" row="8" col="02" movecursor="true" xlatehostkeys="true" encrypted="false" /&gt;</t>
  </si>
  <si>
    <t>&lt;input value="4[backtab][down]4[backtab][down]4[backtab][down]4[backtab][down]4[enter]" row="0" col="0" movecursor="true" xlatehostkeys="true" encrypted="false" /&gt;</t>
  </si>
  <si>
    <t>&lt;input value="4[backtab][down]4[backtab][down]4[backtab][down]4[backtab][down]4[backtab][down]4[enter]"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</si>
  <si>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</si>
  <si>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</si>
  <si>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value="4[backtab][down]4[backtab][down]4[backtab][down]4[backtab][down]4[backtab][down]" row="0" col="0" movecursor="true" xlatehostkeys="true" encrypted="false" /&gt;</t>
  </si>
  <si>
    <t>&lt;input value="4[backtab][down]4[backtab][down]4[backtab][down]4[backtab][down]4[backtab][down]4[backtab][down]" row="0" col="0" movecursor="true" xlatehostkeys="true" encrypted="false" /&gt;</t>
  </si>
  <si>
    <t>&amp;</t>
  </si>
  <si>
    <t>" row="10" col="20" movecursor="true" xlatehostkeys="true" encrypted="false" /&gt;</t>
  </si>
  <si>
    <t>" row="12" col="02" movecursor="true" xlatehostkeys="true" encrypted="false" /&gt;</t>
  </si>
  <si>
    <t>&lt;input value="111[enter][enter]</t>
  </si>
  <si>
    <t>[enter][enter][enter][field+][field+][field+][field+][field+][tab][field+][field+]" row="5" col="20" movecursor="true" xlatehostkeys="true" encrypted="false" /&gt;</t>
  </si>
  <si>
    <t>&lt;input value="[field+][field+][tab][tab][field+][field+][field+][field+][field+][tab][tab][tab]" row="0" col="0" movecursor="true" xlatehostkeys="true" encrypted="false" /&gt;</t>
  </si>
  <si>
    <t>" row="0" col="0" movecursor="true" xlatehostkeys="true" encrypted="false" /&gt;</t>
  </si>
  <si>
    <t>&lt;input value="[tab][tab][tab]</t>
  </si>
  <si>
    <t>[enter][enter]" row="0" col="0" movecursor="true" xlatehostkeys="true" encrypted="false" /&gt;</t>
  </si>
  <si>
    <t>&lt;input value="[down]2[enter][down][backtab]2[enter][pf6][down][down][down][backtab]" row="0" col="0" movecursor="true" xlatehostkeys="true" encrypted="false" /&gt;</t>
  </si>
  <si>
    <t>100[enter][enter][enter][enter][enter]" row="0" col="0" movecursor="true" xlatehostkeys="true" encrypted="false" /&gt;</t>
  </si>
  <si>
    <t>&lt;input value="[enter][down][backtab]4[enter][enter][down][backtab]2[enter][pf6][down][down][down][backtab]" row="0" col="0" movecursor="true" xlatehostkeys="true" encrypted="false" /&gt;</t>
  </si>
  <si>
    <t>&lt;input value="N[down][down][backtab]19[enter][tab]</t>
  </si>
  <si>
    <t>[enter][enter][enter][enter][enter][enter]" row="14" col="05" movecursor="true" xlatehostkeys="true" encrypted="false" /&gt;</t>
  </si>
  <si>
    <t>&amp;=Master.OPPORTUNITY_BRANCHCODE[tab]</t>
  </si>
  <si>
    <t>&amp;=Master.OPPORTUNITY_CEDENT_GENIUS_ID[tab]</t>
  </si>
  <si>
    <t>GL for Surety LS Colombia</t>
  </si>
  <si>
    <t>GLFO0006</t>
  </si>
  <si>
    <t>Bonaire, Sint Eustatius and Saba</t>
  </si>
  <si>
    <t>DERRAMA PRGA (Assessment Fee Puerto Rico)</t>
  </si>
  <si>
    <t>[enter][enter][down][down][down][down][backtab]" row="8" col="19" movecursor="true" xlatehostkeys="true" encrypted="false" /&gt;</t>
  </si>
  <si>
    <t>[backtab]2[enter][down][backtab]2[enter][enter][pagedn][pagedn]L043[enter][enter]y[pf12][pf12]" row="8" col="02" movecursor="true" xlatehostkeys="true" encrypted="false" /&gt;</t>
  </si>
  <si>
    <t>[backtab]2[enter][down][backtab]2[enter][enter][pagedn][pagedn]L011[enter][enter]y[pf12][pf12]" row="8" col="02" movecursor="true" xlatehostkeys="true" encrypted="false" /&gt;</t>
  </si>
  <si>
    <t>[backtab]2[enter][down][backtab]2[enter][enter][pagedn][pagedn]L021[enter][enter]y[pf12][pf12]" row="8" col="02" movecursor="true" xlatehostkeys="true" encrypted="false" /&gt;</t>
  </si>
  <si>
    <t>[backtab]2[enter][down][backtab]2[enter][enter][pagedn][pagedn]L031[enter][enter]y[pf12][pf12]" row="8" col="02" movecursor="true" xlatehostkeys="true" encrypted="false" /&gt;</t>
  </si>
  <si>
    <t>[backtab]2[enter][down][backtab]2[enter][enter][pagedn][pagedn]L033[enter][enter]y[pf12][pf12]" row="8" col="02" movecursor="true" xlatehostkeys="true" encrypted="false" /&gt;</t>
  </si>
  <si>
    <t>[backtab]2[enter][down][backtab]2[enter][enter][pagedn][pagedn]L034[enter][enter]y[pf12][pf12]" row="8" col="02" movecursor="true" xlatehostkeys="true" encrypted="false" /&gt;</t>
  </si>
  <si>
    <t>[backtab]2[enter][down][backtab]2[enter][enter][pagedn][pagedn]L037[enter][enter]y[pf12][pf12]" row="8" col="02" movecursor="true" xlatehostkeys="true" encrypted="false" /&gt;</t>
  </si>
  <si>
    <t>&lt;input value="I051[enter]</t>
  </si>
  <si>
    <t>19[enter]</t>
  </si>
  <si>
    <t>[enter][enter][enter][enter][enter][enter][enter][enter]</t>
  </si>
  <si>
    <t>&lt;input value="[enter][enter][enter][enter][enter][enter][enter][enter]" row="12" col="02" movecursor="true" xlatehostkeys="true" encrypted="false" /&gt;</t>
  </si>
  <si>
    <t>&lt;input value="2[enter]2[enter][pagedn][pagedn][tab]10[tab]</t>
  </si>
  <si>
    <t>[enter][enter][enter]" row="12" col="2" movecursor="true" xlatehostkeys="true" encrypted="false" /&gt;</t>
  </si>
  <si>
    <t>&lt;input value="2[enter][pagedn]10[enter]</t>
  </si>
  <si>
    <t>[enter][enter][enter]" row="13" col="2" movecursor="true" xlatehostkeys="true" encrypted="false" /&gt;</t>
  </si>
  <si>
    <t>VALORES DEPENDE SI LLEVA O NO</t>
  </si>
  <si>
    <t>&lt;input value="2[enter][pagedn]10[enter][backtab][backtab][backtab][backtab][backtab][backtab]9[enter]" row="13" col="2" movecursor="true" xlatehostkeys="true" encrypted="false" /&gt;</t>
  </si>
  <si>
    <t>[tab]FAC[enter][enter]FAC[enter][backtab]</t>
  </si>
  <si>
    <t>[tab]PPFFAC[tab]" row="9" col="20" movecursor="true" xlatehostkeys="true" encrypted="false" /&gt;</t>
  </si>
  <si>
    <t>&lt;input value="[field+][backtab]</t>
  </si>
  <si>
    <t>[tab][field+][backtab]</t>
  </si>
  <si>
    <t>[tab][tab]" row="15" col="19" movecursor="true" xlatehostkeys="true" encrypted="false" /&gt;</t>
  </si>
  <si>
    <t>[enter][enter][enter]</t>
  </si>
  <si>
    <t>SGL01</t>
  </si>
  <si>
    <t xml:space="preserve">USD[enter][enter][enter][enter][enter]" row="18" col="19" movecursor="true" xlatehostkeys="true" encrypted="false" /&gt; </t>
  </si>
  <si>
    <t xml:space="preserve">&lt;input value="[backtab][backtab][backtab]4[enter][enter][enter][enter][enter]" row="0" col="0" movecursor="true" xlatehostkeys="true" encrypted="false" /&gt; </t>
  </si>
  <si>
    <t>&lt;input value="[down]2[enter][tab]*RI[enter][backtab]2[enter][pf6]FAC[tab][tab][tab]</t>
  </si>
  <si>
    <t>[enter][enter]r001[enter][enter]" row="0" col="0" movecursor="true" xlatehostkeys="true" encrypted="false" /&gt;</t>
  </si>
  <si>
    <t>&lt;input value="[pf12][enter]" row="0" col="0" movecursor="true" xlatehostkeys="true" encrypted="false" /&gt;</t>
  </si>
  <si>
    <t>COM-FAC</t>
  </si>
  <si>
    <t>&lt;input value="2[enter]2[enter][tab][pagedn][tab]10[tab]COM[tab]</t>
  </si>
  <si>
    <t>[tab][tab]1[enter][enter][enter]" row="10" col="2" movecursor="true" xlatehostkeys="true" encrypted="false" /&gt;</t>
  </si>
  <si>
    <t>RWT-FAC</t>
  </si>
  <si>
    <t>&lt;input value="2[enter]2[enter][tab][pagedn][tab]10[tab]RWT[tab]</t>
  </si>
  <si>
    <t>FD2A-FAC</t>
  </si>
  <si>
    <t>&lt;input value="2[enter]2[enter][tab][pagedn][tab]10[tab]FD2A[tab]</t>
  </si>
  <si>
    <t>&lt;input value="2[enter]2[enter][tab][pagedn][tab]10[tab]RWT[tab][tab][tab]1[enter][enter][enter]" row="10" col="2" movecursor="true" xlatehostkeys="true" encrypted="false" /&gt;</t>
  </si>
  <si>
    <t>BROKER-FAC</t>
  </si>
  <si>
    <t>&lt;input value="2[enter][backtab]2[enter][tab][tab][tab][tab]BN</t>
  </si>
  <si>
    <t>100[tab]?[enter][backtab][field+]" row="12" col="2" movecursor="true" xlatehostkeys="true" encrypted="false" /&gt;</t>
  </si>
  <si>
    <t>[enter][backtab]1[enter][tab][tab][tab][tab]9[enter][enter]N</t>
  </si>
  <si>
    <t>" row="9" col="4" movecursor="true" xlatehostkeys="true" encrypted="false" /&gt;</t>
  </si>
  <si>
    <t>&lt;input value="100[tab]100[tab][tab][tab]y[enter][enter][enter][enter][enter]" row="14" col="31" movecursor="true" xlatehostkeys="true" encrypted="false" /&gt;</t>
  </si>
  <si>
    <t>NO BROKER-FAC</t>
  </si>
  <si>
    <t>[enter][down][backtab]1[enter][enter][enter][enter]" row="9" col="4" movecursor="true" xlatehostkeys="true" encrypted="false" /&gt;</t>
  </si>
  <si>
    <t>&lt;input value="[down]</t>
  </si>
  <si>
    <t>[backtab]4[enter][enter][enter][enter][enter][down][down][down][down][down]2[enter]4[enter][enter][enter]" row="0" col="0" movecursor="true" xlatehostkeys="true" encrypted="false" /&gt;</t>
  </si>
  <si>
    <t>[tab][enter][enter][tab]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</si>
</sst>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[$-409]mmmm\ d\,\ yyyy;@"/>
    <numFmt numFmtId="166" formatCode="[$-409]dd\-mmm\-yy;@"/>
    <numFmt numFmtId="167" formatCode="0.0000%"/>
    <numFmt numFmtId="168" formatCode="0.0000"/>
    <numFmt numFmtId="169" formatCode="0.0000000%"/>
    <numFmt numFmtId="170" formatCode="_(* #,##0.0000000_);_(* \(#,##0.0000000\);_(* &quot;-&quot;??_);_(@_)"/>
    <numFmt numFmtId="171" formatCode="0.0000000000000"/>
    <numFmt numFmtId="172" formatCode="[$-409]d\-mmm\-yy;@"/>
    <numFmt numFmtId="173" formatCode="0.000"/>
    <numFmt numFmtId="174" formatCode="0.000000"/>
    <numFmt numFmtId="175" formatCode="mm/dd/yy;@"/>
    <numFmt numFmtId="176" formatCode="#,##0.000000"/>
    <numFmt numFmtId="177" formatCode="0.000000%"/>
    <numFmt numFmtId="178" formatCode="0.0000000"/>
  </numFmts>
  <fonts count="35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theme="4" tint="0.59999389629810485"/>
      <name val="Calibri"/>
      <family val="2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</font>
    <font>
      <b/>
      <sz val="11"/>
      <color rgb="FFFFFF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</font>
    <font>
      <sz val="11"/>
      <color rgb="FF222222"/>
      <name val="Calibri"/>
      <family val="2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MS Sans Serif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599932859279152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/>
      <diagonal/>
    </border>
    <border>
      <left/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9" fontId="8" fillId="0" borderId="0" applyFont="0" applyFill="0" applyBorder="0" applyAlignment="0" applyProtection="0"/>
    <xf numFmtId="0" fontId="7" fillId="0" borderId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0" borderId="0"/>
    <xf numFmtId="43" fontId="8" fillId="0" borderId="0" applyFont="0" applyFill="0" applyBorder="0" applyAlignment="0" applyProtection="0"/>
    <xf numFmtId="0" fontId="3" fillId="0" borderId="0"/>
    <xf numFmtId="0" fontId="31" fillId="0" borderId="0"/>
    <xf numFmtId="0" fontId="30" fillId="0" borderId="0"/>
    <xf numFmtId="0" fontId="33" fillId="0" borderId="0"/>
    <xf numFmtId="0" fontId="34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1" fillId="0" borderId="0"/>
  </cellStyleXfs>
  <cellXfs count="483">
    <xf numFmtId="0" fontId="0" fillId="0" borderId="0" xfId="0"/>
    <xf numFmtId="0" fontId="12" fillId="0" borderId="0" xfId="2" applyFont="1" applyAlignment="1">
      <alignment horizontal="left" vertical="center"/>
    </xf>
    <xf numFmtId="0" fontId="12" fillId="0" borderId="4" xfId="2" applyFont="1" applyBorder="1" applyAlignment="1">
      <alignment horizontal="center" vertical="center"/>
    </xf>
    <xf numFmtId="0" fontId="12" fillId="0" borderId="4" xfId="2" applyFont="1" applyBorder="1" applyAlignment="1">
      <alignment vertical="center"/>
    </xf>
    <xf numFmtId="0" fontId="16" fillId="5" borderId="4" xfId="2" applyFont="1" applyFill="1" applyBorder="1" applyAlignment="1">
      <alignment horizontal="left" vertical="center"/>
    </xf>
    <xf numFmtId="0" fontId="12" fillId="2" borderId="4" xfId="2" applyFont="1" applyFill="1" applyBorder="1" applyAlignment="1">
      <alignment horizontal="left" vertical="center"/>
    </xf>
    <xf numFmtId="1" fontId="13" fillId="5" borderId="4" xfId="2" applyNumberFormat="1" applyFont="1" applyFill="1" applyBorder="1" applyAlignment="1">
      <alignment horizontal="center" vertical="center"/>
    </xf>
    <xf numFmtId="0" fontId="15" fillId="0" borderId="4" xfId="2" applyFont="1" applyBorder="1" applyAlignment="1">
      <alignment horizontal="left" vertical="center"/>
    </xf>
    <xf numFmtId="0" fontId="15" fillId="2" borderId="4" xfId="2" applyFont="1" applyFill="1" applyBorder="1" applyAlignment="1">
      <alignment horizontal="left" vertical="center"/>
    </xf>
    <xf numFmtId="1" fontId="12" fillId="0" borderId="4" xfId="2" applyNumberFormat="1" applyFont="1" applyBorder="1" applyAlignment="1">
      <alignment horizontal="left" vertical="center"/>
    </xf>
    <xf numFmtId="0" fontId="12" fillId="2" borderId="4" xfId="4" applyFont="1" applyFill="1" applyBorder="1" applyAlignment="1">
      <alignment horizontal="left" vertical="center"/>
    </xf>
    <xf numFmtId="0" fontId="16" fillId="0" borderId="0" xfId="2" applyFont="1" applyAlignment="1">
      <alignment horizontal="right" vertical="center"/>
    </xf>
    <xf numFmtId="2" fontId="12" fillId="0" borderId="4" xfId="3" applyNumberFormat="1" applyFont="1" applyBorder="1" applyAlignment="1">
      <alignment horizontal="left" vertical="center"/>
    </xf>
    <xf numFmtId="1" fontId="12" fillId="0" borderId="19" xfId="2" applyNumberFormat="1" applyFont="1" applyBorder="1" applyAlignment="1">
      <alignment horizontal="left" vertical="center"/>
    </xf>
    <xf numFmtId="0" fontId="12" fillId="0" borderId="19" xfId="2" applyFont="1" applyBorder="1" applyAlignment="1">
      <alignment horizontal="left" vertical="center"/>
    </xf>
    <xf numFmtId="43" fontId="15" fillId="0" borderId="19" xfId="3" applyFont="1" applyFill="1" applyBorder="1" applyAlignment="1">
      <alignment horizontal="left" vertical="center"/>
    </xf>
    <xf numFmtId="43" fontId="12" fillId="0" borderId="19" xfId="3" applyFont="1" applyFill="1" applyBorder="1" applyAlignment="1">
      <alignment vertical="center"/>
    </xf>
    <xf numFmtId="166" fontId="12" fillId="2" borderId="4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left" vertical="center"/>
    </xf>
    <xf numFmtId="0" fontId="12" fillId="0" borderId="4" xfId="4" applyFont="1" applyBorder="1" applyAlignment="1">
      <alignment horizontal="left" vertical="center"/>
    </xf>
    <xf numFmtId="0" fontId="15" fillId="0" borderId="0" xfId="4" applyFont="1" applyAlignment="1">
      <alignment horizontal="left" vertical="center"/>
    </xf>
    <xf numFmtId="0" fontId="12" fillId="0" borderId="0" xfId="4" applyFont="1" applyAlignment="1">
      <alignment horizontal="left" vertical="center"/>
    </xf>
    <xf numFmtId="9" fontId="15" fillId="0" borderId="22" xfId="2" applyNumberFormat="1" applyFont="1" applyBorder="1" applyAlignment="1">
      <alignment horizontal="left" vertical="center"/>
    </xf>
    <xf numFmtId="0" fontId="15" fillId="2" borderId="4" xfId="4" applyFont="1" applyFill="1" applyBorder="1" applyAlignment="1">
      <alignment horizontal="left" vertical="center"/>
    </xf>
    <xf numFmtId="168" fontId="17" fillId="0" borderId="0" xfId="2" applyNumberFormat="1" applyFont="1" applyAlignment="1">
      <alignment horizontal="left" vertical="center"/>
    </xf>
    <xf numFmtId="0" fontId="16" fillId="5" borderId="23" xfId="2" applyFont="1" applyFill="1" applyBorder="1" applyAlignment="1">
      <alignment horizontal="left" vertical="center"/>
    </xf>
    <xf numFmtId="0" fontId="15" fillId="0" borderId="23" xfId="2" applyFont="1" applyBorder="1" applyAlignment="1">
      <alignment horizontal="left" vertical="center"/>
    </xf>
    <xf numFmtId="0" fontId="12" fillId="0" borderId="23" xfId="2" applyFont="1" applyBorder="1" applyAlignment="1">
      <alignment horizontal="left" vertical="center"/>
    </xf>
    <xf numFmtId="168" fontId="15" fillId="2" borderId="4" xfId="4" applyNumberFormat="1" applyFont="1" applyFill="1" applyBorder="1" applyAlignment="1">
      <alignment horizontal="left" vertical="center"/>
    </xf>
    <xf numFmtId="0" fontId="17" fillId="0" borderId="0" xfId="2" applyFont="1" applyAlignment="1">
      <alignment vertical="center"/>
    </xf>
    <xf numFmtId="0" fontId="13" fillId="5" borderId="4" xfId="2" applyFont="1" applyFill="1" applyBorder="1" applyAlignment="1">
      <alignment horizontal="center" vertical="center" wrapText="1"/>
    </xf>
    <xf numFmtId="169" fontId="12" fillId="0" borderId="4" xfId="5" applyNumberFormat="1" applyFont="1" applyBorder="1" applyAlignment="1">
      <alignment horizontal="left" vertical="center"/>
    </xf>
    <xf numFmtId="170" fontId="12" fillId="0" borderId="4" xfId="3" applyNumberFormat="1" applyFont="1" applyBorder="1" applyAlignment="1">
      <alignment horizontal="left" vertical="center"/>
    </xf>
    <xf numFmtId="0" fontId="18" fillId="0" borderId="4" xfId="2" applyFont="1" applyBorder="1"/>
    <xf numFmtId="0" fontId="16" fillId="0" borderId="2" xfId="2" applyFont="1" applyBorder="1" applyAlignment="1">
      <alignment horizontal="left" vertical="center"/>
    </xf>
    <xf numFmtId="2" fontId="18" fillId="0" borderId="4" xfId="2" applyNumberFormat="1" applyFont="1" applyBorder="1" applyAlignment="1">
      <alignment horizontal="left"/>
    </xf>
    <xf numFmtId="0" fontId="15" fillId="0" borderId="4" xfId="4" applyFont="1" applyBorder="1" applyAlignment="1">
      <alignment horizontal="left" vertical="center"/>
    </xf>
    <xf numFmtId="167" fontId="12" fillId="0" borderId="4" xfId="5" applyNumberFormat="1" applyFont="1" applyBorder="1" applyAlignment="1">
      <alignment horizontal="left" vertical="center"/>
    </xf>
    <xf numFmtId="164" fontId="12" fillId="0" borderId="0" xfId="2" applyNumberFormat="1" applyFont="1" applyAlignment="1">
      <alignment horizontal="left" vertical="center"/>
    </xf>
    <xf numFmtId="0" fontId="12" fillId="0" borderId="0" xfId="2" applyFont="1" applyAlignment="1">
      <alignment vertical="center"/>
    </xf>
    <xf numFmtId="0" fontId="13" fillId="5" borderId="4" xfId="2" applyFont="1" applyFill="1" applyBorder="1" applyAlignment="1">
      <alignment vertical="center"/>
    </xf>
    <xf numFmtId="0" fontId="15" fillId="2" borderId="4" xfId="2" applyFont="1" applyFill="1" applyBorder="1" applyAlignment="1">
      <alignment vertical="center" wrapText="1"/>
    </xf>
    <xf numFmtId="10" fontId="12" fillId="2" borderId="4" xfId="7" applyNumberFormat="1" applyFont="1" applyFill="1" applyBorder="1" applyAlignment="1">
      <alignment horizontal="left" vertical="center"/>
    </xf>
    <xf numFmtId="0" fontId="15" fillId="0" borderId="4" xfId="2" applyFont="1" applyBorder="1" applyAlignment="1">
      <alignment vertical="center" wrapText="1"/>
    </xf>
    <xf numFmtId="0" fontId="15" fillId="2" borderId="4" xfId="2" applyFont="1" applyFill="1" applyBorder="1" applyAlignment="1">
      <alignment vertical="center"/>
    </xf>
    <xf numFmtId="10" fontId="12" fillId="2" borderId="4" xfId="4" applyNumberFormat="1" applyFont="1" applyFill="1" applyBorder="1" applyAlignment="1">
      <alignment horizontal="left" vertical="center"/>
    </xf>
    <xf numFmtId="10" fontId="12" fillId="0" borderId="4" xfId="2" applyNumberFormat="1" applyFont="1" applyBorder="1" applyAlignment="1">
      <alignment horizontal="left" vertical="center"/>
    </xf>
    <xf numFmtId="0" fontId="16" fillId="5" borderId="4" xfId="2" applyFont="1" applyFill="1" applyBorder="1" applyAlignment="1">
      <alignment horizontal="center" vertical="center" wrapText="1"/>
    </xf>
    <xf numFmtId="0" fontId="18" fillId="9" borderId="4" xfId="2" applyFont="1" applyFill="1" applyBorder="1" applyAlignment="1">
      <alignment vertical="center"/>
    </xf>
    <xf numFmtId="0" fontId="12" fillId="0" borderId="0" xfId="2" quotePrefix="1" applyFont="1" applyAlignment="1">
      <alignment horizontal="left" vertical="center"/>
    </xf>
    <xf numFmtId="0" fontId="18" fillId="0" borderId="0" xfId="2" applyFont="1"/>
    <xf numFmtId="10" fontId="16" fillId="0" borderId="0" xfId="7" applyNumberFormat="1" applyFont="1" applyAlignment="1">
      <alignment horizontal="left" vertical="center"/>
    </xf>
    <xf numFmtId="10" fontId="15" fillId="0" borderId="0" xfId="7" applyNumberFormat="1" applyFont="1" applyAlignment="1">
      <alignment horizontal="left" vertical="center"/>
    </xf>
    <xf numFmtId="10" fontId="16" fillId="0" borderId="0" xfId="7" applyNumberFormat="1" applyFont="1" applyFill="1" applyBorder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5" borderId="4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2" fillId="0" borderId="0" xfId="0" applyFont="1"/>
    <xf numFmtId="0" fontId="12" fillId="0" borderId="4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 readingOrder="1"/>
    </xf>
    <xf numFmtId="0" fontId="0" fillId="0" borderId="4" xfId="0" applyBorder="1" applyAlignment="1">
      <alignment vertical="center"/>
    </xf>
    <xf numFmtId="0" fontId="12" fillId="0" borderId="4" xfId="2" applyFont="1" applyBorder="1" applyAlignment="1">
      <alignment horizontal="left" vertical="center"/>
    </xf>
    <xf numFmtId="166" fontId="12" fillId="0" borderId="4" xfId="2" applyNumberFormat="1" applyFont="1" applyBorder="1" applyAlignment="1">
      <alignment horizontal="left" vertic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5" borderId="4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horizontal="left"/>
    </xf>
    <xf numFmtId="0" fontId="12" fillId="0" borderId="0" xfId="0" applyFont="1" applyAlignment="1">
      <alignment horizontal="center"/>
    </xf>
    <xf numFmtId="2" fontId="12" fillId="0" borderId="23" xfId="3" applyNumberFormat="1" applyFont="1" applyBorder="1" applyAlignment="1">
      <alignment horizontal="left" vertical="center"/>
    </xf>
    <xf numFmtId="0" fontId="13" fillId="5" borderId="23" xfId="2" applyFont="1" applyFill="1" applyBorder="1" applyAlignment="1">
      <alignment horizontal="center" vertical="center" wrapText="1"/>
    </xf>
    <xf numFmtId="1" fontId="13" fillId="5" borderId="23" xfId="2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2" fillId="0" borderId="11" xfId="4" applyFont="1" applyBorder="1" applyAlignment="1">
      <alignment horizontal="left" vertical="center"/>
    </xf>
    <xf numFmtId="0" fontId="12" fillId="0" borderId="12" xfId="4" applyFont="1" applyBorder="1" applyAlignment="1">
      <alignment horizontal="left" vertical="center"/>
    </xf>
    <xf numFmtId="0" fontId="12" fillId="0" borderId="11" xfId="0" applyFont="1" applyBorder="1" applyAlignment="1">
      <alignment horizontal="left" vertical="center"/>
    </xf>
    <xf numFmtId="0" fontId="12" fillId="0" borderId="12" xfId="0" applyFont="1" applyBorder="1" applyAlignment="1">
      <alignment horizontal="left" vertical="center"/>
    </xf>
    <xf numFmtId="166" fontId="12" fillId="0" borderId="0" xfId="4" applyNumberFormat="1" applyFont="1" applyAlignment="1">
      <alignment horizontal="left" vertical="center"/>
    </xf>
    <xf numFmtId="9" fontId="12" fillId="0" borderId="0" xfId="4" applyNumberFormat="1" applyFont="1" applyAlignment="1">
      <alignment horizontal="left" vertical="center"/>
    </xf>
    <xf numFmtId="9" fontId="12" fillId="0" borderId="0" xfId="1" applyFont="1" applyAlignment="1">
      <alignment horizontal="left" vertical="center"/>
    </xf>
    <xf numFmtId="0" fontId="12" fillId="0" borderId="13" xfId="4" applyFont="1" applyBorder="1" applyAlignment="1">
      <alignment horizontal="left" vertical="center"/>
    </xf>
    <xf numFmtId="0" fontId="12" fillId="0" borderId="14" xfId="4" applyFont="1" applyBorder="1" applyAlignment="1">
      <alignment horizontal="left" vertical="center"/>
    </xf>
    <xf numFmtId="0" fontId="12" fillId="0" borderId="15" xfId="4" applyFont="1" applyBorder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0" fontId="16" fillId="0" borderId="13" xfId="0" applyFont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17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12" xfId="0" applyFont="1" applyBorder="1" applyAlignment="1">
      <alignment vertical="center"/>
    </xf>
    <xf numFmtId="166" fontId="12" fillId="0" borderId="11" xfId="4" applyNumberFormat="1" applyFont="1" applyBorder="1" applyAlignment="1">
      <alignment horizontal="left" vertical="center"/>
    </xf>
    <xf numFmtId="0" fontId="16" fillId="5" borderId="0" xfId="4" applyFont="1" applyFill="1" applyAlignment="1">
      <alignment horizontal="left" vertical="center"/>
    </xf>
    <xf numFmtId="0" fontId="12" fillId="0" borderId="27" xfId="4" applyFont="1" applyBorder="1" applyAlignment="1">
      <alignment horizontal="left" vertical="center"/>
    </xf>
    <xf numFmtId="0" fontId="12" fillId="0" borderId="28" xfId="4" applyFont="1" applyBorder="1" applyAlignment="1">
      <alignment horizontal="left" vertical="center"/>
    </xf>
    <xf numFmtId="0" fontId="16" fillId="5" borderId="27" xfId="4" applyFont="1" applyFill="1" applyBorder="1" applyAlignment="1">
      <alignment horizontal="left" vertical="center"/>
    </xf>
    <xf numFmtId="0" fontId="12" fillId="0" borderId="29" xfId="4" applyFont="1" applyBorder="1" applyAlignment="1">
      <alignment horizontal="left" vertical="center"/>
    </xf>
    <xf numFmtId="0" fontId="12" fillId="0" borderId="30" xfId="4" applyFont="1" applyBorder="1" applyAlignment="1">
      <alignment horizontal="left" vertical="center"/>
    </xf>
    <xf numFmtId="0" fontId="12" fillId="0" borderId="31" xfId="4" applyFont="1" applyBorder="1" applyAlignment="1">
      <alignment horizontal="left" vertical="center"/>
    </xf>
    <xf numFmtId="0" fontId="12" fillId="0" borderId="27" xfId="0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0" fontId="14" fillId="0" borderId="27" xfId="0" applyFont="1" applyBorder="1" applyAlignment="1">
      <alignment horizontal="center" vertical="center"/>
    </xf>
    <xf numFmtId="0" fontId="12" fillId="0" borderId="29" xfId="0" applyFont="1" applyBorder="1" applyAlignment="1">
      <alignment horizontal="left" vertical="center"/>
    </xf>
    <xf numFmtId="0" fontId="12" fillId="0" borderId="30" xfId="0" applyFont="1" applyBorder="1" applyAlignment="1">
      <alignment horizontal="left" vertical="center"/>
    </xf>
    <xf numFmtId="0" fontId="12" fillId="0" borderId="31" xfId="0" applyFont="1" applyBorder="1" applyAlignment="1">
      <alignment horizontal="left" vertical="center"/>
    </xf>
    <xf numFmtId="0" fontId="12" fillId="0" borderId="0" xfId="4" applyFont="1" applyAlignment="1">
      <alignment vertical="center"/>
    </xf>
    <xf numFmtId="0" fontId="12" fillId="0" borderId="12" xfId="4" applyFont="1" applyBorder="1" applyAlignment="1">
      <alignment vertical="center"/>
    </xf>
    <xf numFmtId="2" fontId="12" fillId="0" borderId="0" xfId="9" applyNumberFormat="1" applyFont="1" applyBorder="1" applyAlignment="1">
      <alignment horizontal="left" vertical="center"/>
    </xf>
    <xf numFmtId="43" fontId="12" fillId="0" borderId="0" xfId="9" applyFont="1" applyBorder="1" applyAlignment="1">
      <alignment horizontal="right" vertical="center"/>
    </xf>
    <xf numFmtId="2" fontId="12" fillId="0" borderId="0" xfId="0" applyNumberFormat="1" applyFont="1" applyAlignment="1">
      <alignment horizontal="left" vertical="center"/>
    </xf>
    <xf numFmtId="43" fontId="12" fillId="0" borderId="0" xfId="9" applyFont="1" applyBorder="1" applyAlignment="1">
      <alignment horizontal="left" vertical="center"/>
    </xf>
    <xf numFmtId="0" fontId="12" fillId="0" borderId="11" xfId="4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16" fillId="5" borderId="11" xfId="0" applyFont="1" applyFill="1" applyBorder="1" applyAlignment="1">
      <alignment vertical="center"/>
    </xf>
    <xf numFmtId="173" fontId="12" fillId="0" borderId="0" xfId="0" applyNumberFormat="1" applyFont="1" applyAlignment="1">
      <alignment horizontal="left" vertical="center"/>
    </xf>
    <xf numFmtId="0" fontId="12" fillId="0" borderId="28" xfId="4" applyFont="1" applyBorder="1" applyAlignment="1">
      <alignment vertical="center"/>
    </xf>
    <xf numFmtId="0" fontId="16" fillId="5" borderId="27" xfId="4" applyFont="1" applyFill="1" applyBorder="1" applyAlignment="1">
      <alignment horizontal="left" vertical="center" wrapText="1"/>
    </xf>
    <xf numFmtId="0" fontId="12" fillId="6" borderId="0" xfId="4" applyFont="1" applyFill="1" applyAlignment="1">
      <alignment horizontal="left" vertical="center"/>
    </xf>
    <xf numFmtId="0" fontId="16" fillId="5" borderId="0" xfId="4" applyFont="1" applyFill="1" applyAlignment="1">
      <alignment horizontal="left" vertical="center" wrapText="1"/>
    </xf>
    <xf numFmtId="14" fontId="12" fillId="0" borderId="0" xfId="4" applyNumberFormat="1" applyFont="1" applyAlignment="1">
      <alignment horizontal="left" vertical="center"/>
    </xf>
    <xf numFmtId="0" fontId="16" fillId="5" borderId="23" xfId="2" applyFont="1" applyFill="1" applyBorder="1" applyAlignment="1">
      <alignment horizontal="center" vertical="center"/>
    </xf>
    <xf numFmtId="0" fontId="16" fillId="5" borderId="37" xfId="2" applyFont="1" applyFill="1" applyBorder="1" applyAlignment="1">
      <alignment horizontal="center" vertical="center"/>
    </xf>
    <xf numFmtId="43" fontId="12" fillId="0" borderId="27" xfId="9" applyFont="1" applyBorder="1" applyAlignment="1">
      <alignment horizontal="left" vertical="center"/>
    </xf>
    <xf numFmtId="43" fontId="12" fillId="0" borderId="29" xfId="9" applyFont="1" applyBorder="1" applyAlignment="1">
      <alignment horizontal="left" vertical="center"/>
    </xf>
    <xf numFmtId="0" fontId="12" fillId="0" borderId="27" xfId="0" applyFont="1" applyBorder="1" applyAlignment="1">
      <alignment vertical="center"/>
    </xf>
    <xf numFmtId="0" fontId="12" fillId="0" borderId="28" xfId="0" applyFont="1" applyBorder="1" applyAlignment="1">
      <alignment vertical="center"/>
    </xf>
    <xf numFmtId="0" fontId="16" fillId="5" borderId="27" xfId="0" applyFont="1" applyFill="1" applyBorder="1" applyAlignment="1">
      <alignment horizontal="left" vertical="center"/>
    </xf>
    <xf numFmtId="1" fontId="12" fillId="0" borderId="28" xfId="0" applyNumberFormat="1" applyFont="1" applyBorder="1" applyAlignment="1">
      <alignment horizontal="left" vertical="center"/>
    </xf>
    <xf numFmtId="0" fontId="12" fillId="0" borderId="49" xfId="0" applyFont="1" applyBorder="1" applyAlignment="1">
      <alignment horizontal="left" vertical="center"/>
    </xf>
    <xf numFmtId="0" fontId="12" fillId="0" borderId="50" xfId="0" applyFont="1" applyBorder="1" applyAlignment="1">
      <alignment horizontal="left" vertical="center"/>
    </xf>
    <xf numFmtId="0" fontId="16" fillId="0" borderId="49" xfId="0" applyFont="1" applyBorder="1" applyAlignment="1">
      <alignment horizontal="left" vertical="center"/>
    </xf>
    <xf numFmtId="0" fontId="12" fillId="0" borderId="50" xfId="0" applyFont="1" applyBorder="1" applyAlignment="1">
      <alignment vertical="center"/>
    </xf>
    <xf numFmtId="0" fontId="12" fillId="0" borderId="27" xfId="4" applyFont="1" applyBorder="1" applyAlignment="1">
      <alignment vertical="center"/>
    </xf>
    <xf numFmtId="0" fontId="16" fillId="5" borderId="27" xfId="0" applyFont="1" applyFill="1" applyBorder="1" applyAlignment="1">
      <alignment vertical="center"/>
    </xf>
    <xf numFmtId="0" fontId="16" fillId="5" borderId="0" xfId="0" applyFont="1" applyFill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 wrapText="1"/>
    </xf>
    <xf numFmtId="0" fontId="13" fillId="5" borderId="0" xfId="4" applyFont="1" applyFill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164" fontId="12" fillId="0" borderId="0" xfId="6" applyFont="1" applyAlignment="1">
      <alignment horizontal="left" vertical="center"/>
    </xf>
    <xf numFmtId="0" fontId="12" fillId="2" borderId="11" xfId="0" applyFont="1" applyFill="1" applyBorder="1" applyAlignment="1">
      <alignment horizontal="left" vertical="center"/>
    </xf>
    <xf numFmtId="0" fontId="16" fillId="5" borderId="13" xfId="0" applyFont="1" applyFill="1" applyBorder="1" applyAlignment="1">
      <alignment horizontal="left" vertical="center"/>
    </xf>
    <xf numFmtId="0" fontId="12" fillId="6" borderId="14" xfId="0" applyFont="1" applyFill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0" fontId="12" fillId="0" borderId="9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6" fontId="12" fillId="0" borderId="0" xfId="0" applyNumberFormat="1" applyFont="1" applyAlignment="1">
      <alignment horizontal="left" vertical="center"/>
    </xf>
    <xf numFmtId="167" fontId="12" fillId="0" borderId="12" xfId="1" applyNumberFormat="1" applyFont="1" applyBorder="1" applyAlignment="1">
      <alignment horizontal="left" vertical="center"/>
    </xf>
    <xf numFmtId="4" fontId="12" fillId="0" borderId="0" xfId="0" applyNumberFormat="1" applyFont="1" applyAlignment="1">
      <alignment horizontal="left" vertical="center"/>
    </xf>
    <xf numFmtId="0" fontId="6" fillId="0" borderId="0" xfId="10" applyAlignment="1">
      <alignment vertical="center"/>
    </xf>
    <xf numFmtId="0" fontId="11" fillId="5" borderId="23" xfId="0" applyFont="1" applyFill="1" applyBorder="1" applyAlignment="1">
      <alignment horizontal="center" vertical="center" wrapText="1"/>
    </xf>
    <xf numFmtId="0" fontId="6" fillId="0" borderId="37" xfId="10" applyBorder="1" applyAlignment="1">
      <alignment vertical="center"/>
    </xf>
    <xf numFmtId="175" fontId="6" fillId="0" borderId="37" xfId="10" applyNumberFormat="1" applyBorder="1" applyAlignment="1">
      <alignment horizontal="left" vertical="center"/>
    </xf>
    <xf numFmtId="0" fontId="6" fillId="0" borderId="54" xfId="10" applyBorder="1" applyAlignment="1">
      <alignment horizontal="center" vertical="center"/>
    </xf>
    <xf numFmtId="0" fontId="6" fillId="0" borderId="37" xfId="10" applyBorder="1" applyAlignment="1">
      <alignment horizontal="left" vertical="center"/>
    </xf>
    <xf numFmtId="0" fontId="6" fillId="0" borderId="55" xfId="10" applyBorder="1" applyAlignment="1">
      <alignment horizontal="center" vertical="center"/>
    </xf>
    <xf numFmtId="2" fontId="6" fillId="0" borderId="37" xfId="10" applyNumberFormat="1" applyBorder="1" applyAlignment="1">
      <alignment horizontal="left" vertical="center"/>
    </xf>
    <xf numFmtId="0" fontId="23" fillId="3" borderId="0" xfId="10" applyFont="1" applyFill="1" applyAlignment="1">
      <alignment vertical="center"/>
    </xf>
    <xf numFmtId="2" fontId="6" fillId="0" borderId="0" xfId="10" applyNumberFormat="1" applyAlignment="1">
      <alignment horizontal="left" vertical="center"/>
    </xf>
    <xf numFmtId="2" fontId="10" fillId="0" borderId="0" xfId="10" applyNumberFormat="1" applyFont="1" applyAlignment="1">
      <alignment horizontal="left" vertical="center"/>
    </xf>
    <xf numFmtId="0" fontId="11" fillId="5" borderId="37" xfId="0" applyFont="1" applyFill="1" applyBorder="1" applyAlignment="1">
      <alignment horizontal="center" vertical="center" wrapText="1"/>
    </xf>
    <xf numFmtId="0" fontId="6" fillId="0" borderId="48" xfId="10" applyBorder="1" applyAlignment="1">
      <alignment horizontal="center" vertical="center"/>
    </xf>
    <xf numFmtId="0" fontId="12" fillId="0" borderId="0" xfId="10" applyFont="1" applyAlignment="1">
      <alignment vertical="center"/>
    </xf>
    <xf numFmtId="0" fontId="13" fillId="5" borderId="23" xfId="0" applyFont="1" applyFill="1" applyBorder="1" applyAlignment="1">
      <alignment horizontal="center" vertical="center" wrapText="1"/>
    </xf>
    <xf numFmtId="0" fontId="12" fillId="0" borderId="37" xfId="10" applyFont="1" applyBorder="1" applyAlignment="1">
      <alignment vertical="center"/>
    </xf>
    <xf numFmtId="175" fontId="12" fillId="0" borderId="56" xfId="10" applyNumberFormat="1" applyFont="1" applyBorder="1" applyAlignment="1">
      <alignment horizontal="left" vertical="center"/>
    </xf>
    <xf numFmtId="0" fontId="12" fillId="0" borderId="56" xfId="10" applyFont="1" applyBorder="1" applyAlignment="1">
      <alignment horizontal="left" vertical="center"/>
    </xf>
    <xf numFmtId="173" fontId="12" fillId="0" borderId="2" xfId="5" applyNumberFormat="1" applyFont="1" applyFill="1" applyBorder="1" applyAlignment="1">
      <alignment horizontal="left" vertical="center"/>
    </xf>
    <xf numFmtId="2" fontId="12" fillId="0" borderId="56" xfId="10" applyNumberFormat="1" applyFont="1" applyBorder="1" applyAlignment="1">
      <alignment horizontal="left" vertical="center"/>
    </xf>
    <xf numFmtId="0" fontId="14" fillId="3" borderId="0" xfId="10" applyFont="1" applyFill="1" applyAlignment="1">
      <alignment vertical="center"/>
    </xf>
    <xf numFmtId="2" fontId="12" fillId="0" borderId="0" xfId="10" applyNumberFormat="1" applyFont="1" applyAlignment="1">
      <alignment horizontal="left" vertical="center"/>
    </xf>
    <xf numFmtId="2" fontId="16" fillId="0" borderId="0" xfId="10" applyNumberFormat="1" applyFont="1" applyAlignment="1">
      <alignment horizontal="left" vertical="center"/>
    </xf>
    <xf numFmtId="0" fontId="13" fillId="5" borderId="37" xfId="0" applyFont="1" applyFill="1" applyBorder="1" applyAlignment="1">
      <alignment horizontal="center" vertical="center" wrapText="1"/>
    </xf>
    <xf numFmtId="0" fontId="13" fillId="5" borderId="56" xfId="0" applyFont="1" applyFill="1" applyBorder="1" applyAlignment="1">
      <alignment horizontal="center" vertical="center" wrapText="1"/>
    </xf>
    <xf numFmtId="0" fontId="12" fillId="0" borderId="4" xfId="2" applyFont="1" applyBorder="1"/>
    <xf numFmtId="0" fontId="12" fillId="0" borderId="4" xfId="0" applyFont="1" applyBorder="1"/>
    <xf numFmtId="0" fontId="12" fillId="0" borderId="4" xfId="4" applyFont="1" applyBorder="1"/>
    <xf numFmtId="0" fontId="12" fillId="0" borderId="4" xfId="4" applyFont="1" applyBorder="1" applyAlignment="1">
      <alignment vertical="center"/>
    </xf>
    <xf numFmtId="0" fontId="12" fillId="0" borderId="37" xfId="0" applyFont="1" applyBorder="1"/>
    <xf numFmtId="0" fontId="18" fillId="0" borderId="4" xfId="0" applyFont="1" applyBorder="1" applyAlignment="1">
      <alignment vertical="top"/>
    </xf>
    <xf numFmtId="165" fontId="16" fillId="5" borderId="4" xfId="0" applyNumberFormat="1" applyFont="1" applyFill="1" applyBorder="1" applyAlignment="1">
      <alignment horizontal="center"/>
    </xf>
    <xf numFmtId="0" fontId="18" fillId="0" borderId="37" xfId="0" applyFont="1" applyBorder="1" applyAlignment="1">
      <alignment vertical="top"/>
    </xf>
    <xf numFmtId="0" fontId="12" fillId="0" borderId="37" xfId="0" applyFont="1" applyBorder="1" applyAlignment="1">
      <alignment horizontal="center"/>
    </xf>
    <xf numFmtId="0" fontId="18" fillId="0" borderId="4" xfId="0" applyFont="1" applyBorder="1" applyAlignment="1">
      <alignment vertical="center"/>
    </xf>
    <xf numFmtId="0" fontId="18" fillId="0" borderId="37" xfId="0" applyFont="1" applyBorder="1" applyAlignment="1">
      <alignment vertical="center"/>
    </xf>
    <xf numFmtId="0" fontId="12" fillId="0" borderId="3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0" fontId="12" fillId="0" borderId="0" xfId="0" applyNumberFormat="1" applyFont="1" applyAlignment="1">
      <alignment horizontal="left" vertical="center"/>
    </xf>
    <xf numFmtId="0" fontId="12" fillId="0" borderId="11" xfId="4" applyFont="1" applyBorder="1" applyAlignment="1">
      <alignment horizontal="left" vertical="center" wrapText="1"/>
    </xf>
    <xf numFmtId="0" fontId="16" fillId="5" borderId="12" xfId="4" applyFont="1" applyFill="1" applyBorder="1" applyAlignment="1">
      <alignment horizontal="left" vertical="center"/>
    </xf>
    <xf numFmtId="0" fontId="16" fillId="2" borderId="11" xfId="4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4" fillId="0" borderId="14" xfId="4" applyFont="1" applyBorder="1" applyAlignment="1">
      <alignment vertical="center"/>
    </xf>
    <xf numFmtId="10" fontId="12" fillId="2" borderId="23" xfId="7" applyNumberFormat="1" applyFont="1" applyFill="1" applyBorder="1" applyAlignment="1">
      <alignment horizontal="left" vertical="center"/>
    </xf>
    <xf numFmtId="2" fontId="15" fillId="0" borderId="4" xfId="3" applyNumberFormat="1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6" fillId="5" borderId="4" xfId="2" applyFont="1" applyFill="1" applyBorder="1" applyAlignment="1">
      <alignment horizontal="center" vertical="center"/>
    </xf>
    <xf numFmtId="0" fontId="16" fillId="5" borderId="4" xfId="4" applyFont="1" applyFill="1" applyBorder="1" applyAlignment="1">
      <alignment horizontal="center" vertical="center"/>
    </xf>
    <xf numFmtId="49" fontId="12" fillId="0" borderId="4" xfId="0" applyNumberFormat="1" applyFont="1" applyBorder="1" applyAlignment="1">
      <alignment horizontal="left" vertical="center"/>
    </xf>
    <xf numFmtId="0" fontId="18" fillId="0" borderId="4" xfId="4" applyFont="1" applyBorder="1" applyAlignment="1">
      <alignment horizontal="left" vertical="center" readingOrder="1"/>
    </xf>
    <xf numFmtId="0" fontId="18" fillId="0" borderId="4" xfId="0" applyFont="1" applyBorder="1" applyAlignment="1">
      <alignment vertical="top" wrapText="1"/>
    </xf>
    <xf numFmtId="0" fontId="5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164" fontId="20" fillId="11" borderId="4" xfId="6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6" fontId="0" fillId="0" borderId="4" xfId="8" applyNumberFormat="1" applyFont="1" applyBorder="1" applyAlignment="1">
      <alignment horizontal="center" vertical="center"/>
    </xf>
    <xf numFmtId="177" fontId="5" fillId="0" borderId="4" xfId="8" applyNumberFormat="1" applyFont="1" applyBorder="1" applyAlignment="1">
      <alignment horizontal="center" vertical="center"/>
    </xf>
    <xf numFmtId="4" fontId="0" fillId="0" borderId="4" xfId="8" applyNumberFormat="1" applyFont="1" applyBorder="1" applyAlignment="1">
      <alignment horizontal="center" vertical="center"/>
    </xf>
    <xf numFmtId="17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77" fontId="0" fillId="0" borderId="4" xfId="8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174" fontId="12" fillId="3" borderId="0" xfId="8" applyNumberFormat="1" applyFont="1" applyFill="1" applyBorder="1" applyAlignment="1">
      <alignment horizontal="left" vertical="center" wrapText="1"/>
    </xf>
    <xf numFmtId="0" fontId="26" fillId="0" borderId="0" xfId="4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178" fontId="12" fillId="0" borderId="0" xfId="3" applyNumberFormat="1" applyFont="1" applyBorder="1" applyAlignment="1">
      <alignment horizontal="left" vertical="center"/>
    </xf>
    <xf numFmtId="178" fontId="15" fillId="0" borderId="14" xfId="0" applyNumberFormat="1" applyFont="1" applyBorder="1" applyAlignment="1">
      <alignment horizontal="left" vertical="center"/>
    </xf>
    <xf numFmtId="178" fontId="12" fillId="0" borderId="14" xfId="3" applyNumberFormat="1" applyFont="1" applyBorder="1" applyAlignment="1">
      <alignment horizontal="left" vertical="center"/>
    </xf>
    <xf numFmtId="0" fontId="12" fillId="0" borderId="0" xfId="0" quotePrefix="1" applyFont="1" applyAlignment="1">
      <alignment horizontal="left" vertical="center"/>
    </xf>
    <xf numFmtId="2" fontId="0" fillId="0" borderId="0" xfId="0" applyNumberFormat="1" applyAlignment="1">
      <alignment horizontal="right" vertical="center"/>
    </xf>
    <xf numFmtId="2" fontId="0" fillId="0" borderId="0" xfId="9" applyNumberFormat="1" applyFont="1" applyBorder="1" applyAlignment="1">
      <alignment horizontal="right" vertical="center"/>
    </xf>
    <xf numFmtId="0" fontId="10" fillId="5" borderId="11" xfId="0" applyFont="1" applyFill="1" applyBorder="1" applyAlignment="1">
      <alignment vertical="center"/>
    </xf>
    <xf numFmtId="168" fontId="5" fillId="0" borderId="0" xfId="0" applyNumberFormat="1" applyFont="1" applyAlignment="1">
      <alignment horizontal="left" vertical="center"/>
    </xf>
    <xf numFmtId="10" fontId="5" fillId="0" borderId="0" xfId="5" applyNumberFormat="1" applyFont="1" applyBorder="1" applyAlignment="1">
      <alignment horizontal="left" vertical="center"/>
    </xf>
    <xf numFmtId="174" fontId="5" fillId="0" borderId="0" xfId="0" applyNumberFormat="1" applyFont="1" applyAlignment="1">
      <alignment horizontal="left" vertical="center"/>
    </xf>
    <xf numFmtId="167" fontId="5" fillId="0" borderId="0" xfId="0" applyNumberFormat="1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10" fontId="5" fillId="0" borderId="12" xfId="5" applyNumberFormat="1" applyFont="1" applyBorder="1" applyAlignment="1">
      <alignment horizontal="center" vertical="center"/>
    </xf>
    <xf numFmtId="9" fontId="5" fillId="0" borderId="0" xfId="5" applyFont="1" applyBorder="1" applyAlignment="1">
      <alignment horizontal="center" vertical="center"/>
    </xf>
    <xf numFmtId="168" fontId="5" fillId="0" borderId="0" xfId="0" applyNumberFormat="1" applyFont="1" applyAlignment="1">
      <alignment horizontal="center" vertical="center"/>
    </xf>
    <xf numFmtId="10" fontId="5" fillId="0" borderId="0" xfId="5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6" fontId="5" fillId="0" borderId="11" xfId="0" applyNumberFormat="1" applyFont="1" applyBorder="1" applyAlignment="1">
      <alignment horizontal="left" vertical="center"/>
    </xf>
    <xf numFmtId="0" fontId="28" fillId="0" borderId="0" xfId="0" applyFont="1" applyAlignment="1">
      <alignment horizontal="center" vertical="center"/>
    </xf>
    <xf numFmtId="2" fontId="5" fillId="0" borderId="0" xfId="9" applyNumberFormat="1" applyFont="1" applyBorder="1" applyAlignment="1">
      <alignment horizontal="right" vertical="center"/>
    </xf>
    <xf numFmtId="166" fontId="4" fillId="0" borderId="12" xfId="2" applyNumberFormat="1" applyFont="1" applyBorder="1" applyAlignment="1">
      <alignment horizontal="left" vertical="center"/>
    </xf>
    <xf numFmtId="168" fontId="15" fillId="0" borderId="0" xfId="2" applyNumberFormat="1" applyFont="1" applyAlignment="1">
      <alignment horizontal="left" vertical="center"/>
    </xf>
    <xf numFmtId="168" fontId="15" fillId="0" borderId="0" xfId="4" applyNumberFormat="1" applyFont="1" applyAlignment="1">
      <alignment horizontal="left" vertical="center"/>
    </xf>
    <xf numFmtId="178" fontId="12" fillId="0" borderId="12" xfId="5" applyNumberFormat="1" applyFont="1" applyFill="1" applyBorder="1" applyAlignment="1">
      <alignment horizontal="left" vertical="center"/>
    </xf>
    <xf numFmtId="178" fontId="12" fillId="7" borderId="12" xfId="0" applyNumberFormat="1" applyFont="1" applyFill="1" applyBorder="1" applyAlignment="1">
      <alignment horizontal="left" vertical="center"/>
    </xf>
    <xf numFmtId="14" fontId="12" fillId="0" borderId="0" xfId="2" applyNumberFormat="1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0" xfId="4" applyFont="1" applyAlignment="1">
      <alignment horizontal="left" vertical="center"/>
    </xf>
    <xf numFmtId="0" fontId="14" fillId="0" borderId="0" xfId="4" applyFont="1" applyAlignment="1">
      <alignment vertical="center"/>
    </xf>
    <xf numFmtId="174" fontId="12" fillId="0" borderId="4" xfId="4" applyNumberFormat="1" applyFont="1" applyBorder="1" applyAlignment="1">
      <alignment horizontal="left" vertical="center"/>
    </xf>
    <xf numFmtId="0" fontId="16" fillId="5" borderId="11" xfId="4" applyFont="1" applyFill="1" applyBorder="1" applyAlignment="1">
      <alignment horizontal="left" vertical="center"/>
    </xf>
    <xf numFmtId="0" fontId="16" fillId="5" borderId="11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1" xfId="2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3" fontId="12" fillId="0" borderId="4" xfId="11" applyFont="1" applyBorder="1" applyAlignment="1">
      <alignment horizontal="left" vertical="center"/>
    </xf>
    <xf numFmtId="0" fontId="14" fillId="0" borderId="0" xfId="2" applyFont="1" applyAlignment="1">
      <alignment vertical="center"/>
    </xf>
    <xf numFmtId="43" fontId="12" fillId="0" borderId="0" xfId="3" applyFont="1" applyFill="1" applyBorder="1" applyAlignment="1">
      <alignment vertical="top"/>
    </xf>
    <xf numFmtId="0" fontId="14" fillId="3" borderId="64" xfId="2" applyFont="1" applyFill="1" applyBorder="1" applyAlignment="1">
      <alignment vertical="center"/>
    </xf>
    <xf numFmtId="1" fontId="12" fillId="0" borderId="65" xfId="2" applyNumberFormat="1" applyFont="1" applyBorder="1" applyAlignment="1">
      <alignment horizontal="left" vertical="center"/>
    </xf>
    <xf numFmtId="0" fontId="12" fillId="0" borderId="65" xfId="2" applyFont="1" applyBorder="1" applyAlignment="1">
      <alignment horizontal="left" vertical="center"/>
    </xf>
    <xf numFmtId="43" fontId="15" fillId="0" borderId="65" xfId="3" applyFont="1" applyFill="1" applyBorder="1" applyAlignment="1">
      <alignment horizontal="left" vertical="center"/>
    </xf>
    <xf numFmtId="43" fontId="12" fillId="0" borderId="65" xfId="3" applyFont="1" applyFill="1" applyBorder="1" applyAlignment="1">
      <alignment horizontal="left" vertical="center" wrapText="1"/>
    </xf>
    <xf numFmtId="43" fontId="12" fillId="0" borderId="65" xfId="3" applyFont="1" applyFill="1" applyBorder="1" applyAlignment="1">
      <alignment vertical="center"/>
    </xf>
    <xf numFmtId="43" fontId="12" fillId="0" borderId="66" xfId="3" applyFont="1" applyFill="1" applyBorder="1" applyAlignment="1">
      <alignment vertical="center"/>
    </xf>
    <xf numFmtId="43" fontId="12" fillId="0" borderId="67" xfId="3" applyFont="1" applyFill="1" applyBorder="1" applyAlignment="1">
      <alignment vertical="center"/>
    </xf>
    <xf numFmtId="43" fontId="12" fillId="0" borderId="21" xfId="3" applyFont="1" applyFill="1" applyBorder="1" applyAlignment="1">
      <alignment vertical="center"/>
    </xf>
    <xf numFmtId="43" fontId="12" fillId="0" borderId="21" xfId="3" applyFont="1" applyFill="1" applyBorder="1" applyAlignment="1">
      <alignment horizontal="left" vertical="center"/>
    </xf>
    <xf numFmtId="0" fontId="12" fillId="0" borderId="21" xfId="3" applyNumberFormat="1" applyFont="1" applyFill="1" applyBorder="1" applyAlignment="1">
      <alignment vertical="center"/>
    </xf>
    <xf numFmtId="43" fontId="12" fillId="0" borderId="68" xfId="3" applyFont="1" applyFill="1" applyBorder="1" applyAlignment="1">
      <alignment vertical="center"/>
    </xf>
    <xf numFmtId="0" fontId="12" fillId="0" borderId="65" xfId="2" applyFont="1" applyBorder="1" applyAlignment="1">
      <alignment vertical="center"/>
    </xf>
    <xf numFmtId="0" fontId="12" fillId="0" borderId="65" xfId="3" applyNumberFormat="1" applyFont="1" applyFill="1" applyBorder="1" applyAlignment="1">
      <alignment vertical="center"/>
    </xf>
    <xf numFmtId="0" fontId="16" fillId="5" borderId="11" xfId="4" applyFont="1" applyFill="1" applyBorder="1" applyAlignment="1">
      <alignment horizontal="left" vertical="center" wrapText="1"/>
    </xf>
    <xf numFmtId="0" fontId="13" fillId="5" borderId="4" xfId="2" applyFont="1" applyFill="1" applyBorder="1" applyAlignment="1">
      <alignment horizontal="center" vertical="center"/>
    </xf>
    <xf numFmtId="0" fontId="15" fillId="0" borderId="0" xfId="2" applyFont="1" applyAlignment="1">
      <alignment horizontal="left" vertical="center"/>
    </xf>
    <xf numFmtId="43" fontId="12" fillId="0" borderId="4" xfId="11" applyFont="1" applyFill="1" applyBorder="1" applyAlignment="1">
      <alignment vertical="center"/>
    </xf>
    <xf numFmtId="168" fontId="15" fillId="0" borderId="0" xfId="0" applyNumberFormat="1" applyFont="1" applyAlignment="1">
      <alignment horizontal="left" vertical="center"/>
    </xf>
    <xf numFmtId="171" fontId="15" fillId="0" borderId="0" xfId="0" applyNumberFormat="1" applyFont="1" applyAlignment="1">
      <alignment horizontal="left" vertical="center"/>
    </xf>
    <xf numFmtId="49" fontId="10" fillId="5" borderId="4" xfId="4" applyNumberFormat="1" applyFont="1" applyFill="1" applyBorder="1" applyAlignment="1">
      <alignment horizontal="center" vertical="center"/>
    </xf>
    <xf numFmtId="49" fontId="0" fillId="0" borderId="4" xfId="0" applyNumberFormat="1" applyBorder="1" applyAlignment="1">
      <alignment horizontal="center"/>
    </xf>
    <xf numFmtId="49" fontId="0" fillId="0" borderId="4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2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0" fillId="5" borderId="4" xfId="4" applyFont="1" applyFill="1" applyBorder="1" applyAlignment="1">
      <alignment vertical="center"/>
    </xf>
    <xf numFmtId="0" fontId="10" fillId="5" borderId="23" xfId="4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indent="1"/>
    </xf>
    <xf numFmtId="0" fontId="0" fillId="0" borderId="4" xfId="4" applyFont="1" applyBorder="1"/>
    <xf numFmtId="0" fontId="10" fillId="5" borderId="4" xfId="4" applyFont="1" applyFill="1" applyBorder="1" applyAlignment="1">
      <alignment horizontal="center" vertical="center"/>
    </xf>
    <xf numFmtId="43" fontId="12" fillId="10" borderId="0" xfId="11" applyFont="1" applyFill="1" applyBorder="1" applyAlignment="1">
      <alignment horizontal="right" vertical="center"/>
    </xf>
    <xf numFmtId="43" fontId="12" fillId="12" borderId="0" xfId="11" applyFont="1" applyFill="1" applyBorder="1" applyAlignment="1">
      <alignment horizontal="right" vertical="center"/>
    </xf>
    <xf numFmtId="43" fontId="12" fillId="0" borderId="0" xfId="11" applyFont="1" applyAlignment="1">
      <alignment horizontal="right" vertical="center"/>
    </xf>
    <xf numFmtId="43" fontId="12" fillId="0" borderId="0" xfId="11" applyFont="1" applyFill="1" applyBorder="1" applyAlignment="1">
      <alignment horizontal="right" vertical="center"/>
    </xf>
    <xf numFmtId="0" fontId="0" fillId="10" borderId="14" xfId="11" applyNumberFormat="1" applyFont="1" applyFill="1" applyBorder="1" applyAlignment="1">
      <alignment horizontal="right" vertical="center"/>
    </xf>
    <xf numFmtId="0" fontId="12" fillId="0" borderId="58" xfId="0" applyFont="1" applyBorder="1"/>
    <xf numFmtId="0" fontId="12" fillId="0" borderId="48" xfId="0" applyFont="1" applyBorder="1"/>
    <xf numFmtId="49" fontId="32" fillId="0" borderId="4" xfId="12" applyNumberFormat="1" applyFont="1" applyBorder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12" fillId="0" borderId="0" xfId="17"/>
    <xf numFmtId="175" fontId="12" fillId="0" borderId="0" xfId="17" applyNumberFormat="1"/>
    <xf numFmtId="44" fontId="0" fillId="0" borderId="0" xfId="18" applyFont="1"/>
    <xf numFmtId="49" fontId="12" fillId="3" borderId="0" xfId="17" applyNumberFormat="1" applyFill="1"/>
    <xf numFmtId="0" fontId="12" fillId="3" borderId="0" xfId="17" applyFill="1"/>
    <xf numFmtId="49" fontId="12" fillId="3" borderId="4" xfId="17" applyNumberFormat="1" applyFill="1" applyBorder="1"/>
    <xf numFmtId="0" fontId="2" fillId="0" borderId="0" xfId="17" applyFont="1"/>
    <xf numFmtId="2" fontId="12" fillId="3" borderId="0" xfId="17" applyNumberFormat="1" applyFill="1"/>
    <xf numFmtId="1" fontId="12" fillId="3" borderId="0" xfId="17" applyNumberFormat="1" applyFill="1"/>
    <xf numFmtId="175" fontId="0" fillId="0" borderId="0" xfId="0" applyNumberFormat="1"/>
    <xf numFmtId="0" fontId="12" fillId="12" borderId="0" xfId="11" applyNumberFormat="1" applyFont="1" applyFill="1" applyBorder="1" applyAlignment="1">
      <alignment horizontal="right" vertical="center"/>
    </xf>
    <xf numFmtId="4" fontId="12" fillId="0" borderId="0" xfId="17" applyNumberFormat="1"/>
    <xf numFmtId="0" fontId="12" fillId="0" borderId="4" xfId="19" applyFont="1" applyBorder="1" applyAlignment="1">
      <alignment vertical="center"/>
    </xf>
    <xf numFmtId="0" fontId="12" fillId="0" borderId="4" xfId="19" applyFont="1" applyBorder="1" applyAlignment="1">
      <alignment horizontal="left" vertical="center"/>
    </xf>
    <xf numFmtId="175" fontId="12" fillId="3" borderId="4" xfId="19" applyNumberFormat="1" applyFont="1" applyFill="1" applyBorder="1" applyAlignment="1">
      <alignment horizontal="left" vertical="center"/>
    </xf>
    <xf numFmtId="0" fontId="12" fillId="3" borderId="4" xfId="19" applyFont="1" applyFill="1" applyBorder="1" applyAlignment="1">
      <alignment horizontal="left" vertical="center"/>
    </xf>
    <xf numFmtId="0" fontId="12" fillId="0" borderId="0" xfId="19" applyFont="1" applyAlignment="1">
      <alignment vertical="center"/>
    </xf>
    <xf numFmtId="2" fontId="16" fillId="0" borderId="0" xfId="19" applyNumberFormat="1" applyFont="1" applyAlignment="1">
      <alignment horizontal="left" vertical="center"/>
    </xf>
    <xf numFmtId="0" fontId="12" fillId="0" borderId="4" xfId="5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6" fillId="5" borderId="56" xfId="0" applyFont="1" applyFill="1" applyBorder="1" applyAlignment="1">
      <alignment horizontal="center" vertical="center"/>
    </xf>
    <xf numFmtId="0" fontId="16" fillId="5" borderId="58" xfId="0" applyFont="1" applyFill="1" applyBorder="1" applyAlignment="1">
      <alignment horizontal="center" vertical="center"/>
    </xf>
    <xf numFmtId="0" fontId="14" fillId="3" borderId="59" xfId="0" applyFont="1" applyFill="1" applyBorder="1" applyAlignment="1">
      <alignment horizontal="center"/>
    </xf>
    <xf numFmtId="0" fontId="14" fillId="3" borderId="0" xfId="0" applyFont="1" applyFill="1" applyAlignment="1">
      <alignment horizontal="center"/>
    </xf>
    <xf numFmtId="0" fontId="16" fillId="5" borderId="2" xfId="2" applyFont="1" applyFill="1" applyBorder="1" applyAlignment="1">
      <alignment horizontal="center" vertical="center"/>
    </xf>
    <xf numFmtId="0" fontId="16" fillId="5" borderId="17" xfId="2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/>
    </xf>
    <xf numFmtId="0" fontId="16" fillId="5" borderId="5" xfId="2" applyFont="1" applyFill="1" applyBorder="1" applyAlignment="1">
      <alignment horizontal="center" vertical="center"/>
    </xf>
    <xf numFmtId="0" fontId="16" fillId="5" borderId="6" xfId="2" applyFont="1" applyFill="1" applyBorder="1" applyAlignment="1">
      <alignment horizontal="center" vertical="center"/>
    </xf>
    <xf numFmtId="0" fontId="16" fillId="5" borderId="60" xfId="0" applyFont="1" applyFill="1" applyBorder="1" applyAlignment="1">
      <alignment horizontal="center" vertical="center"/>
    </xf>
    <xf numFmtId="0" fontId="16" fillId="5" borderId="61" xfId="0" applyFont="1" applyFill="1" applyBorder="1" applyAlignment="1">
      <alignment horizontal="center" vertical="center"/>
    </xf>
    <xf numFmtId="0" fontId="16" fillId="5" borderId="62" xfId="0" applyFont="1" applyFill="1" applyBorder="1" applyAlignment="1">
      <alignment horizontal="center" vertical="center"/>
    </xf>
    <xf numFmtId="0" fontId="16" fillId="5" borderId="63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0" fontId="14" fillId="3" borderId="56" xfId="0" applyFont="1" applyFill="1" applyBorder="1" applyAlignment="1">
      <alignment horizontal="center"/>
    </xf>
    <xf numFmtId="0" fontId="14" fillId="3" borderId="57" xfId="0" applyFont="1" applyFill="1" applyBorder="1" applyAlignment="1">
      <alignment horizontal="center"/>
    </xf>
    <xf numFmtId="0" fontId="14" fillId="3" borderId="58" xfId="0" applyFont="1" applyFill="1" applyBorder="1" applyAlignment="1">
      <alignment horizontal="center"/>
    </xf>
    <xf numFmtId="0" fontId="16" fillId="5" borderId="4" xfId="0" applyFont="1" applyFill="1" applyBorder="1" applyAlignment="1">
      <alignment horizontal="center" vertical="center"/>
    </xf>
    <xf numFmtId="0" fontId="16" fillId="5" borderId="5" xfId="4" applyFont="1" applyFill="1" applyBorder="1" applyAlignment="1">
      <alignment horizontal="center" vertical="center"/>
    </xf>
    <xf numFmtId="0" fontId="16" fillId="5" borderId="6" xfId="4" applyFont="1" applyFill="1" applyBorder="1" applyAlignment="1">
      <alignment horizontal="center" vertical="center"/>
    </xf>
    <xf numFmtId="0" fontId="16" fillId="5" borderId="4" xfId="4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5" borderId="59" xfId="4" applyFont="1" applyFill="1" applyBorder="1" applyAlignment="1">
      <alignment horizontal="center" vertical="center"/>
    </xf>
    <xf numFmtId="0" fontId="10" fillId="5" borderId="0" xfId="4" applyFont="1" applyFill="1" applyAlignment="1">
      <alignment horizontal="center" vertical="center"/>
    </xf>
    <xf numFmtId="0" fontId="10" fillId="5" borderId="4" xfId="4" applyFont="1" applyFill="1" applyBorder="1" applyAlignment="1">
      <alignment horizontal="center" vertical="center"/>
    </xf>
    <xf numFmtId="0" fontId="12" fillId="0" borderId="0" xfId="2" applyFont="1" applyAlignment="1">
      <alignment horizontal="left" vertical="center"/>
    </xf>
    <xf numFmtId="0" fontId="12" fillId="0" borderId="0" xfId="2" applyFont="1" applyAlignment="1">
      <alignment horizontal="center" vertical="center"/>
    </xf>
    <xf numFmtId="1" fontId="12" fillId="0" borderId="0" xfId="2" applyNumberFormat="1" applyFont="1" applyAlignment="1">
      <alignment vertical="center" wrapText="1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3" fillId="5" borderId="4" xfId="2" applyFont="1" applyFill="1" applyBorder="1" applyAlignment="1">
      <alignment horizontal="center" vertical="center"/>
    </xf>
    <xf numFmtId="0" fontId="13" fillId="5" borderId="2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/>
    </xf>
    <xf numFmtId="0" fontId="13" fillId="5" borderId="17" xfId="2" applyFont="1" applyFill="1" applyBorder="1" applyAlignment="1">
      <alignment horizontal="center" vertical="center"/>
    </xf>
    <xf numFmtId="166" fontId="15" fillId="0" borderId="0" xfId="2" applyNumberFormat="1" applyFont="1" applyAlignment="1">
      <alignment horizontal="left" vertical="center"/>
    </xf>
    <xf numFmtId="0" fontId="12" fillId="0" borderId="4" xfId="2" applyFont="1" applyBorder="1" applyAlignment="1">
      <alignment horizontal="left" vertical="center" wrapText="1"/>
    </xf>
    <xf numFmtId="0" fontId="13" fillId="5" borderId="4" xfId="0" applyFont="1" applyFill="1" applyBorder="1" applyAlignment="1">
      <alignment horizontal="center" vertical="center"/>
    </xf>
    <xf numFmtId="0" fontId="12" fillId="0" borderId="4" xfId="2" applyFont="1" applyBorder="1" applyAlignment="1">
      <alignment horizontal="left" vertical="center"/>
    </xf>
    <xf numFmtId="0" fontId="15" fillId="0" borderId="0" xfId="2" applyFont="1" applyAlignment="1">
      <alignment horizontal="left" vertical="center"/>
    </xf>
    <xf numFmtId="0" fontId="15" fillId="0" borderId="0" xfId="2" applyFont="1" applyAlignment="1">
      <alignment horizontal="center" vertical="center"/>
    </xf>
    <xf numFmtId="0" fontId="14" fillId="3" borderId="5" xfId="4" applyFont="1" applyFill="1" applyBorder="1" applyAlignment="1">
      <alignment horizontal="center" vertical="center"/>
    </xf>
    <xf numFmtId="0" fontId="14" fillId="3" borderId="6" xfId="4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18" xfId="2" applyFont="1" applyFill="1" applyBorder="1" applyAlignment="1">
      <alignment horizontal="left" vertical="center"/>
    </xf>
    <xf numFmtId="0" fontId="14" fillId="3" borderId="16" xfId="2" applyFont="1" applyFill="1" applyBorder="1" applyAlignment="1">
      <alignment horizontal="left" vertical="center"/>
    </xf>
    <xf numFmtId="0" fontId="12" fillId="0" borderId="21" xfId="2" applyFont="1" applyBorder="1" applyAlignment="1">
      <alignment horizontal="center" vertical="center"/>
    </xf>
    <xf numFmtId="0" fontId="14" fillId="3" borderId="4" xfId="2" applyFont="1" applyFill="1" applyBorder="1" applyAlignment="1">
      <alignment horizontal="center" vertical="center"/>
    </xf>
    <xf numFmtId="0" fontId="14" fillId="3" borderId="7" xfId="2" applyFont="1" applyFill="1" applyBorder="1" applyAlignment="1">
      <alignment horizontal="center" vertical="center"/>
    </xf>
    <xf numFmtId="0" fontId="13" fillId="5" borderId="5" xfId="2" applyFont="1" applyFill="1" applyBorder="1" applyAlignment="1">
      <alignment horizontal="center" vertical="center"/>
    </xf>
    <xf numFmtId="0" fontId="13" fillId="5" borderId="6" xfId="2" applyFont="1" applyFill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6" fillId="5" borderId="11" xfId="4" applyFont="1" applyFill="1" applyBorder="1" applyAlignment="1">
      <alignment horizontal="left" vertical="center"/>
    </xf>
    <xf numFmtId="0" fontId="16" fillId="5" borderId="0" xfId="4" applyFont="1" applyFill="1" applyAlignment="1">
      <alignment horizontal="center" vertical="center"/>
    </xf>
    <xf numFmtId="0" fontId="16" fillId="5" borderId="32" xfId="0" applyFont="1" applyFill="1" applyBorder="1" applyAlignment="1">
      <alignment horizontal="center" vertical="center"/>
    </xf>
    <xf numFmtId="0" fontId="16" fillId="5" borderId="33" xfId="0" applyFont="1" applyFill="1" applyBorder="1" applyAlignment="1">
      <alignment horizontal="center" vertical="center"/>
    </xf>
    <xf numFmtId="0" fontId="16" fillId="5" borderId="34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left" vertical="center"/>
    </xf>
    <xf numFmtId="0" fontId="16" fillId="5" borderId="0" xfId="0" applyFont="1" applyFill="1" applyAlignment="1">
      <alignment horizontal="left" vertical="center"/>
    </xf>
    <xf numFmtId="0" fontId="12" fillId="0" borderId="41" xfId="4" applyFont="1" applyBorder="1" applyAlignment="1">
      <alignment horizontal="left" vertical="center" wrapText="1"/>
    </xf>
    <xf numFmtId="0" fontId="12" fillId="0" borderId="38" xfId="4" applyFont="1" applyBorder="1" applyAlignment="1">
      <alignment horizontal="left" vertical="center" wrapText="1"/>
    </xf>
    <xf numFmtId="0" fontId="12" fillId="0" borderId="42" xfId="4" applyFont="1" applyBorder="1" applyAlignment="1">
      <alignment horizontal="left" vertical="center" wrapText="1"/>
    </xf>
    <xf numFmtId="0" fontId="12" fillId="0" borderId="27" xfId="4" applyFont="1" applyBorder="1" applyAlignment="1">
      <alignment horizontal="left" vertical="center" wrapText="1"/>
    </xf>
    <xf numFmtId="0" fontId="12" fillId="0" borderId="0" xfId="4" applyFont="1" applyAlignment="1">
      <alignment horizontal="left" vertical="center" wrapText="1"/>
    </xf>
    <xf numFmtId="0" fontId="12" fillId="0" borderId="28" xfId="4" applyFont="1" applyBorder="1" applyAlignment="1">
      <alignment horizontal="left" vertical="center" wrapText="1"/>
    </xf>
    <xf numFmtId="0" fontId="12" fillId="0" borderId="51" xfId="4" applyFont="1" applyBorder="1" applyAlignment="1">
      <alignment horizontal="left" vertical="center" wrapText="1"/>
    </xf>
    <xf numFmtId="0" fontId="12" fillId="0" borderId="52" xfId="4" applyFont="1" applyBorder="1" applyAlignment="1">
      <alignment horizontal="left" vertical="center" wrapText="1"/>
    </xf>
    <xf numFmtId="0" fontId="12" fillId="0" borderId="53" xfId="4" applyFont="1" applyBorder="1" applyAlignment="1">
      <alignment horizontal="left" vertical="center" wrapText="1"/>
    </xf>
    <xf numFmtId="0" fontId="12" fillId="0" borderId="29" xfId="4" applyFont="1" applyBorder="1" applyAlignment="1">
      <alignment horizontal="left" vertical="center" wrapText="1"/>
    </xf>
    <xf numFmtId="0" fontId="12" fillId="0" borderId="30" xfId="4" applyFont="1" applyBorder="1" applyAlignment="1">
      <alignment horizontal="left" vertical="center" wrapText="1"/>
    </xf>
    <xf numFmtId="0" fontId="12" fillId="0" borderId="31" xfId="4" applyFont="1" applyBorder="1" applyAlignment="1">
      <alignment horizontal="left" vertical="center" wrapText="1"/>
    </xf>
    <xf numFmtId="0" fontId="16" fillId="5" borderId="27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22" fillId="8" borderId="24" xfId="4" applyFont="1" applyFill="1" applyBorder="1" applyAlignment="1">
      <alignment horizontal="center" vertical="center"/>
    </xf>
    <xf numFmtId="0" fontId="22" fillId="8" borderId="25" xfId="4" applyFont="1" applyFill="1" applyBorder="1" applyAlignment="1">
      <alignment horizontal="center" vertical="center"/>
    </xf>
    <xf numFmtId="0" fontId="22" fillId="8" borderId="26" xfId="4" applyFont="1" applyFill="1" applyBorder="1" applyAlignment="1">
      <alignment horizontal="center" vertical="center"/>
    </xf>
    <xf numFmtId="0" fontId="16" fillId="5" borderId="49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0" fontId="16" fillId="5" borderId="50" xfId="0" applyFont="1" applyFill="1" applyBorder="1" applyAlignment="1">
      <alignment horizontal="center" vertical="center"/>
    </xf>
    <xf numFmtId="0" fontId="16" fillId="5" borderId="35" xfId="4" applyFont="1" applyFill="1" applyBorder="1" applyAlignment="1">
      <alignment horizontal="center" vertical="center"/>
    </xf>
    <xf numFmtId="0" fontId="16" fillId="5" borderId="9" xfId="4" applyFont="1" applyFill="1" applyBorder="1" applyAlignment="1">
      <alignment horizontal="center" vertical="center"/>
    </xf>
    <xf numFmtId="0" fontId="16" fillId="5" borderId="36" xfId="4" applyFont="1" applyFill="1" applyBorder="1" applyAlignment="1">
      <alignment horizontal="center" vertical="center"/>
    </xf>
    <xf numFmtId="0" fontId="12" fillId="0" borderId="39" xfId="4" applyFont="1" applyBorder="1" applyAlignment="1">
      <alignment horizontal="left" vertical="center" wrapText="1"/>
    </xf>
    <xf numFmtId="0" fontId="12" fillId="0" borderId="37" xfId="4" applyFont="1" applyBorder="1" applyAlignment="1">
      <alignment horizontal="left" vertical="center" wrapText="1"/>
    </xf>
    <xf numFmtId="0" fontId="12" fillId="0" borderId="40" xfId="4" applyFont="1" applyBorder="1" applyAlignment="1">
      <alignment horizontal="left" vertical="center" wrapText="1"/>
    </xf>
    <xf numFmtId="0" fontId="22" fillId="8" borderId="8" xfId="4" applyFont="1" applyFill="1" applyBorder="1" applyAlignment="1">
      <alignment horizontal="center" vertical="center"/>
    </xf>
    <xf numFmtId="0" fontId="22" fillId="8" borderId="9" xfId="4" applyFont="1" applyFill="1" applyBorder="1" applyAlignment="1">
      <alignment horizontal="center" vertical="center"/>
    </xf>
    <xf numFmtId="0" fontId="22" fillId="8" borderId="10" xfId="4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6" fillId="5" borderId="24" xfId="4" applyFont="1" applyFill="1" applyBorder="1" applyAlignment="1">
      <alignment horizontal="center" vertical="center"/>
    </xf>
    <xf numFmtId="0" fontId="16" fillId="5" borderId="25" xfId="4" applyFont="1" applyFill="1" applyBorder="1" applyAlignment="1">
      <alignment horizontal="center" vertical="center"/>
    </xf>
    <xf numFmtId="0" fontId="16" fillId="5" borderId="26" xfId="4" applyFont="1" applyFill="1" applyBorder="1" applyAlignment="1">
      <alignment horizontal="center" vertical="center"/>
    </xf>
    <xf numFmtId="0" fontId="16" fillId="5" borderId="43" xfId="4" applyFont="1" applyFill="1" applyBorder="1" applyAlignment="1">
      <alignment horizontal="center" vertical="center"/>
    </xf>
    <xf numFmtId="0" fontId="16" fillId="5" borderId="44" xfId="4" applyFont="1" applyFill="1" applyBorder="1" applyAlignment="1">
      <alignment horizontal="center" vertical="center"/>
    </xf>
    <xf numFmtId="0" fontId="16" fillId="5" borderId="45" xfId="4" applyFont="1" applyFill="1" applyBorder="1" applyAlignment="1">
      <alignment horizontal="center" vertical="center"/>
    </xf>
    <xf numFmtId="0" fontId="16" fillId="5" borderId="43" xfId="0" applyFont="1" applyFill="1" applyBorder="1" applyAlignment="1">
      <alignment horizontal="center" vertical="center"/>
    </xf>
    <xf numFmtId="0" fontId="16" fillId="5" borderId="44" xfId="0" applyFont="1" applyFill="1" applyBorder="1" applyAlignment="1">
      <alignment horizontal="center" vertical="center"/>
    </xf>
    <xf numFmtId="0" fontId="16" fillId="5" borderId="45" xfId="0" applyFont="1" applyFill="1" applyBorder="1" applyAlignment="1">
      <alignment horizontal="center" vertical="center"/>
    </xf>
    <xf numFmtId="0" fontId="21" fillId="5" borderId="8" xfId="4" applyFont="1" applyFill="1" applyBorder="1" applyAlignment="1">
      <alignment horizontal="center" vertical="center"/>
    </xf>
    <xf numFmtId="0" fontId="21" fillId="5" borderId="9" xfId="4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center" vertical="center"/>
    </xf>
    <xf numFmtId="0" fontId="16" fillId="5" borderId="32" xfId="4" applyFont="1" applyFill="1" applyBorder="1" applyAlignment="1">
      <alignment horizontal="center" vertical="center"/>
    </xf>
    <xf numFmtId="0" fontId="16" fillId="5" borderId="33" xfId="4" applyFont="1" applyFill="1" applyBorder="1" applyAlignment="1">
      <alignment horizontal="center" vertical="center"/>
    </xf>
    <xf numFmtId="0" fontId="16" fillId="5" borderId="34" xfId="4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16" fillId="5" borderId="24" xfId="0" applyFont="1" applyFill="1" applyBorder="1" applyAlignment="1">
      <alignment horizontal="center" vertical="center"/>
    </xf>
    <xf numFmtId="0" fontId="16" fillId="5" borderId="25" xfId="0" applyFont="1" applyFill="1" applyBorder="1" applyAlignment="1">
      <alignment horizontal="center" vertical="center"/>
    </xf>
    <xf numFmtId="0" fontId="16" fillId="5" borderId="26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34" fillId="0" borderId="0" xfId="16" applyFill="1"/>
    <xf numFmtId="0" fontId="26" fillId="3" borderId="32" xfId="4" applyFont="1" applyFill="1" applyBorder="1" applyAlignment="1">
      <alignment horizontal="center" vertical="center"/>
    </xf>
    <xf numFmtId="0" fontId="26" fillId="3" borderId="33" xfId="4" applyFont="1" applyFill="1" applyBorder="1" applyAlignment="1">
      <alignment horizontal="center" vertical="center"/>
    </xf>
    <xf numFmtId="0" fontId="26" fillId="3" borderId="34" xfId="4" applyFont="1" applyFill="1" applyBorder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46" xfId="0" applyFont="1" applyFill="1" applyBorder="1" applyAlignment="1">
      <alignment horizontal="center" vertical="center"/>
    </xf>
    <xf numFmtId="0" fontId="16" fillId="5" borderId="47" xfId="0" applyFont="1" applyFill="1" applyBorder="1" applyAlignment="1">
      <alignment horizontal="center" vertical="center"/>
    </xf>
    <xf numFmtId="0" fontId="22" fillId="8" borderId="35" xfId="4" applyFont="1" applyFill="1" applyBorder="1" applyAlignment="1">
      <alignment horizontal="center" vertical="center"/>
    </xf>
    <xf numFmtId="0" fontId="22" fillId="8" borderId="36" xfId="4" applyFont="1" applyFill="1" applyBorder="1" applyAlignment="1">
      <alignment horizontal="center" vertical="center"/>
    </xf>
    <xf numFmtId="0" fontId="19" fillId="5" borderId="5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 wrapText="1"/>
    </xf>
    <xf numFmtId="0" fontId="13" fillId="5" borderId="17" xfId="0" applyFont="1" applyFill="1" applyBorder="1" applyAlignment="1">
      <alignment horizontal="center" vertical="center" wrapText="1"/>
    </xf>
    <xf numFmtId="0" fontId="13" fillId="5" borderId="23" xfId="0" applyFont="1" applyFill="1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2" fillId="0" borderId="4" xfId="10" applyFont="1" applyBorder="1" applyAlignment="1">
      <alignment horizontal="center" vertical="center"/>
    </xf>
    <xf numFmtId="0" fontId="13" fillId="0" borderId="1" xfId="10" applyFont="1" applyBorder="1" applyAlignment="1">
      <alignment horizontal="center" vertical="center"/>
    </xf>
    <xf numFmtId="0" fontId="13" fillId="5" borderId="56" xfId="0" applyFont="1" applyFill="1" applyBorder="1" applyAlignment="1">
      <alignment horizontal="center" vertical="center" wrapText="1"/>
    </xf>
    <xf numFmtId="0" fontId="13" fillId="5" borderId="57" xfId="0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17" xfId="0" applyFont="1" applyFill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 vertical="center" wrapText="1"/>
    </xf>
    <xf numFmtId="0" fontId="11" fillId="5" borderId="20" xfId="0" applyFont="1" applyFill="1" applyBorder="1" applyAlignment="1">
      <alignment horizontal="center" vertical="center" wrapText="1"/>
    </xf>
    <xf numFmtId="0" fontId="11" fillId="0" borderId="1" xfId="10" applyFont="1" applyBorder="1" applyAlignment="1">
      <alignment horizontal="center" vertical="center"/>
    </xf>
  </cellXfs>
  <cellStyles count="20">
    <cellStyle name="Comma" xfId="11" builtinId="3"/>
    <cellStyle name="Comma 2" xfId="3" xr:uid="{18FE3D1C-B31B-49D8-9642-4F470AA24B65}"/>
    <cellStyle name="Comma 2 2" xfId="9" xr:uid="{E715F1AE-862C-4E0F-8865-AE03B4817713}"/>
    <cellStyle name="Comma 3" xfId="6" xr:uid="{2BA044A2-60DC-4F50-AC59-4E2767B0D4C9}"/>
    <cellStyle name="Currency 2" xfId="18" xr:uid="{8D58E0B6-51B3-46A7-9B26-15EB80619BC4}"/>
    <cellStyle name="Hyperlink" xfId="16" builtinId="8"/>
    <cellStyle name="Normal" xfId="0" builtinId="0"/>
    <cellStyle name="Normal 2" xfId="2" xr:uid="{D1D58A07-B16B-4D6A-80FB-606430ECB853}"/>
    <cellStyle name="Normal 2 2" xfId="4" xr:uid="{9418A6DE-AD67-447B-8C45-76302474426F}"/>
    <cellStyle name="Normal 2 3" xfId="13" xr:uid="{C1E94704-8A8C-419E-B64C-2BAAD8DF3C65}"/>
    <cellStyle name="Normal 3" xfId="14" xr:uid="{BF24D06E-1ABC-4722-9242-3520759F4276}"/>
    <cellStyle name="Normal 4" xfId="15" xr:uid="{2670D871-0A89-48E6-97F0-6402DD133505}"/>
    <cellStyle name="Normal 5" xfId="10" xr:uid="{29BC3C4A-E1A7-413E-B024-FE8106026B95}"/>
    <cellStyle name="Normal 5 2" xfId="19" xr:uid="{46FB5525-91ED-442D-8963-5349702E6607}"/>
    <cellStyle name="Normal 6" xfId="12" xr:uid="{2E8A5E9B-8AE6-40C7-9390-6BDDA4FAD8D2}"/>
    <cellStyle name="Normal 7" xfId="17" xr:uid="{064423D6-1B38-4A24-BE7A-AF0C45CA0210}"/>
    <cellStyle name="Percent" xfId="1" builtinId="5"/>
    <cellStyle name="Percent 2" xfId="5" xr:uid="{DAD5D7D4-66B2-4DFF-9ACB-F88AB4259946}"/>
    <cellStyle name="Percent 2 2" xfId="8" xr:uid="{EE95124B-B46E-42D4-9D4A-EE8885EF7F7F}"/>
    <cellStyle name="Percent 3" xfId="7" xr:uid="{FBEF0B7F-198A-4F8C-BDC2-AD4C36126F12}"/>
  </cellStyles>
  <dxfs count="53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none"/>
      </fill>
      <border>
        <left/>
        <right/>
        <top/>
        <bottom/>
      </border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mailto:andrea.casa@libertymutual.com;%20wikin.ramo@libertymutual.com;%20miguelfernando.sanchez@libertymutual.com?subject=NOVEDADES%20CAS%20BOOKING%20SHEET%20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0</xdr:colOff>
      <xdr:row>61</xdr:row>
      <xdr:rowOff>0</xdr:rowOff>
    </xdr:from>
    <xdr:to>
      <xdr:col>42</xdr:col>
      <xdr:colOff>9525</xdr:colOff>
      <xdr:row>61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156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17</xdr:row>
      <xdr:rowOff>0</xdr:rowOff>
    </xdr:from>
    <xdr:to>
      <xdr:col>42</xdr:col>
      <xdr:colOff>9525</xdr:colOff>
      <xdr:row>17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04375" y="3248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2</xdr:row>
      <xdr:rowOff>0</xdr:rowOff>
    </xdr:from>
    <xdr:to>
      <xdr:col>49</xdr:col>
      <xdr:colOff>9525</xdr:colOff>
      <xdr:row>2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2</xdr:row>
      <xdr:rowOff>0</xdr:rowOff>
    </xdr:from>
    <xdr:to>
      <xdr:col>51</xdr:col>
      <xdr:colOff>9525</xdr:colOff>
      <xdr:row>2</xdr:row>
      <xdr:rowOff>9525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7215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0</xdr:colOff>
      <xdr:row>14</xdr:row>
      <xdr:rowOff>0</xdr:rowOff>
    </xdr:from>
    <xdr:to>
      <xdr:col>52</xdr:col>
      <xdr:colOff>9525</xdr:colOff>
      <xdr:row>14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19800" y="2695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52</xdr:col>
      <xdr:colOff>0</xdr:colOff>
      <xdr:row>19</xdr:row>
      <xdr:rowOff>0</xdr:rowOff>
    </xdr:from>
    <xdr:ext cx="9525" cy="952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60824" y="2678206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52</xdr:col>
      <xdr:colOff>0</xdr:colOff>
      <xdr:row>27</xdr:row>
      <xdr:rowOff>0</xdr:rowOff>
    </xdr:from>
    <xdr:ext cx="9525" cy="9525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60824" y="3630706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100850</xdr:colOff>
      <xdr:row>0</xdr:row>
      <xdr:rowOff>0</xdr:rowOff>
    </xdr:from>
    <xdr:to>
      <xdr:col>2</xdr:col>
      <xdr:colOff>421823</xdr:colOff>
      <xdr:row>9</xdr:row>
      <xdr:rowOff>56885</xdr:rowOff>
    </xdr:to>
    <xdr:pic>
      <xdr:nvPicPr>
        <xdr:cNvPr id="2" name="Picture 1" descr="A picture containing text&#10;&#10;Description automatically generated">
          <a:hlinkClick xmlns:r="http://schemas.openxmlformats.org/officeDocument/2006/relationships" r:id="rId1" tooltip="CLICK PARA ENVIAR UNA NOVEDAD POR CORREO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0" y="0"/>
          <a:ext cx="1382330" cy="20299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21</xdr:row>
          <xdr:rowOff>104775</xdr:rowOff>
        </xdr:from>
        <xdr:to>
          <xdr:col>6</xdr:col>
          <xdr:colOff>638175</xdr:colOff>
          <xdr:row>25</xdr:row>
          <xdr:rowOff>161925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168088</xdr:colOff>
      <xdr:row>2</xdr:row>
      <xdr:rowOff>100852</xdr:rowOff>
    </xdr:from>
    <xdr:to>
      <xdr:col>2</xdr:col>
      <xdr:colOff>6353734</xdr:colOff>
      <xdr:row>36</xdr:row>
      <xdr:rowOff>190499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5738" y="672352"/>
          <a:ext cx="6947646" cy="65666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168088</xdr:colOff>
      <xdr:row>2</xdr:row>
      <xdr:rowOff>100853</xdr:rowOff>
    </xdr:from>
    <xdr:to>
      <xdr:col>2</xdr:col>
      <xdr:colOff>6353734</xdr:colOff>
      <xdr:row>23</xdr:row>
      <xdr:rowOff>44824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5738" y="672353"/>
          <a:ext cx="6947646" cy="39444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1533571\Downloads\2023.06.30%20CAS%20Booking%20Sheet%20%20V4.xlsm" TargetMode="External"/><Relationship Id="rId1" Type="http://schemas.openxmlformats.org/officeDocument/2006/relationships/externalLinkPath" Target="/Users/n1533571/Downloads/2023.06.30%20CAS%20Booking%20Sheet%20%20V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ibertymutual-my.sharepoint.com/personal/wikin_ramo_libertymutual_com/Documents/Desktop/MACRO%20CAS%20-%20Copy.xlsm" TargetMode="External"/><Relationship Id="rId1" Type="http://schemas.openxmlformats.org/officeDocument/2006/relationships/externalLinkPath" Target="MACRO%20CAS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n0363106/Downloads/Actualizacion%20BS%20FA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Base"/>
      <sheetName val="SF DATA"/>
      <sheetName val="GENIUS"/>
      <sheetName val="FAC"/>
      <sheetName val="MACRO FAC REG ROW"/>
      <sheetName val="MACRO FAC REG LIBSEGBR"/>
      <sheetName val="BASE FAC"/>
      <sheetName val="CODIGO FAC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CRO FAC REG LIBSEGBR"/>
      <sheetName val="MACRO FAC REG ROW"/>
      <sheetName val="FAC"/>
      <sheetName val="GENIUS"/>
      <sheetName val="TABLA"/>
      <sheetName val="SF DATA"/>
      <sheetName val="DataBase"/>
      <sheetName val="DATA"/>
      <sheetName val="CODIGOS"/>
    </sheetNames>
    <sheetDataSet>
      <sheetData sheetId="0"/>
      <sheetData sheetId="1"/>
      <sheetData sheetId="2"/>
      <sheetData sheetId="3">
        <row r="31">
          <cell r="BY31" t="str">
            <v/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 UWs (NewPolicies_Renewals)"/>
      <sheetName val="Plan1"/>
      <sheetName val="DataBase"/>
      <sheetName val="FAC"/>
      <sheetName val="RMS_General Informations"/>
      <sheetName val="UWs_BPO (Cancelation)"/>
      <sheetName val="PDF_BPO_Property"/>
      <sheetName val="PDF_BPO_Terrorism"/>
      <sheetName val="DataBaseTerror"/>
      <sheetName val="For BPO Coordinator"/>
      <sheetName val="RMS_Loc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Guerrero, Juan" id="{10233699-2138-4163-8B56-064B46B7F6BF}" userId="S::Juan.Guerrero01@libertymutual.com::3196e6c7-f22d-4086-9c0c-627fb969c755" providerId="AD"/>
</personList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outur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0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50000" t="100000" r="100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30000"/>
                <a:satMod val="200000"/>
              </a:schemeClr>
              <a:schemeClr val="phClr">
                <a:tint val="20000"/>
              </a:schemeClr>
            </a:duotone>
          </a:blip>
          <a:stretch/>
        </a:blip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W45" dT="2021-10-11T20:53:19.69" personId="{10233699-2138-4163-8B56-064B46B7F6BF}" id="{B40366D6-2ADE-4C6A-8785-4E58974C52D9}">
    <text>Los valores manuales deben ir sin puntos y comas (. y ,)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EC8EB-5476-4864-86AC-84061675BD2F}">
  <sheetPr codeName="Sheet9"/>
  <dimension ref="A1:T458"/>
  <sheetViews>
    <sheetView topLeftCell="A121" workbookViewId="0">
      <selection activeCell="B139" sqref="B139"/>
    </sheetView>
  </sheetViews>
  <sheetFormatPr defaultRowHeight="15" x14ac:dyDescent="0.25"/>
  <cols>
    <col min="1" max="1" width="42.75" style="313" customWidth="1"/>
    <col min="2" max="2" width="8.75" style="313" bestFit="1" customWidth="1"/>
    <col min="3" max="3" width="21.5" style="313" bestFit="1" customWidth="1"/>
    <col min="4" max="7" width="9" style="313"/>
    <col min="8" max="8" width="17.375" style="313" bestFit="1" customWidth="1"/>
    <col min="9" max="16" width="9" style="313"/>
    <col min="17" max="17" width="8" style="313" customWidth="1"/>
    <col min="18" max="18" width="106.125" style="313" customWidth="1"/>
    <col min="19" max="16384" width="9" style="313"/>
  </cols>
  <sheetData>
    <row r="1" spans="1:20" x14ac:dyDescent="0.25">
      <c r="A1" s="313" t="s">
        <v>2300</v>
      </c>
      <c r="R1" s="313" t="str">
        <f>+_xlfn.CONCAT(A1:Q1)</f>
        <v>&lt;HAScript name="EMISION CHILE MARINE" description="" timeout="60000" pausetime="800" promptall="true" blockinput="false" author="" creationdate="" supressclearevents="false" usevars="false"</v>
      </c>
      <c r="T1" s="313" t="str" cm="1">
        <f t="array" ref="T1:T7">+R1:R7</f>
        <v>&lt;HAScript name="EMISION CHILE MARINE" description="" timeout="60000" pausetime="800" promptall="true" blockinput="false" author="" creationdate="" supressclearevents="false" usevars="false"</v>
      </c>
    </row>
    <row r="2" spans="1:20" x14ac:dyDescent="0.25">
      <c r="A2" s="313" t="s">
        <v>2301</v>
      </c>
      <c r="R2" s="313" t="str">
        <f t="shared" ref="R2:R27" si="0">+_xlfn.CONCAT(A2:Q2)</f>
        <v>ignorepauseforenhancedtn="true" delayifnotenhancedtn="0" ignorepausetimeforenhancedtn="true" continueontimeout="false"&gt;</v>
      </c>
      <c r="T2" s="313" t="str">
        <v>ignorepauseforenhancedtn="true" delayifnotenhancedtn="0" ignorepausetimeforenhancedtn="true" continueontimeout="false"&gt;</v>
      </c>
    </row>
    <row r="3" spans="1:20" x14ac:dyDescent="0.25">
      <c r="A3" s="313" t="s">
        <v>2302</v>
      </c>
      <c r="R3" s="313" t="str">
        <f t="shared" si="0"/>
        <v>&lt;screen name="Screen1" entryscreen="false" exitscreen="true" transient="true"&gt;</v>
      </c>
      <c r="T3" s="313" t="str">
        <v>&lt;screen name="Screen1" entryscreen="false" exitscreen="true" transient="true"&gt;</v>
      </c>
    </row>
    <row r="4" spans="1:20" x14ac:dyDescent="0.25">
      <c r="A4" s="313" t="s">
        <v>2303</v>
      </c>
      <c r="R4" s="313" t="str">
        <f t="shared" si="0"/>
        <v>&lt;description &gt;</v>
      </c>
      <c r="T4" s="313" t="str">
        <v>&lt;description &gt;</v>
      </c>
    </row>
    <row r="5" spans="1:20" x14ac:dyDescent="0.25">
      <c r="A5" s="313" t="s">
        <v>2304</v>
      </c>
      <c r="R5" s="313" t="str">
        <f t="shared" si="0"/>
        <v>&lt;oia status="NOTINHIBITED" optional="false" invertmatch="false" /&gt;</v>
      </c>
      <c r="T5" s="313" t="str">
        <v>&lt;oia status="NOTINHIBITED" optional="false" invertmatch="false" /&gt;</v>
      </c>
    </row>
    <row r="6" spans="1:20" x14ac:dyDescent="0.25">
      <c r="A6" s="313" t="s">
        <v>2305</v>
      </c>
      <c r="R6" s="313" t="str">
        <f t="shared" si="0"/>
        <v>&lt;/description&gt;</v>
      </c>
      <c r="T6" s="313" t="str">
        <v>&lt;/description&gt;</v>
      </c>
    </row>
    <row r="7" spans="1:20" x14ac:dyDescent="0.25">
      <c r="A7" s="313" t="s">
        <v>2306</v>
      </c>
      <c r="R7" s="313" t="str">
        <f t="shared" si="0"/>
        <v>&lt;actions&gt;</v>
      </c>
      <c r="T7" s="313" t="str">
        <v>&lt;actions&gt;</v>
      </c>
    </row>
    <row r="8" spans="1:20" x14ac:dyDescent="0.25">
      <c r="R8" s="313" t="str">
        <f t="shared" si="0"/>
        <v/>
      </c>
    </row>
    <row r="9" spans="1:20" x14ac:dyDescent="0.25">
      <c r="A9" s="313" t="s">
        <v>2307</v>
      </c>
      <c r="B9" s="316" t="s">
        <v>2308</v>
      </c>
      <c r="C9" s="313" t="s">
        <v>2309</v>
      </c>
      <c r="D9" s="317"/>
      <c r="E9" s="313" t="s">
        <v>2310</v>
      </c>
      <c r="R9" s="313" t="str">
        <f t="shared" si="0"/>
        <v>&lt;input value="101[enter][tab][tab]041323[tab]CAS[enter][enter]" row="5" col="20" movecursor="true" xlatehostkeys="true" encrypted="false" /&gt;</v>
      </c>
      <c r="T9" s="313" t="str">
        <f>+_xlfn.CONCAT(A134:Q134)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0" spans="1:20" x14ac:dyDescent="0.25">
      <c r="A10" s="313" t="s">
        <v>2311</v>
      </c>
      <c r="B10" s="317" t="s">
        <v>164</v>
      </c>
      <c r="C10" s="313" t="s">
        <v>2312</v>
      </c>
      <c r="D10" s="317" t="s">
        <v>168</v>
      </c>
      <c r="E10" s="313" t="s">
        <v>2312</v>
      </c>
      <c r="F10" s="317" t="s">
        <v>2380</v>
      </c>
      <c r="G10" s="317" t="s">
        <v>210</v>
      </c>
      <c r="H10" s="313" t="s">
        <v>2312</v>
      </c>
      <c r="I10" s="317" t="s">
        <v>211</v>
      </c>
      <c r="J10" s="313" t="s">
        <v>2313</v>
      </c>
      <c r="R10" s="313" t="str">
        <f>+_xlfn.CONCAT(A10:Q10)</f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0" s="313" t="str">
        <f t="shared" ref="T10:T17" si="1">+_xlfn.CONCAT(A135:Q135)</f>
        <v>&lt;input value="[field+][field+][tab][tab][field+][field+][field+][field+][field+][tab][tab][tab]" row="0" col="0" movecursor="true" xlatehostkeys="true" encrypted="false" /&gt;</v>
      </c>
    </row>
    <row r="11" spans="1:20" x14ac:dyDescent="0.25">
      <c r="A11" s="313" t="s">
        <v>2314</v>
      </c>
      <c r="B11" s="317" t="s">
        <v>2381</v>
      </c>
      <c r="C11" s="317" t="s">
        <v>560</v>
      </c>
      <c r="D11" s="313" t="s">
        <v>2315</v>
      </c>
      <c r="E11" s="316" t="s">
        <v>172</v>
      </c>
      <c r="F11" s="313" t="s">
        <v>2316</v>
      </c>
      <c r="G11" s="316" t="s">
        <v>173</v>
      </c>
      <c r="H11" s="313" t="s">
        <v>2317</v>
      </c>
      <c r="I11" s="317"/>
      <c r="J11" s="313" t="s">
        <v>2312</v>
      </c>
      <c r="K11" s="316" t="s">
        <v>2336</v>
      </c>
      <c r="L11" s="313" t="s">
        <v>2318</v>
      </c>
      <c r="R11" s="313" t="str">
        <f>+_xlfn.CONCAT(A11:Q11)</f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1" s="313" t="str">
        <f t="shared" si="1"/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2" spans="1:20" x14ac:dyDescent="0.25">
      <c r="A12" s="313" t="s">
        <v>2314</v>
      </c>
      <c r="B12" s="317" t="str">
        <f>IF(C12="01","ANN","OTH")</f>
        <v>ANN</v>
      </c>
      <c r="C12" s="316" t="s">
        <v>2319</v>
      </c>
      <c r="D12" s="313" t="s">
        <v>2320</v>
      </c>
      <c r="E12" s="317" t="s">
        <v>177</v>
      </c>
      <c r="F12" s="313" t="s">
        <v>2321</v>
      </c>
      <c r="R12" s="313" t="str">
        <f t="shared" si="0"/>
        <v xml:space="preserve">&lt;input value="ANN01[tab][tab][tab][tab]&amp;=Master.OPPORTUNITY_CURRENCYISOCODEusd[enter]y" row="0" col="0" movecursor="true" xlatehostkeys="true" encrypted="false" /&gt; </v>
      </c>
      <c r="T12" s="313" t="str">
        <f t="shared" si="1"/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13" spans="1:20" x14ac:dyDescent="0.25">
      <c r="A13" s="313" t="s">
        <v>2322</v>
      </c>
      <c r="B13" s="316" t="str">
        <f>+E11</f>
        <v>&amp;=Master.OPPORTUNITY_EFFECTIVEDATESFROM</v>
      </c>
      <c r="C13" s="313" t="s">
        <v>2312</v>
      </c>
      <c r="D13" s="316" t="str">
        <f>+G11</f>
        <v>&amp;=Master.OPPORTUNITY_EFFECTIVEDATESENDFINAL</v>
      </c>
      <c r="E13" s="313" t="s">
        <v>2323</v>
      </c>
      <c r="F13" s="316" t="str">
        <f>+C28</f>
        <v>051323</v>
      </c>
      <c r="G13" s="313" t="s">
        <v>2324</v>
      </c>
      <c r="R13" s="313" t="str">
        <f t="shared" si="0"/>
        <v>&lt;input value="4[enter][tab]&amp;=Master.OPPORTUNITY_EFFECTIVEDATESFROM[tab]&amp;=Master.OPPORTUNITY_EFFECTIVEDATESENDFINAL[tab][tab]051323[tab]100[enter][enter][enter][enter]" row="0" col="0" movecursor="true" xlatehostkeys="true" encrypted="false" /&gt;</v>
      </c>
      <c r="T13" s="313" t="str">
        <f t="shared" si="1"/>
        <v>&lt;input value="4[enter][tab]&amp;=Master.OPPORTUNITY_EFFECTIVEDATESFROM[tab]&amp;=Master.OPPORTUNITY_EFFECTIVEDATESENDFINAL[tab][tab]051323[tab]100[enter][enter][enter][enter][enter]" row="0" col="0" movecursor="true" xlatehostkeys="true" encrypted="false" /&gt;</v>
      </c>
    </row>
    <row r="14" spans="1:20" x14ac:dyDescent="0.25">
      <c r="A14" s="313" t="s">
        <v>2325</v>
      </c>
      <c r="R14" s="313" t="str">
        <f t="shared" si="0"/>
        <v>&lt;input value="[enter]y[down][left][left][left][left]2[enter][pf6]" row="0" col="0" movecursor="true" xlatehostkeys="true" encrypted="false" /&gt;</v>
      </c>
      <c r="T14" s="313" t="str">
        <f t="shared" si="1"/>
        <v>&lt;input value="[down][backtab]4[enter][enter][enter][enter][enter][down][down][down][down][down]2[enter]4[enter][enter][enter]" row="0" col="0" movecursor="true" xlatehostkeys="true" encrypted="false" /&gt;</v>
      </c>
    </row>
    <row r="15" spans="1:20" x14ac:dyDescent="0.25">
      <c r="A15" s="313" t="s">
        <v>2314</v>
      </c>
      <c r="B15" s="317" t="s">
        <v>2272</v>
      </c>
      <c r="C15" s="313" t="s">
        <v>2312</v>
      </c>
      <c r="D15" s="317"/>
      <c r="E15" s="313" t="s">
        <v>2312</v>
      </c>
      <c r="F15" s="317"/>
      <c r="G15" s="317"/>
      <c r="H15" s="313" t="s">
        <v>2323</v>
      </c>
      <c r="I15" s="317"/>
      <c r="J15" s="313" t="s">
        <v>2312</v>
      </c>
      <c r="K15" s="317"/>
      <c r="L15" s="313" t="s">
        <v>2326</v>
      </c>
      <c r="R15" s="313" t="str">
        <f t="shared" si="0"/>
        <v>&lt;input value="&amp;=Master.OPPORTUNITY_GENIUS_SIC_ID[tab][tab][tab][tab][tab][enter][enter]" row="8" col="19" movecursor="true" xlatehostkeys="true" encrypted="false" /&gt;</v>
      </c>
      <c r="T15" s="313" t="str">
        <f t="shared" si="1"/>
        <v>&lt;input value="[down]2[enter][down][backtab]2[enter][pf6][down][down][down][backtab]" row="0" col="0" movecursor="true" xlatehostkeys="true" encrypted="false" /&gt;</v>
      </c>
    </row>
    <row r="16" spans="1:20" x14ac:dyDescent="0.25">
      <c r="A16" s="313" t="s">
        <v>2314</v>
      </c>
      <c r="B16" s="317" t="s">
        <v>1629</v>
      </c>
      <c r="C16" s="313" t="s">
        <v>2323</v>
      </c>
      <c r="D16" s="317" t="s">
        <v>1630</v>
      </c>
      <c r="E16" s="313" t="s">
        <v>2323</v>
      </c>
      <c r="F16" s="317" t="s">
        <v>1631</v>
      </c>
      <c r="G16" s="313" t="s">
        <v>2312</v>
      </c>
      <c r="H16" s="317" t="s">
        <v>1636</v>
      </c>
      <c r="I16" s="313" t="s">
        <v>2323</v>
      </c>
      <c r="J16" s="317" t="s">
        <v>1632</v>
      </c>
      <c r="K16" s="313" t="s">
        <v>2312</v>
      </c>
      <c r="L16" s="317" t="s">
        <v>1632</v>
      </c>
      <c r="M16" s="313" t="s">
        <v>2312</v>
      </c>
      <c r="N16" s="317" t="s">
        <v>2366</v>
      </c>
      <c r="O16" s="317"/>
      <c r="P16" s="313" t="s">
        <v>2367</v>
      </c>
      <c r="R16" s="313" t="str">
        <f>+_xlfn.CONCAT(A16:Q16)</f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6" s="313" t="str">
        <f t="shared" si="1"/>
        <v>&lt;input value="&amp;=Master.OPPORTUNITY_GENIUS_SIC_ID[tab]0[tab][tab][tab][tab][enter][enter][down][down][down][down][backtab]" row="8" col="19" movecursor="true" xlatehostkeys="true" encrypted="false" /&gt;</v>
      </c>
    </row>
    <row r="17" spans="1:20" x14ac:dyDescent="0.25">
      <c r="A17" s="313" t="s">
        <v>2314</v>
      </c>
      <c r="B17" s="317" t="s">
        <v>2396</v>
      </c>
      <c r="C17" s="317"/>
      <c r="D17" s="313" t="s">
        <v>2368</v>
      </c>
      <c r="R17" s="313" t="str">
        <f t="shared" si="0"/>
        <v>&lt;input value="[enter][enter][enter][enter][enter][enter][enter][enter]" row="12" col="02" movecursor="true" xlatehostkeys="true" encrypted="false" /&gt;</v>
      </c>
      <c r="S17" s="313" t="str">
        <f>+_xlfn.CONCAT(B17:R17)</f>
        <v>[enter][enter][enter][enter][enter][enter][enter][enter]" row="12" col="02" movecursor="true" xlatehostkeys="true" encrypted="false" /&gt;&lt;input value="[enter][enter][enter][enter][enter][enter][enter][enter]" row="12" col="02" movecursor="true" xlatehostkeys="true" encrypted="false" /&gt;</v>
      </c>
      <c r="T17" s="313" t="str">
        <f t="shared" si="1"/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8" spans="1:20" x14ac:dyDescent="0.25">
      <c r="A18" s="313" t="s">
        <v>2327</v>
      </c>
      <c r="R18" s="313" t="str">
        <f t="shared" si="0"/>
        <v>&lt;input value="[tab][tab][tab][tab][tab]2[enter]2[enter][tab]4[tab][tab][tab][tab]4[tab][tab][tab][tab]4" row="12" col="02" movecursor="true" xlatehostkeys="true" encrypted="false" /&gt;</v>
      </c>
      <c r="T18" s="313" t="str">
        <f>+_xlfn.CONCAT(A17:Q17)</f>
        <v>&lt;input value="[enter][enter][enter][enter][enter][enter][enter][enter]" row="12" col="02" movecursor="true" xlatehostkeys="true" encrypted="false" /&gt;</v>
      </c>
    </row>
    <row r="19" spans="1:20" x14ac:dyDescent="0.25">
      <c r="A19" s="313" t="s">
        <v>2328</v>
      </c>
      <c r="R19" s="313" t="str">
        <f>+_xlfn.CONCAT(A19:Q19)</f>
        <v>&lt;input value="[enter][enter][enter][enter][enter][enter][enter]" row="12" col="02" movecursor="true" xlatehostkeys="true" encrypted="false" /&gt;</v>
      </c>
      <c r="T19" s="313" t="str">
        <f>+_xlfn.CONCAT(A144:Q144)</f>
        <v/>
      </c>
    </row>
    <row r="20" spans="1:20" x14ac:dyDescent="0.25">
      <c r="R20" s="313" t="str">
        <f t="shared" si="0"/>
        <v/>
      </c>
      <c r="T20" s="313" t="str">
        <f>+_xlfn.CONCAT(A145:Q145)</f>
        <v/>
      </c>
    </row>
    <row r="21" spans="1:20" x14ac:dyDescent="0.25">
      <c r="A21" s="313" t="s">
        <v>2329</v>
      </c>
      <c r="R21" s="313" t="str">
        <f t="shared" si="0"/>
        <v>&lt;/actions&gt;</v>
      </c>
      <c r="T21" s="313" t="str">
        <f t="shared" ref="T21:T27" si="2">+_xlfn.CONCAT(C21:S21)</f>
        <v>&lt;/actions&gt;</v>
      </c>
    </row>
    <row r="22" spans="1:20" x14ac:dyDescent="0.25">
      <c r="A22" s="313" t="s">
        <v>2330</v>
      </c>
      <c r="R22" s="313" t="str">
        <f t="shared" si="0"/>
        <v>&lt;nextscreens timeout="0" &gt;</v>
      </c>
      <c r="T22" s="313" t="str">
        <f t="shared" si="2"/>
        <v>&lt;nextscreens timeout="0" &gt;</v>
      </c>
    </row>
    <row r="23" spans="1:20" x14ac:dyDescent="0.25">
      <c r="A23" s="313" t="s">
        <v>2331</v>
      </c>
      <c r="R23" s="313" t="str">
        <f t="shared" si="0"/>
        <v>&lt;/nextscreens&gt;</v>
      </c>
      <c r="T23" s="313" t="str">
        <f t="shared" si="2"/>
        <v>&lt;/nextscreens&gt;</v>
      </c>
    </row>
    <row r="24" spans="1:20" x14ac:dyDescent="0.25">
      <c r="A24" s="313" t="s">
        <v>2332</v>
      </c>
      <c r="R24" s="313" t="str">
        <f t="shared" si="0"/>
        <v>&lt;recolimit value="10000" /&gt;</v>
      </c>
      <c r="T24" s="313" t="str">
        <f t="shared" si="2"/>
        <v>&lt;recolimit value="10000" /&gt;</v>
      </c>
    </row>
    <row r="25" spans="1:20" x14ac:dyDescent="0.25">
      <c r="A25" s="313" t="s">
        <v>2333</v>
      </c>
      <c r="R25" s="313" t="str">
        <f t="shared" si="0"/>
        <v>&lt;/screen&gt;</v>
      </c>
      <c r="T25" s="313" t="str">
        <f t="shared" si="2"/>
        <v>&lt;/screen&gt;</v>
      </c>
    </row>
    <row r="26" spans="1:20" x14ac:dyDescent="0.25">
      <c r="R26" s="313" t="str">
        <f t="shared" si="0"/>
        <v/>
      </c>
      <c r="T26" s="313" t="str">
        <f t="shared" si="2"/>
        <v/>
      </c>
    </row>
    <row r="27" spans="1:20" x14ac:dyDescent="0.25">
      <c r="A27" s="313" t="s">
        <v>2334</v>
      </c>
      <c r="R27" s="313" t="str">
        <f t="shared" si="0"/>
        <v>&lt;/HAScript&gt;</v>
      </c>
      <c r="T27" s="313" t="str">
        <f t="shared" si="2"/>
        <v>&lt;/HAScript&gt;</v>
      </c>
    </row>
    <row r="28" spans="1:20" x14ac:dyDescent="0.25">
      <c r="C28" s="318" t="s">
        <v>2335</v>
      </c>
    </row>
    <row r="29" spans="1:20" x14ac:dyDescent="0.25">
      <c r="A29" s="313">
        <v>50</v>
      </c>
      <c r="C29" s="318" t="s">
        <v>2336</v>
      </c>
      <c r="R29" s="313" t="str" cm="1">
        <f t="array" ref="R29:R40">+R1:R12</f>
        <v>&lt;HAScript name="EMISION CHILE MARINE" description="" timeout="60000" pausetime="800" promptall="true" blockinput="false" author="" creationdate="" supressclearevents="false" usevars="false"</v>
      </c>
      <c r="T29" s="313" t="str" cm="1">
        <f t="array" ref="T29:T35">+_xlfn.ANCHORARRAY(T1)</f>
        <v>&lt;HAScript name="EMISION CHILE MARINE" description="" timeout="60000" pausetime="800" promptall="true" blockinput="false" author="" creationdate="" supressclearevents="false" usevars="false"</v>
      </c>
    </row>
    <row r="30" spans="1:20" x14ac:dyDescent="0.25">
      <c r="A30" s="319">
        <v>33.340000000000003</v>
      </c>
      <c r="C30" s="318" t="s">
        <v>2336</v>
      </c>
      <c r="R30" s="313" t="str">
        <v>ignorepauseforenhancedtn="true" delayifnotenhancedtn="0" ignorepausetimeforenhancedtn="true" continueontimeout="false"&gt;</v>
      </c>
      <c r="T30" s="313" t="str">
        <v>ignorepauseforenhancedtn="true" delayifnotenhancedtn="0" ignorepausetimeforenhancedtn="true" continueontimeout="false"&gt;</v>
      </c>
    </row>
    <row r="31" spans="1:20" x14ac:dyDescent="0.25">
      <c r="A31" s="319">
        <v>33.33</v>
      </c>
      <c r="C31" s="318" t="s">
        <v>2336</v>
      </c>
      <c r="R31" s="313" t="str">
        <v>&lt;screen name="Screen1" entryscreen="false" exitscreen="true" transient="true"&gt;</v>
      </c>
      <c r="T31" s="313" t="str">
        <v>&lt;screen name="Screen1" entryscreen="false" exitscreen="true" transient="true"&gt;</v>
      </c>
    </row>
    <row r="32" spans="1:20" x14ac:dyDescent="0.25">
      <c r="A32" s="319">
        <v>25</v>
      </c>
      <c r="C32" s="318" t="s">
        <v>2336</v>
      </c>
      <c r="R32" s="313" t="str">
        <v>&lt;description &gt;</v>
      </c>
      <c r="T32" s="313" t="str">
        <v>&lt;description &gt;</v>
      </c>
    </row>
    <row r="33" spans="1:20" x14ac:dyDescent="0.25">
      <c r="A33" s="319">
        <v>20</v>
      </c>
      <c r="C33" s="318" t="s">
        <v>2336</v>
      </c>
      <c r="R33" s="313" t="str">
        <v>&lt;oia status="NOTINHIBITED" optional="false" invertmatch="false" /&gt;</v>
      </c>
      <c r="T33" s="313" t="str">
        <v>&lt;oia status="NOTINHIBITED" optional="false" invertmatch="false" /&gt;</v>
      </c>
    </row>
    <row r="34" spans="1:20" x14ac:dyDescent="0.25">
      <c r="A34" s="319">
        <v>16.670000000000002</v>
      </c>
      <c r="C34" s="318" t="s">
        <v>2336</v>
      </c>
      <c r="R34" s="313" t="str">
        <v>&lt;/description&gt;</v>
      </c>
      <c r="T34" s="313" t="str">
        <v>&lt;/description&gt;</v>
      </c>
    </row>
    <row r="35" spans="1:20" x14ac:dyDescent="0.25">
      <c r="A35" s="319">
        <v>16.649999999999999</v>
      </c>
      <c r="C35" s="318" t="s">
        <v>2336</v>
      </c>
      <c r="R35" s="313" t="str">
        <v>&lt;actions&gt;</v>
      </c>
      <c r="T35" s="313" t="str">
        <v>&lt;actions&gt;</v>
      </c>
    </row>
    <row r="36" spans="1:20" x14ac:dyDescent="0.25">
      <c r="A36" s="319">
        <v>14.26</v>
      </c>
      <c r="C36" s="318" t="s">
        <v>2336</v>
      </c>
      <c r="R36" s="313" t="str">
        <v/>
      </c>
    </row>
    <row r="37" spans="1:20" x14ac:dyDescent="0.25">
      <c r="A37" s="319">
        <v>14.29</v>
      </c>
      <c r="C37" s="318" t="s">
        <v>2336</v>
      </c>
      <c r="R37" s="313" t="str">
        <v>&lt;input value="101[enter][tab][tab]041323[tab]CAS[enter][enter]" row="5" col="20" movecursor="true" xlatehostkeys="true" encrypted="false" /&gt;</v>
      </c>
      <c r="T37" s="313" t="str" cm="1">
        <f t="array" ref="T37:T40">+T9:T12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8" spans="1:20" x14ac:dyDescent="0.25">
      <c r="A38" s="313">
        <v>12.5</v>
      </c>
      <c r="B38" s="319"/>
      <c r="C38" s="318" t="s">
        <v>2336</v>
      </c>
      <c r="R3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8" s="313" t="str">
        <v>&lt;input value="[field+][field+][tab][tab][field+][field+][field+][field+][field+][tab][tab][tab]" row="0" col="0" movecursor="true" xlatehostkeys="true" encrypted="false" /&gt;</v>
      </c>
    </row>
    <row r="39" spans="1:20" x14ac:dyDescent="0.25">
      <c r="A39" s="319">
        <v>11.12</v>
      </c>
      <c r="B39" s="319"/>
      <c r="C39" s="318" t="s">
        <v>2336</v>
      </c>
      <c r="R3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40" spans="1:20" x14ac:dyDescent="0.25">
      <c r="A40" s="319">
        <v>11.11</v>
      </c>
      <c r="C40" s="318" t="s">
        <v>2336</v>
      </c>
      <c r="R40" s="313" t="str">
        <v xml:space="preserve">&lt;input value="ANN01[tab][tab][tab][tab]&amp;=Master.OPPORTUNITY_CURRENCYISOCODEusd[enter]y" row="0" col="0" movecursor="true" xlatehostkeys="true" encrypted="false" /&gt; </v>
      </c>
      <c r="T40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41" spans="1:20" x14ac:dyDescent="0.25">
      <c r="A41" s="319">
        <v>10</v>
      </c>
      <c r="R41" s="313" t="s">
        <v>2337</v>
      </c>
      <c r="T41" s="313" t="str">
        <f>+R41</f>
        <v>&lt;input value="4[backtab][down]4[enter]" row="0" col="0" movecursor="true" xlatehostkeys="true" encrypted="false" /&gt;</v>
      </c>
    </row>
    <row r="42" spans="1:20" x14ac:dyDescent="0.25">
      <c r="A42" s="319">
        <v>9.09</v>
      </c>
      <c r="R42" s="313" t="str">
        <f>_xlfn.CONCAT($A$51,$B$13,$B$50,$D$13,$C$50,C28,$D$50,A29,$E$50)</f>
        <v>&lt;input value="[tab]&amp;=Master.OPPORTUNITY_EFFECTIVEDATESFROM[tab]&amp;=Master.OPPORTUNITY_EFFECTIVEDATESENDFINAL[tab][tab]051323[tab]50[tab]" row="0" col="0" movecursor="true" xlatehostkeys="true" encrypted="false" /&gt;</v>
      </c>
      <c r="T42" s="313" t="str" cm="1">
        <f t="array" ref="T42:T43">+R42:R43</f>
        <v>&lt;input value="[tab]&amp;=Master.OPPORTUNITY_EFFECTIVEDATESFROM[tab]&amp;=Master.OPPORTUNITY_EFFECTIVEDATESENDFINAL[tab][tab]051323[tab]50[tab]" row="0" col="0" movecursor="true" xlatehostkeys="true" encrypted="false" /&gt;</v>
      </c>
    </row>
    <row r="43" spans="1:20" x14ac:dyDescent="0.25">
      <c r="A43" s="319">
        <v>9.1</v>
      </c>
      <c r="R43" s="313" t="str">
        <f>+_xlfn.CONCAT($A$52,B13,$B$51,D13,$C$51,C29,$B$51,A29,$D$51)</f>
        <v>&lt;input value="[tab]&amp;=Master.OPPORTUNITY_EFFECTIVEDATESFROM[tab]&amp;=Master.OPPORTUNITY_EFFECTIVEDATESENDFINAL[tab][tab][tab]50[enter][enter][enter][enter]" row="0" col="0" movecursor="true" xlatehostkeys="true" encrypted="false" /&gt;</v>
      </c>
      <c r="T43" s="313" t="str">
        <v>&lt;input value="[tab]&amp;=Master.OPPORTUNITY_EFFECTIVEDATESFROM[tab]&amp;=Master.OPPORTUNITY_EFFECTIVEDATESENDFINAL[tab][tab][tab]50[enter][enter][enter][enter]" row="0" col="0" movecursor="true" xlatehostkeys="true" encrypted="false" /&gt;</v>
      </c>
    </row>
    <row r="44" spans="1:20" x14ac:dyDescent="0.25">
      <c r="A44" s="319">
        <v>8.33</v>
      </c>
      <c r="R44" s="313" t="str" cm="1">
        <f t="array" ref="R44:R57">+R14:R27</f>
        <v>&lt;input value="[enter]y[down][left][left][left][left]2[enter][pf6]" row="0" col="0" movecursor="true" xlatehostkeys="true" encrypted="false" /&gt;</v>
      </c>
      <c r="T44" s="313" t="str">
        <f>+A153</f>
        <v>&lt;input value="[enter][down][backtab]4[enter][enter][down][backtab]2[enter][pf6][down][down][down][backtab]" row="0" col="0" movecursor="true" xlatehostkeys="true" encrypted="false" /&gt;</v>
      </c>
    </row>
    <row r="45" spans="1:20" x14ac:dyDescent="0.25">
      <c r="A45" s="319">
        <v>8.3699999999999992</v>
      </c>
      <c r="D45" s="313" t="s">
        <v>2338</v>
      </c>
      <c r="R45" s="313" t="str">
        <v>&lt;input value="&amp;=Master.OPPORTUNITY_GENIUS_SIC_ID[tab][tab][tab][tab][tab][enter][enter]" row="8" col="19" movecursor="true" xlatehostkeys="true" encrypted="false" /&gt;</v>
      </c>
      <c r="T45" s="313" t="str" cm="1">
        <f t="array" ref="T45:T49">+T16:T20</f>
        <v>&lt;input value="&amp;=Master.OPPORTUNITY_GENIUS_SIC_ID[tab]0[tab][tab][tab][tab][enter][enter][down][down][down][down][backtab]" row="8" col="19" movecursor="true" xlatehostkeys="true" encrypted="false" /&gt;</v>
      </c>
    </row>
    <row r="46" spans="1:20" x14ac:dyDescent="0.25">
      <c r="A46" s="319">
        <v>7.72</v>
      </c>
      <c r="D46" s="313" t="s">
        <v>2339</v>
      </c>
      <c r="R4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7" spans="1:20" x14ac:dyDescent="0.25">
      <c r="A47" s="319">
        <v>7.69</v>
      </c>
      <c r="R47" s="313" t="str">
        <v>&lt;input value="[enter][enter][enter][enter][enter][enter][enter][enter]" row="12" col="02" movecursor="true" xlatehostkeys="true" encrypted="false" /&gt;</v>
      </c>
      <c r="T47" s="313" t="str">
        <v>&lt;input value="[enter][enter][enter][enter][enter][enter][enter][enter]" row="12" col="02" movecursor="true" xlatehostkeys="true" encrypted="false" /&gt;</v>
      </c>
    </row>
    <row r="48" spans="1:20" x14ac:dyDescent="0.25">
      <c r="R48" s="313" t="str">
        <v>&lt;input value="[tab][tab][tab][tab][tab]2[enter]2[enter][tab]4[tab][tab][tab][tab]4[tab][tab][tab][tab]4" row="12" col="02" movecursor="true" xlatehostkeys="true" encrypted="false" /&gt;</v>
      </c>
      <c r="T48" s="313" t="str">
        <v/>
      </c>
    </row>
    <row r="49" spans="1:20" x14ac:dyDescent="0.25">
      <c r="R49" s="313" t="str">
        <v>&lt;input value="[enter][enter][enter][enter][enter][enter][enter]" row="12" col="02" movecursor="true" xlatehostkeys="true" encrypted="false" /&gt;</v>
      </c>
      <c r="T49" s="313" t="str">
        <v/>
      </c>
    </row>
    <row r="50" spans="1:20" x14ac:dyDescent="0.25">
      <c r="B50" s="313" t="s">
        <v>2312</v>
      </c>
      <c r="C50" s="313" t="s">
        <v>2323</v>
      </c>
      <c r="D50" s="313" t="s">
        <v>2312</v>
      </c>
      <c r="E50" s="313" t="s">
        <v>2313</v>
      </c>
      <c r="R50" s="313" t="str">
        <v/>
      </c>
    </row>
    <row r="51" spans="1:20" x14ac:dyDescent="0.25">
      <c r="A51" s="313" t="s">
        <v>2340</v>
      </c>
      <c r="B51" s="313" t="s">
        <v>2312</v>
      </c>
      <c r="C51" s="313" t="s">
        <v>2323</v>
      </c>
      <c r="D51" s="313" t="s">
        <v>2341</v>
      </c>
      <c r="R51" s="313" t="str">
        <v>&lt;/actions&gt;</v>
      </c>
      <c r="T51" s="313" t="str" cm="1">
        <f t="array" ref="T51:T57">+R51:R57</f>
        <v>&lt;/actions&gt;</v>
      </c>
    </row>
    <row r="52" spans="1:20" x14ac:dyDescent="0.25">
      <c r="A52" s="313" t="s">
        <v>2340</v>
      </c>
      <c r="R52" s="313" t="str">
        <v>&lt;nextscreens timeout="0" &gt;</v>
      </c>
      <c r="T52" s="313" t="str">
        <v>&lt;nextscreens timeout="0" &gt;</v>
      </c>
    </row>
    <row r="53" spans="1:20" x14ac:dyDescent="0.25">
      <c r="R53" s="313" t="str">
        <v>&lt;/nextscreens&gt;</v>
      </c>
      <c r="T53" s="313" t="str">
        <v>&lt;/nextscreens&gt;</v>
      </c>
    </row>
    <row r="54" spans="1:20" x14ac:dyDescent="0.25">
      <c r="A54" s="313" t="s">
        <v>2342</v>
      </c>
      <c r="R54" s="313" t="str">
        <v>&lt;recolimit value="10000" /&gt;</v>
      </c>
      <c r="T54" s="313" t="str">
        <v>&lt;recolimit value="10000" /&gt;</v>
      </c>
    </row>
    <row r="55" spans="1:20" x14ac:dyDescent="0.25">
      <c r="A55" s="313" t="s">
        <v>2343</v>
      </c>
      <c r="R55" s="313" t="str">
        <v>&lt;/screen&gt;</v>
      </c>
      <c r="T55" s="313" t="str">
        <v>&lt;/screen&gt;</v>
      </c>
    </row>
    <row r="56" spans="1:20" x14ac:dyDescent="0.25">
      <c r="R56" s="313" t="str">
        <v/>
      </c>
      <c r="T56" s="313" t="str">
        <v/>
      </c>
    </row>
    <row r="57" spans="1:20" x14ac:dyDescent="0.25">
      <c r="R57" s="313" t="str">
        <v>&lt;/HAScript&gt;</v>
      </c>
      <c r="T57" s="313" t="str">
        <v>&lt;/HAScript&gt;</v>
      </c>
    </row>
    <row r="58" spans="1:20" x14ac:dyDescent="0.25">
      <c r="A58" s="313" t="s">
        <v>2300</v>
      </c>
      <c r="G58" s="313" t="str">
        <f>+_xlfn.CONCAT(A58:F58)</f>
        <v>&lt;HAScript name="EMISION CHILE MARINE" description="" timeout="60000" pausetime="800" promptall="true" blockinput="false" author="" creationdate="" supressclearevents="false" usevars="false"</v>
      </c>
    </row>
    <row r="59" spans="1:20" x14ac:dyDescent="0.25">
      <c r="A59" s="313" t="s">
        <v>2301</v>
      </c>
      <c r="G59" s="313" t="str">
        <f t="shared" ref="G59:G75" si="3">+_xlfn.CONCAT(A59:F59)</f>
        <v>ignorepauseforenhancedtn="true" delayifnotenhancedtn="0" ignorepausetimeforenhancedtn="true" continueontimeout="false"&gt;</v>
      </c>
      <c r="R59" s="313" t="str" cm="1">
        <f t="array" ref="R59:R70">+R1:R12</f>
        <v>&lt;HAScript name="EMISION CHILE MARINE" description="" timeout="60000" pausetime="800" promptall="true" blockinput="false" author="" creationdate="" supressclearevents="false" usevars="false"</v>
      </c>
      <c r="T59" s="313" t="str" cm="1">
        <f t="array" ref="T59:T65">+R59:R65</f>
        <v>&lt;HAScript name="EMISION CHILE MARINE" description="" timeout="60000" pausetime="800" promptall="true" blockinput="false" author="" creationdate="" supressclearevents="false" usevars="false"</v>
      </c>
    </row>
    <row r="60" spans="1:20" x14ac:dyDescent="0.25">
      <c r="A60" s="313" t="s">
        <v>2302</v>
      </c>
      <c r="G60" s="313" t="str">
        <f t="shared" si="3"/>
        <v>&lt;screen name="Screen1" entryscreen="false" exitscreen="true" transient="true"&gt;</v>
      </c>
      <c r="R60" s="313" t="str">
        <v>ignorepauseforenhancedtn="true" delayifnotenhancedtn="0" ignorepausetimeforenhancedtn="true" continueontimeout="false"&gt;</v>
      </c>
      <c r="T60" s="313" t="str">
        <v>ignorepauseforenhancedtn="true" delayifnotenhancedtn="0" ignorepausetimeforenhancedtn="true" continueontimeout="false"&gt;</v>
      </c>
    </row>
    <row r="61" spans="1:20" x14ac:dyDescent="0.25">
      <c r="A61" s="313" t="s">
        <v>2303</v>
      </c>
      <c r="G61" s="313" t="str">
        <f t="shared" si="3"/>
        <v>&lt;description &gt;</v>
      </c>
      <c r="R61" s="313" t="str">
        <v>&lt;screen name="Screen1" entryscreen="false" exitscreen="true" transient="true"&gt;</v>
      </c>
      <c r="T61" s="313" t="str">
        <v>&lt;screen name="Screen1" entryscreen="false" exitscreen="true" transient="true"&gt;</v>
      </c>
    </row>
    <row r="62" spans="1:20" x14ac:dyDescent="0.25">
      <c r="A62" s="313" t="s">
        <v>2304</v>
      </c>
      <c r="G62" s="313" t="str">
        <f t="shared" si="3"/>
        <v>&lt;oia status="NOTINHIBITED" optional="false" invertmatch="false" /&gt;</v>
      </c>
      <c r="R62" s="313" t="str">
        <v>&lt;description &gt;</v>
      </c>
      <c r="T62" s="313" t="str">
        <v>&lt;description &gt;</v>
      </c>
    </row>
    <row r="63" spans="1:20" x14ac:dyDescent="0.25">
      <c r="A63" s="313" t="s">
        <v>2305</v>
      </c>
      <c r="G63" s="313" t="str">
        <f t="shared" si="3"/>
        <v>&lt;/description&gt;</v>
      </c>
      <c r="R63" s="313" t="str">
        <v>&lt;oia status="NOTINHIBITED" optional="false" invertmatch="false" /&gt;</v>
      </c>
      <c r="T63" s="313" t="str">
        <v>&lt;oia status="NOTINHIBITED" optional="false" invertmatch="false" /&gt;</v>
      </c>
    </row>
    <row r="64" spans="1:20" x14ac:dyDescent="0.25">
      <c r="A64" s="313" t="s">
        <v>2306</v>
      </c>
      <c r="G64" s="313" t="str">
        <f t="shared" si="3"/>
        <v>&lt;actions&gt;</v>
      </c>
      <c r="R64" s="313" t="str">
        <v>&lt;/description&gt;</v>
      </c>
      <c r="T64" s="313" t="str">
        <v>&lt;/description&gt;</v>
      </c>
    </row>
    <row r="65" spans="1:20" x14ac:dyDescent="0.25">
      <c r="A65" s="313" t="s">
        <v>2423</v>
      </c>
      <c r="G65" s="313" t="str">
        <f>+_xlfn.CONCAT(A65:F65)</f>
        <v>&lt;input value="2[enter]2[enter][tab][pagedn][tab]10[tab]RWT[tab][tab][tab]1[enter][enter][enter]" row="10" col="2" movecursor="true" xlatehostkeys="true" encrypted="false" /&gt;</v>
      </c>
      <c r="R65" s="313" t="str">
        <v>&lt;actions&gt;</v>
      </c>
      <c r="T65" s="313" t="str">
        <v>&lt;actions&gt;</v>
      </c>
    </row>
    <row r="66" spans="1:20" x14ac:dyDescent="0.25">
      <c r="G66" s="313" t="str">
        <f t="shared" ref="G66:G68" si="4">+_xlfn.CONCAT(A66:F66)</f>
        <v/>
      </c>
      <c r="R66" s="313" t="str">
        <v/>
      </c>
    </row>
    <row r="67" spans="1:20" x14ac:dyDescent="0.25">
      <c r="G67" s="313" t="str">
        <f t="shared" si="4"/>
        <v/>
      </c>
      <c r="R67" s="313" t="str">
        <v>&lt;input value="101[enter][tab][tab]041323[tab]CAS[enter][enter]" row="5" col="20" movecursor="true" xlatehostkeys="true" encrypted="false" /&gt;</v>
      </c>
      <c r="T67" s="313" t="str" cm="1">
        <f t="array" ref="T67:T71">+T37:T41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68" spans="1:20" x14ac:dyDescent="0.25">
      <c r="G68" s="313" t="str">
        <f t="shared" si="4"/>
        <v/>
      </c>
      <c r="R6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68" s="313" t="str">
        <v>&lt;input value="[field+][field+][tab][tab][field+][field+][field+][field+][field+][tab][tab][tab]" row="0" col="0" movecursor="true" xlatehostkeys="true" encrypted="false" /&gt;</v>
      </c>
    </row>
    <row r="69" spans="1:20" x14ac:dyDescent="0.25">
      <c r="A69" s="313" t="s">
        <v>2329</v>
      </c>
      <c r="G69" s="313" t="str">
        <f t="shared" si="3"/>
        <v>&lt;/actions&gt;</v>
      </c>
      <c r="R6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6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70" spans="1:20" x14ac:dyDescent="0.25">
      <c r="A70" s="313" t="s">
        <v>2330</v>
      </c>
      <c r="G70" s="313" t="str">
        <f t="shared" si="3"/>
        <v>&lt;nextscreens timeout="0" &gt;</v>
      </c>
      <c r="R70" s="313" t="str">
        <v xml:space="preserve">&lt;input value="ANN01[tab][tab][tab][tab]&amp;=Master.OPPORTUNITY_CURRENCYISOCODEusd[enter]y" row="0" col="0" movecursor="true" xlatehostkeys="true" encrypted="false" /&gt; </v>
      </c>
      <c r="T70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71" spans="1:20" x14ac:dyDescent="0.25">
      <c r="A71" s="313" t="s">
        <v>2331</v>
      </c>
      <c r="G71" s="313" t="str">
        <f t="shared" si="3"/>
        <v>&lt;/nextscreens&gt;</v>
      </c>
      <c r="R71" s="313" t="s">
        <v>2344</v>
      </c>
      <c r="T71" s="313" t="str">
        <v>&lt;input value="4[backtab][down]4[enter]" row="0" col="0" movecursor="true" xlatehostkeys="true" encrypted="false" /&gt;</v>
      </c>
    </row>
    <row r="72" spans="1:20" x14ac:dyDescent="0.25">
      <c r="A72" s="313" t="s">
        <v>2332</v>
      </c>
      <c r="G72" s="313" t="str">
        <f t="shared" si="3"/>
        <v>&lt;recolimit value="10000" /&gt;</v>
      </c>
      <c r="R72" s="313" t="str">
        <f>_xlfn.CONCAT($A$51,$B$13,$B$50,$D$13,$C$50,C28,$D$50,A30,$E$50)</f>
        <v>&lt;input value="[tab]&amp;=Master.OPPORTUNITY_EFFECTIVEDATESFROM[tab]&amp;=Master.OPPORTUNITY_EFFECTIVEDATESENDFINAL[tab][tab]051323[tab]33.34[tab]" row="0" col="0" movecursor="true" xlatehostkeys="true" encrypted="false" /&gt;</v>
      </c>
      <c r="T72" s="313" t="str" cm="1">
        <f t="array" ref="T72:T74">+R72:R74</f>
        <v>&lt;input value="[tab]&amp;=Master.OPPORTUNITY_EFFECTIVEDATESFROM[tab]&amp;=Master.OPPORTUNITY_EFFECTIVEDATESENDFINAL[tab][tab]051323[tab]33.34[tab]" row="0" col="0" movecursor="true" xlatehostkeys="true" encrypted="false" /&gt;</v>
      </c>
    </row>
    <row r="73" spans="1:20" x14ac:dyDescent="0.25">
      <c r="A73" s="313" t="s">
        <v>2333</v>
      </c>
      <c r="G73" s="313" t="str">
        <f t="shared" si="3"/>
        <v>&lt;/screen&gt;</v>
      </c>
      <c r="R73" s="313" t="str">
        <f>_xlfn.CONCAT($A$51,$B$13,$B$50,$D$13,$C$50,C29,$D$50,A31,$E$50)</f>
        <v>&lt;input value="[tab]&amp;=Master.OPPORTUNITY_EFFECTIVEDATESFROM[tab]&amp;=Master.OPPORTUNITY_EFFECTIVEDATESENDFINAL[tab][tab][tab]33.33[tab]" row="0" col="0" movecursor="true" xlatehostkeys="true" encrypted="false" /&gt;</v>
      </c>
      <c r="T73" s="313" t="str">
        <v>&lt;input value="[tab]&amp;=Master.OPPORTUNITY_EFFECTIVEDATESFROM[tab]&amp;=Master.OPPORTUNITY_EFFECTIVEDATESENDFINAL[tab][tab][tab]33.33[tab]" row="0" col="0" movecursor="true" xlatehostkeys="true" encrypted="false" /&gt;</v>
      </c>
    </row>
    <row r="74" spans="1:20" x14ac:dyDescent="0.25">
      <c r="G74" s="313" t="str">
        <f t="shared" si="3"/>
        <v/>
      </c>
      <c r="R74" s="313" t="str">
        <f>+_xlfn.CONCAT($A$52,B13,$B$51,D13,$C$51,C30,$B$51,A31,$D$51)</f>
        <v>&lt;input value="[tab]&amp;=Master.OPPORTUNITY_EFFECTIVEDATESFROM[tab]&amp;=Master.OPPORTUNITY_EFFECTIVEDATESENDFINAL[tab][tab][tab]33.33[enter][enter][enter][enter]" row="0" col="0" movecursor="true" xlatehostkeys="true" encrypted="false" /&gt;</v>
      </c>
      <c r="T74" s="313" t="str">
        <v>&lt;input value="[tab]&amp;=Master.OPPORTUNITY_EFFECTIVEDATESFROM[tab]&amp;=Master.OPPORTUNITY_EFFECTIVEDATESENDFINAL[tab][tab][tab]33.33[enter][enter][enter][enter]" row="0" col="0" movecursor="true" xlatehostkeys="true" encrypted="false" /&gt;</v>
      </c>
    </row>
    <row r="75" spans="1:20" x14ac:dyDescent="0.25">
      <c r="A75" s="313" t="s">
        <v>2334</v>
      </c>
      <c r="G75" s="313" t="str">
        <f t="shared" si="3"/>
        <v>&lt;/HAScript&gt;</v>
      </c>
      <c r="R75" s="313" t="str" cm="1">
        <f t="array" ref="R75:R88">+R14:R27</f>
        <v>&lt;input value="[enter]y[down][left][left][left][left]2[enter][pf6]" row="0" col="0" movecursor="true" xlatehostkeys="true" encrypted="false" /&gt;</v>
      </c>
      <c r="T75" s="313" t="str" cm="1">
        <f t="array" ref="T75:T80">+T44:T49</f>
        <v>&lt;input value="[enter][down][backtab]4[enter][enter][down][backtab]2[enter][pf6][down][down][down][backtab]" row="0" col="0" movecursor="true" xlatehostkeys="true" encrypted="false" /&gt;</v>
      </c>
    </row>
    <row r="76" spans="1:20" x14ac:dyDescent="0.25">
      <c r="R76" s="313" t="str">
        <v>&lt;input value="&amp;=Master.OPPORTUNITY_GENIUS_SIC_ID[tab][tab][tab][tab][tab][enter][enter]" row="8" col="19" movecursor="true" xlatehostkeys="true" encrypted="false" /&gt;</v>
      </c>
      <c r="T76" s="313" t="str">
        <v>&lt;input value="&amp;=Master.OPPORTUNITY_GENIUS_SIC_ID[tab]0[tab][tab][tab][tab][enter][enter][down][down][down][down][backtab]" row="8" col="19" movecursor="true" xlatehostkeys="true" encrypted="false" /&gt;</v>
      </c>
    </row>
    <row r="77" spans="1:20" x14ac:dyDescent="0.25">
      <c r="R7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7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78" spans="1:20" x14ac:dyDescent="0.25">
      <c r="R78" s="313" t="str">
        <v>&lt;input value="[enter][enter][enter][enter][enter][enter][enter][enter]" row="12" col="02" movecursor="true" xlatehostkeys="true" encrypted="false" /&gt;</v>
      </c>
      <c r="T78" s="313" t="str">
        <v>&lt;input value="[enter][enter][enter][enter][enter][enter][enter][enter]" row="12" col="02" movecursor="true" xlatehostkeys="true" encrypted="false" /&gt;</v>
      </c>
    </row>
    <row r="79" spans="1:20" x14ac:dyDescent="0.25">
      <c r="R79" s="313" t="str">
        <v>&lt;input value="[tab][tab][tab][tab][tab]2[enter]2[enter][tab]4[tab][tab][tab][tab]4[tab][tab][tab][tab]4" row="12" col="02" movecursor="true" xlatehostkeys="true" encrypted="false" /&gt;</v>
      </c>
      <c r="T79" s="313" t="str">
        <v/>
      </c>
    </row>
    <row r="80" spans="1:20" x14ac:dyDescent="0.25">
      <c r="R80" s="313" t="str">
        <v>&lt;input value="[enter][enter][enter][enter][enter][enter][enter]" row="12" col="02" movecursor="true" xlatehostkeys="true" encrypted="false" /&gt;</v>
      </c>
      <c r="T80" s="313" t="str">
        <v/>
      </c>
    </row>
    <row r="81" spans="1:20" x14ac:dyDescent="0.25">
      <c r="A81" s="313" t="s">
        <v>835</v>
      </c>
      <c r="R81" s="313" t="str">
        <v/>
      </c>
    </row>
    <row r="82" spans="1:20" x14ac:dyDescent="0.25">
      <c r="A82" s="313" t="s">
        <v>2297</v>
      </c>
      <c r="Q82" s="313" t="str">
        <f>+_xlfn.CONCAT(A82:P82)</f>
        <v>&lt;input value="[down]2[enter][down][backtab]4[enter][enter][down][down][down][backtab]2[enter][pf6][tab][tab][tab]" row="0" col="0" movecursor="true" xlatehostkeys="true" encrypted="false" /&gt;</v>
      </c>
      <c r="R82" s="313" t="str">
        <v>&lt;/actions&gt;</v>
      </c>
      <c r="T82" s="313" t="str" cm="1">
        <f t="array" ref="T82:T88">+R82:R88</f>
        <v>&lt;/actions&gt;</v>
      </c>
    </row>
    <row r="83" spans="1:20" x14ac:dyDescent="0.25">
      <c r="A83" s="313" t="s">
        <v>2314</v>
      </c>
      <c r="B83" s="317" t="str">
        <f>GENIUS!BU8</f>
        <v>&amp;=Master.OPPORTUNITY_GENIUS_SIC_ID</v>
      </c>
      <c r="C83" s="317">
        <v>4213</v>
      </c>
      <c r="D83" s="317" t="str">
        <f>GENIUS!BU9</f>
        <v/>
      </c>
      <c r="E83" s="313" t="s">
        <v>2312</v>
      </c>
      <c r="F83" s="317" t="str">
        <f>GENIUS!BY9</f>
        <v/>
      </c>
      <c r="G83" s="317" t="str">
        <f>GENIUS!BU10</f>
        <v>N</v>
      </c>
      <c r="H83" s="313" t="s">
        <v>2345</v>
      </c>
      <c r="I83" s="317" t="str">
        <f>GENIUS!BY18</f>
        <v/>
      </c>
      <c r="J83" s="313" t="s">
        <v>2346</v>
      </c>
      <c r="K83" s="320" t="str">
        <f>GENIUS!BU25</f>
        <v/>
      </c>
      <c r="L83" s="313" t="s">
        <v>2323</v>
      </c>
      <c r="M83" s="320" t="str">
        <f>GENIUS!BU26</f>
        <v/>
      </c>
      <c r="N83" s="313" t="s">
        <v>2312</v>
      </c>
      <c r="O83" s="320" t="str">
        <f>GENIUS!BY27</f>
        <v/>
      </c>
      <c r="P83" s="313" t="s">
        <v>2347</v>
      </c>
      <c r="Q83" s="313" t="str">
        <f t="shared" ref="Q83:Q84" si="5">+_xlfn.CONCAT(A83:P83)</f>
        <v>&lt;input value="&amp;=Master.OPPORTUNITY_GENIUS_SIC_ID4213[tab]N[enter][enter]y[down][down][down][down][backtab][tab][tab][tab][tab][tab]" row="0" col="0" movecursor="true" xlatehostkeys="true" encrypted="false" /&gt;</v>
      </c>
      <c r="R83" s="313" t="str">
        <v>&lt;nextscreens timeout="0" &gt;</v>
      </c>
      <c r="T83" s="313" t="str">
        <v>&lt;nextscreens timeout="0" &gt;</v>
      </c>
    </row>
    <row r="84" spans="1:20" x14ac:dyDescent="0.25">
      <c r="A84" s="313" t="s">
        <v>2314</v>
      </c>
      <c r="B84" s="320" t="str">
        <f>GENIUS!BU29</f>
        <v/>
      </c>
      <c r="C84" s="313" t="s">
        <v>2312</v>
      </c>
      <c r="D84" s="320" t="str">
        <f>GENIUS!BY29</f>
        <v/>
      </c>
      <c r="E84" s="313" t="s">
        <v>2312</v>
      </c>
      <c r="F84" s="317" t="str">
        <f>IF([2]GENIUS!BY31=""," ")</f>
        <v xml:space="preserve"> </v>
      </c>
      <c r="G84" s="313" t="s">
        <v>2348</v>
      </c>
      <c r="H84" s="317" t="str">
        <f>+GENIUS!BU63</f>
        <v>&amp;=Master.OPPORTUNITY_ATTACHMENTPOINT</v>
      </c>
      <c r="I84" s="313" t="s">
        <v>2349</v>
      </c>
      <c r="Q84" s="313" t="str">
        <f t="shared" si="5"/>
        <v>&lt;input value="[tab][tab] [enter][enter][enter][enter]&amp;=Master.OPPORTUNITY_ATTACHMENTPOINT[enter][enter][enter][enter][enter][enter]" row="0" col="0" movecursor="true" xlatehostkeys="true" encrypted="false" /&gt;</v>
      </c>
      <c r="R84" s="313" t="str">
        <v>&lt;/nextscreens&gt;</v>
      </c>
      <c r="T84" s="313" t="str">
        <v>&lt;/nextscreens&gt;</v>
      </c>
    </row>
    <row r="85" spans="1:20" x14ac:dyDescent="0.25">
      <c r="R85" s="313" t="str">
        <v>&lt;recolimit value="10000" /&gt;</v>
      </c>
      <c r="T85" s="313" t="str">
        <v>&lt;recolimit value="10000" /&gt;</v>
      </c>
    </row>
    <row r="86" spans="1:20" x14ac:dyDescent="0.25">
      <c r="R86" s="313" t="str">
        <v>&lt;/screen&gt;</v>
      </c>
      <c r="T86" s="313" t="str">
        <v>&lt;/screen&gt;</v>
      </c>
    </row>
    <row r="87" spans="1:20" x14ac:dyDescent="0.25">
      <c r="A87" s="313" t="s">
        <v>857</v>
      </c>
      <c r="R87" s="313" t="str">
        <v/>
      </c>
      <c r="T87" s="313" t="str">
        <v/>
      </c>
    </row>
    <row r="88" spans="1:20" x14ac:dyDescent="0.25">
      <c r="A88" s="313" t="s">
        <v>2350</v>
      </c>
      <c r="B88" s="317" t="str">
        <f>IF($D$44=1,$D$45,$D$46)</f>
        <v>[down]</v>
      </c>
      <c r="C88" s="313" t="s">
        <v>2351</v>
      </c>
      <c r="Q88" s="313" t="str">
        <f>+_xlfn.CONCAT(A88:P88)</f>
        <v>&lt;input value="2[enter][down][backtab]2[enter][down][backtab]2[enter][enter][pagedn]I061[enter]" row="8" col="02" movecursor="true" xlatehostkeys="true" encrypted="false" /&gt;</v>
      </c>
      <c r="R88" s="313" t="str">
        <v>&lt;/HAScript&gt;</v>
      </c>
      <c r="T88" s="313" t="str">
        <v>&lt;/HAScript&gt;</v>
      </c>
    </row>
    <row r="89" spans="1:20" x14ac:dyDescent="0.25">
      <c r="A89" s="313" t="s">
        <v>2378</v>
      </c>
      <c r="B89" s="321" t="str">
        <f>+GENIUS!BL46</f>
        <v>&amp;=Master.OPPORTUNITY_CYBER_LIMIT</v>
      </c>
      <c r="C89" s="313" t="s">
        <v>2312</v>
      </c>
      <c r="D89" s="317" t="str">
        <f>+GENIUS!BH47</f>
        <v/>
      </c>
      <c r="E89" s="313" t="s">
        <v>2323</v>
      </c>
      <c r="F89" s="317" t="str">
        <f>+GENIUS!BH48</f>
        <v/>
      </c>
      <c r="G89" s="313" t="s">
        <v>2379</v>
      </c>
      <c r="Q89" s="313" t="str">
        <f>+_xlfn.CONCAT(A89:P89)</f>
        <v>&lt;input value="N[down][down][backtab]19[enter][tab]&amp;=Master.OPPORTUNITY_CYBER_LIMIT[tab][tab][tab][enter][enter][enter][enter][enter][enter]" row="14" col="05" movecursor="true" xlatehostkeys="true" encrypted="false" /&gt;</v>
      </c>
    </row>
    <row r="90" spans="1:20" x14ac:dyDescent="0.25">
      <c r="R90" s="313" t="str" cm="1">
        <f t="array" ref="R90:R101">+R1:R12</f>
        <v>&lt;HAScript name="EMISION CHILE MARINE" description="" timeout="60000" pausetime="800" promptall="true" blockinput="false" author="" creationdate="" supressclearevents="false" usevars="false"</v>
      </c>
      <c r="T90" s="313" t="str" cm="1">
        <f t="array" ref="T90:T96">+R90:R96</f>
        <v>&lt;HAScript name="EMISION CHILE MARINE" description="" timeout="60000" pausetime="800" promptall="true" blockinput="false" author="" creationdate="" supressclearevents="false" usevars="false"</v>
      </c>
    </row>
    <row r="91" spans="1:20" x14ac:dyDescent="0.25">
      <c r="R91" s="313" t="str">
        <v>ignorepauseforenhancedtn="true" delayifnotenhancedtn="0" ignorepausetimeforenhancedtn="true" continueontimeout="false"&gt;</v>
      </c>
      <c r="T91" s="313" t="str">
        <v>ignorepauseforenhancedtn="true" delayifnotenhancedtn="0" ignorepausetimeforenhancedtn="true" continueontimeout="false"&gt;</v>
      </c>
    </row>
    <row r="92" spans="1:20" x14ac:dyDescent="0.25">
      <c r="A92" s="313" t="s">
        <v>222</v>
      </c>
      <c r="R92" s="313" t="str">
        <v>&lt;screen name="Screen1" entryscreen="false" exitscreen="true" transient="true"&gt;</v>
      </c>
      <c r="T92" s="313" t="str">
        <v>&lt;screen name="Screen1" entryscreen="false" exitscreen="true" transient="true"&gt;</v>
      </c>
    </row>
    <row r="93" spans="1:20" x14ac:dyDescent="0.25">
      <c r="A93" s="313" t="s">
        <v>2350</v>
      </c>
      <c r="B93" s="317" t="str">
        <f>IF($D$44=1,$D$45,$D$46)</f>
        <v>[down]</v>
      </c>
      <c r="C93" s="313" t="s">
        <v>2352</v>
      </c>
      <c r="Q93" s="313" t="str">
        <f>+_xlfn.CONCAT(A93:P93)</f>
        <v>&lt;input value="2[enter][down][backtab]2[enter][down][left][left][left]2[enter][enter][pagedn]" row="8" col="02" movecursor="true" xlatehostkeys="true" encrypted="false" /&gt;</v>
      </c>
      <c r="R93" s="313" t="str">
        <v>&lt;description &gt;</v>
      </c>
      <c r="T93" s="313" t="str">
        <v>&lt;description &gt;</v>
      </c>
    </row>
    <row r="94" spans="1:20" x14ac:dyDescent="0.25">
      <c r="A94" s="313" t="s">
        <v>2394</v>
      </c>
      <c r="B94" s="317" t="s">
        <v>2395</v>
      </c>
      <c r="C94" s="320" t="str">
        <f>GENIUS!BH36</f>
        <v>&amp;=Master.OPPORTUNITY_TECH_PREMIUM</v>
      </c>
      <c r="D94" s="313" t="s">
        <v>2323</v>
      </c>
      <c r="E94" s="320" t="str">
        <f>GENIUS!BH37</f>
        <v>&amp;=Master.OPPORTUNITY_MODIFIED_PREMIUM</v>
      </c>
      <c r="F94" s="313" t="s">
        <v>2353</v>
      </c>
      <c r="G94" s="317" t="e">
        <f>GENIUS!BH39</f>
        <v>#VALUE!</v>
      </c>
      <c r="H94" s="313" t="s">
        <v>2323</v>
      </c>
      <c r="I94" s="321" t="str">
        <f>GENIUS!BH41</f>
        <v/>
      </c>
      <c r="J94" s="313" t="s">
        <v>2312</v>
      </c>
      <c r="K94" s="321" t="str">
        <f>GENIUS!BL39</f>
        <v>&amp;=Master.OPPORTUNITY_CURRENCYISOCODE</v>
      </c>
      <c r="L94" s="313" t="s">
        <v>2354</v>
      </c>
      <c r="Q94" s="313" t="e">
        <f>+_xlfn.CONCAT(A94:P94)</f>
        <v>#VALUE!</v>
      </c>
      <c r="R94" s="313" t="str">
        <v>&lt;oia status="NOTINHIBITED" optional="false" invertmatch="false" /&gt;</v>
      </c>
      <c r="T94" s="313" t="str">
        <v>&lt;oia status="NOTINHIBITED" optional="false" invertmatch="false" /&gt;</v>
      </c>
    </row>
    <row r="95" spans="1:20" x14ac:dyDescent="0.25">
      <c r="A95" s="313" t="s">
        <v>2355</v>
      </c>
      <c r="Q95" s="313" t="str">
        <f>+_xlfn.CONCAT(A95:P95)</f>
        <v>&lt;input value="[enter][enter][enter][enter]" row="0" col="0" movecursor="true" xlatehostkeys="true" encrypted="false" /&gt;</v>
      </c>
      <c r="R95" s="313" t="str">
        <v>&lt;/description&gt;</v>
      </c>
      <c r="T95" s="313" t="str">
        <v>&lt;/description&gt;</v>
      </c>
    </row>
    <row r="96" spans="1:20" x14ac:dyDescent="0.25">
      <c r="R96" s="313" t="str">
        <v>&lt;actions&gt;</v>
      </c>
      <c r="T96" s="313" t="str">
        <v>&lt;actions&gt;</v>
      </c>
    </row>
    <row r="97" spans="1:20" x14ac:dyDescent="0.25">
      <c r="R97" s="313" t="str">
        <v/>
      </c>
    </row>
    <row r="98" spans="1:20" x14ac:dyDescent="0.25">
      <c r="A98" s="313" t="s">
        <v>1653</v>
      </c>
      <c r="R98" s="313" t="str">
        <v>&lt;input value="101[enter][tab][tab]041323[tab]CAS[enter][enter]" row="5" col="20" movecursor="true" xlatehostkeys="true" encrypted="false" /&gt;</v>
      </c>
      <c r="T98" s="313" t="str" cm="1">
        <f t="array" ref="T98:T102">+_xlfn.ANCHORARRAY(T67)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99" spans="1:20" x14ac:dyDescent="0.25">
      <c r="A99" s="313" t="s">
        <v>2350</v>
      </c>
      <c r="B99" s="317" t="str">
        <f>IF($D$44=1,$D$45,$D$46)</f>
        <v>[down]</v>
      </c>
      <c r="C99" s="313" t="s">
        <v>2388</v>
      </c>
      <c r="Q99" s="313" t="str">
        <f>+_xlfn.CONCAT(A99:P99)</f>
        <v>&lt;input value="2[enter][down][backtab]2[enter][down][backtab]2[enter][enter][pagedn][pagedn]L011[enter][enter]y[pf12][pf12]" row="8" col="02" movecursor="true" xlatehostkeys="true" encrypted="false" /&gt;</v>
      </c>
      <c r="R99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99" s="313" t="str">
        <v>&lt;input value="[field+][field+][tab][tab][field+][field+][field+][field+][field+][tab][tab][tab]" row="0" col="0" movecursor="true" xlatehostkeys="true" encrypted="false" /&gt;</v>
      </c>
    </row>
    <row r="100" spans="1:20" x14ac:dyDescent="0.25">
      <c r="R100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00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01" spans="1:20" x14ac:dyDescent="0.25">
      <c r="R101" s="313" t="str">
        <v xml:space="preserve">&lt;input value="ANN01[tab][tab][tab][tab]&amp;=Master.OPPORTUNITY_CURRENCYISOCODEusd[enter]y" row="0" col="0" movecursor="true" xlatehostkeys="true" encrypted="false" /&gt; </v>
      </c>
      <c r="T101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102" spans="1:20" x14ac:dyDescent="0.25">
      <c r="A102" s="313" t="s">
        <v>1654</v>
      </c>
      <c r="R102" s="313" t="s">
        <v>2356</v>
      </c>
      <c r="T102" s="313" t="str">
        <v>&lt;input value="4[backtab][down]4[enter]" row="0" col="0" movecursor="true" xlatehostkeys="true" encrypted="false" /&gt;</v>
      </c>
    </row>
    <row r="103" spans="1:20" x14ac:dyDescent="0.25">
      <c r="A103" s="313" t="s">
        <v>2350</v>
      </c>
      <c r="B103" s="317" t="str">
        <f>IF($D$44=1,$D$45,$D$46)</f>
        <v>[down]</v>
      </c>
      <c r="C103" s="313" t="s">
        <v>2389</v>
      </c>
      <c r="Q103" s="313" t="str">
        <f>+_xlfn.CONCAT(A103:P103)</f>
        <v>&lt;input value="2[enter][down][backtab]2[enter][down][backtab]2[enter][enter][pagedn][pagedn]L021[enter][enter]y[pf12][pf12]" row="8" col="02" movecursor="true" xlatehostkeys="true" encrypted="false" /&gt;</v>
      </c>
      <c r="R103" s="313" t="str">
        <f>_xlfn.CONCAT($A$51,$B$13,$B$50,$D$13,$C$50,C28,$D$50,A32,$E$50)</f>
        <v>&lt;input value="[tab]&amp;=Master.OPPORTUNITY_EFFECTIVEDATESFROM[tab]&amp;=Master.OPPORTUNITY_EFFECTIVEDATESENDFINAL[tab][tab]051323[tab]25[tab]" row="0" col="0" movecursor="true" xlatehostkeys="true" encrypted="false" /&gt;</v>
      </c>
      <c r="T103" s="313" t="str" cm="1">
        <f t="array" ref="T103:T106">+R103:R106</f>
        <v>&lt;input value="[tab]&amp;=Master.OPPORTUNITY_EFFECTIVEDATESFROM[tab]&amp;=Master.OPPORTUNITY_EFFECTIVEDATESENDFINAL[tab][tab]051323[tab]25[tab]" row="0" col="0" movecursor="true" xlatehostkeys="true" encrypted="false" /&gt;</v>
      </c>
    </row>
    <row r="104" spans="1:20" x14ac:dyDescent="0.25">
      <c r="R104" s="313" t="str">
        <f>_xlfn.CONCAT($A$51,$B$13,$B$50,$D$13,$C$50,C29,$D$50,A32,$E$50)</f>
        <v>&lt;input value="[tab]&amp;=Master.OPPORTUNITY_EFFECTIVEDATESFROM[tab]&amp;=Master.OPPORTUNITY_EFFECTIVEDATESENDFINAL[tab][tab][tab]25[tab]" row="0" col="0" movecursor="true" xlatehostkeys="true" encrypted="false" /&gt;</v>
      </c>
      <c r="T104" s="313" t="str">
        <v>&lt;input value="[tab]&amp;=Master.OPPORTUNITY_EFFECTIVEDATESFROM[tab]&amp;=Master.OPPORTUNITY_EFFECTIVEDATESENDFINAL[tab][tab][tab]25[tab]" row="0" col="0" movecursor="true" xlatehostkeys="true" encrypted="false" /&gt;</v>
      </c>
    </row>
    <row r="105" spans="1:20" x14ac:dyDescent="0.25">
      <c r="R105" s="313" t="str">
        <f>_xlfn.CONCAT($A$51,$B$13,$B$50,$D$13,$C$50,C30,$D$50,A32,$E$50)</f>
        <v>&lt;input value="[tab]&amp;=Master.OPPORTUNITY_EFFECTIVEDATESFROM[tab]&amp;=Master.OPPORTUNITY_EFFECTIVEDATESENDFINAL[tab][tab][tab]25[tab]" row="0" col="0" movecursor="true" xlatehostkeys="true" encrypted="false" /&gt;</v>
      </c>
      <c r="T105" s="313" t="str">
        <v>&lt;input value="[tab]&amp;=Master.OPPORTUNITY_EFFECTIVEDATESFROM[tab]&amp;=Master.OPPORTUNITY_EFFECTIVEDATESENDFINAL[tab][tab][tab]25[tab]" row="0" col="0" movecursor="true" xlatehostkeys="true" encrypted="false" /&gt;</v>
      </c>
    </row>
    <row r="106" spans="1:20" x14ac:dyDescent="0.25">
      <c r="A106" s="313" t="s">
        <v>1656</v>
      </c>
      <c r="R106" s="313" t="str">
        <f>+_xlfn.CONCAT($A$52,B13,$B$51,D13,$C$51,C31,$B$51,A32,$D$51)</f>
        <v>&lt;input value="[tab]&amp;=Master.OPPORTUNITY_EFFECTIVEDATESFROM[tab]&amp;=Master.OPPORTUNITY_EFFECTIVEDATESENDFINAL[tab][tab][tab]25[enter][enter][enter][enter]" row="0" col="0" movecursor="true" xlatehostkeys="true" encrypted="false" /&gt;</v>
      </c>
      <c r="T106" s="313" t="str">
        <v>&lt;input value="[tab]&amp;=Master.OPPORTUNITY_EFFECTIVEDATESFROM[tab]&amp;=Master.OPPORTUNITY_EFFECTIVEDATESENDFINAL[tab][tab][tab]25[enter][enter][enter][enter]" row="0" col="0" movecursor="true" xlatehostkeys="true" encrypted="false" /&gt;</v>
      </c>
    </row>
    <row r="107" spans="1:20" x14ac:dyDescent="0.25">
      <c r="A107" s="313" t="s">
        <v>2350</v>
      </c>
      <c r="B107" s="317" t="str">
        <f>IF($D$44=1,$D$45,$D$46)</f>
        <v>[down]</v>
      </c>
      <c r="C107" s="313" t="s">
        <v>2390</v>
      </c>
      <c r="Q107" s="313" t="str">
        <f>+_xlfn.CONCAT(A107:P107)</f>
        <v>&lt;input value="2[enter][down][backtab]2[enter][down][backtab]2[enter][enter][pagedn][pagedn]L031[enter][enter]y[pf12][pf12]" row="8" col="02" movecursor="true" xlatehostkeys="true" encrypted="false" /&gt;</v>
      </c>
      <c r="R107" s="313" t="str" cm="1">
        <f t="array" ref="R107:R120">+R14:R27</f>
        <v>&lt;input value="[enter]y[down][left][left][left][left]2[enter][pf6]" row="0" col="0" movecursor="true" xlatehostkeys="true" encrypted="false" /&gt;</v>
      </c>
      <c r="T107" s="313" t="str" cm="1">
        <f t="array" ref="T107:T112">+_xlfn.ANCHORARRAY(T75)</f>
        <v>&lt;input value="[enter][down][backtab]4[enter][enter][down][backtab]2[enter][pf6][down][down][down][backtab]" row="0" col="0" movecursor="true" xlatehostkeys="true" encrypted="false" /&gt;</v>
      </c>
    </row>
    <row r="108" spans="1:20" x14ac:dyDescent="0.25">
      <c r="R108" s="313" t="str">
        <v>&lt;input value="&amp;=Master.OPPORTUNITY_GENIUS_SIC_ID[tab][tab][tab][tab][tab][enter][enter]" row="8" col="19" movecursor="true" xlatehostkeys="true" encrypted="false" /&gt;</v>
      </c>
      <c r="T108" s="313" t="str">
        <v>&lt;input value="&amp;=Master.OPPORTUNITY_GENIUS_SIC_ID[tab]0[tab][tab][tab][tab][enter][enter][down][down][down][down][backtab]" row="8" col="19" movecursor="true" xlatehostkeys="true" encrypted="false" /&gt;</v>
      </c>
    </row>
    <row r="109" spans="1:20" x14ac:dyDescent="0.25">
      <c r="R109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09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10" spans="1:20" x14ac:dyDescent="0.25">
      <c r="A110" s="313" t="s">
        <v>1657</v>
      </c>
      <c r="R110" s="313" t="str">
        <v>&lt;input value="[enter][enter][enter][enter][enter][enter][enter][enter]" row="12" col="02" movecursor="true" xlatehostkeys="true" encrypted="false" /&gt;</v>
      </c>
      <c r="T110" s="313" t="str">
        <v>&lt;input value="[enter][enter][enter][enter][enter][enter][enter][enter]" row="12" col="02" movecursor="true" xlatehostkeys="true" encrypted="false" /&gt;</v>
      </c>
    </row>
    <row r="111" spans="1:20" x14ac:dyDescent="0.25">
      <c r="A111" s="313" t="s">
        <v>2350</v>
      </c>
      <c r="B111" s="317" t="str">
        <f>IF($D$44=1,$D$45,$D$46)</f>
        <v>[down]</v>
      </c>
      <c r="C111" s="313" t="s">
        <v>2391</v>
      </c>
      <c r="Q111" s="313" t="str">
        <f>+_xlfn.CONCAT(A111:P111)</f>
        <v>&lt;input value="2[enter][down][backtab]2[enter][down][backtab]2[enter][enter][pagedn][pagedn]L033[enter][enter]y[pf12][pf12]" row="8" col="02" movecursor="true" xlatehostkeys="true" encrypted="false" /&gt;</v>
      </c>
      <c r="R111" s="313" t="str">
        <v>&lt;input value="[tab][tab][tab][tab][tab]2[enter]2[enter][tab]4[tab][tab][tab][tab]4[tab][tab][tab][tab]4" row="12" col="02" movecursor="true" xlatehostkeys="true" encrypted="false" /&gt;</v>
      </c>
      <c r="T111" s="313" t="str">
        <v/>
      </c>
    </row>
    <row r="112" spans="1:20" x14ac:dyDescent="0.25">
      <c r="R112" s="313" t="str">
        <v>&lt;input value="[enter][enter][enter][enter][enter][enter][enter]" row="12" col="02" movecursor="true" xlatehostkeys="true" encrypted="false" /&gt;</v>
      </c>
      <c r="T112" s="313" t="str">
        <v/>
      </c>
    </row>
    <row r="113" spans="1:20" x14ac:dyDescent="0.25">
      <c r="R113" s="313" t="str">
        <v/>
      </c>
    </row>
    <row r="114" spans="1:20" x14ac:dyDescent="0.25">
      <c r="A114" s="313" t="s">
        <v>1658</v>
      </c>
      <c r="R114" s="313" t="str">
        <v>&lt;/actions&gt;</v>
      </c>
      <c r="T114" s="313" t="str" cm="1">
        <f t="array" ref="T114:T120">+R114:R120</f>
        <v>&lt;/actions&gt;</v>
      </c>
    </row>
    <row r="115" spans="1:20" x14ac:dyDescent="0.25">
      <c r="A115" s="313" t="s">
        <v>2350</v>
      </c>
      <c r="B115" s="317" t="str">
        <f>IF($D$44=1,$D$45,$D$46)</f>
        <v>[down]</v>
      </c>
      <c r="C115" s="313" t="s">
        <v>2392</v>
      </c>
      <c r="Q115" s="313" t="str">
        <f>+_xlfn.CONCAT(A115:P115)</f>
        <v>&lt;input value="2[enter][down][backtab]2[enter][down][backtab]2[enter][enter][pagedn][pagedn]L034[enter][enter]y[pf12][pf12]" row="8" col="02" movecursor="true" xlatehostkeys="true" encrypted="false" /&gt;</v>
      </c>
      <c r="R115" s="313" t="str">
        <v>&lt;nextscreens timeout="0" &gt;</v>
      </c>
      <c r="T115" s="313" t="str">
        <v>&lt;nextscreens timeout="0" &gt;</v>
      </c>
    </row>
    <row r="116" spans="1:20" x14ac:dyDescent="0.25">
      <c r="R116" s="313" t="str">
        <v>&lt;/nextscreens&gt;</v>
      </c>
      <c r="T116" s="313" t="str">
        <v>&lt;/nextscreens&gt;</v>
      </c>
    </row>
    <row r="117" spans="1:20" x14ac:dyDescent="0.25">
      <c r="R117" s="313" t="str">
        <v>&lt;recolimit value="10000" /&gt;</v>
      </c>
      <c r="T117" s="313" t="str">
        <v>&lt;recolimit value="10000" /&gt;</v>
      </c>
    </row>
    <row r="118" spans="1:20" x14ac:dyDescent="0.25">
      <c r="A118" s="313" t="s">
        <v>1655</v>
      </c>
      <c r="R118" s="313" t="str">
        <v>&lt;/screen&gt;</v>
      </c>
      <c r="T118" s="313" t="str">
        <v>&lt;/screen&gt;</v>
      </c>
    </row>
    <row r="119" spans="1:20" x14ac:dyDescent="0.25">
      <c r="A119" s="313" t="s">
        <v>2350</v>
      </c>
      <c r="B119" s="317" t="str">
        <f>IF($D$44=1,$D$45,$D$46)</f>
        <v>[down]</v>
      </c>
      <c r="C119" s="313" t="s">
        <v>2393</v>
      </c>
      <c r="Q119" s="313" t="str">
        <f>+_xlfn.CONCAT(A119:P119)</f>
        <v>&lt;input value="2[enter][down][backtab]2[enter][down][backtab]2[enter][enter][pagedn][pagedn]L037[enter][enter]y[pf12][pf12]" row="8" col="02" movecursor="true" xlatehostkeys="true" encrypted="false" /&gt;</v>
      </c>
      <c r="R119" s="313" t="str">
        <v/>
      </c>
      <c r="T119" s="313" t="str">
        <v/>
      </c>
    </row>
    <row r="120" spans="1:20" x14ac:dyDescent="0.25">
      <c r="R120" s="313" t="str">
        <v>&lt;/HAScript&gt;</v>
      </c>
      <c r="T120" s="313" t="str">
        <v>&lt;/HAScript&gt;</v>
      </c>
    </row>
    <row r="122" spans="1:20" x14ac:dyDescent="0.25">
      <c r="A122" s="313" t="s">
        <v>183</v>
      </c>
      <c r="R122" s="313" t="str" cm="1">
        <f t="array" ref="R122:R133">+R1:R12</f>
        <v>&lt;HAScript name="EMISION CHILE MARINE" description="" timeout="60000" pausetime="800" promptall="true" blockinput="false" author="" creationdate="" supressclearevents="false" usevars="false"</v>
      </c>
      <c r="T122" s="313" t="str" cm="1">
        <f t="array" ref="T122:T128">+R122:R128</f>
        <v>&lt;HAScript name="EMISION CHILE MARINE" description="" timeout="60000" pausetime="800" promptall="true" blockinput="false" author="" creationdate="" supressclearevents="false" usevars="false"</v>
      </c>
    </row>
    <row r="123" spans="1:20" x14ac:dyDescent="0.25">
      <c r="A123" s="313" t="s">
        <v>2350</v>
      </c>
      <c r="B123" s="317" t="str">
        <f>IF($D$44=1,$D$45,$D$46)</f>
        <v>[down]</v>
      </c>
      <c r="C123" s="313" t="s">
        <v>2387</v>
      </c>
      <c r="Q123" s="313" t="str">
        <f>+_xlfn.CONCAT(A123:P123)</f>
        <v>&lt;input value="2[enter][down][backtab]2[enter][down][backtab]2[enter][enter][pagedn][pagedn]L043[enter][enter]y[pf12][pf12]" row="8" col="02" movecursor="true" xlatehostkeys="true" encrypted="false" /&gt;</v>
      </c>
      <c r="R123" s="313" t="str">
        <v>ignorepauseforenhancedtn="true" delayifnotenhancedtn="0" ignorepausetimeforenhancedtn="true" continueontimeout="false"&gt;</v>
      </c>
      <c r="T123" s="313" t="str">
        <v>ignorepauseforenhancedtn="true" delayifnotenhancedtn="0" ignorepausetimeforenhancedtn="true" continueontimeout="false"&gt;</v>
      </c>
    </row>
    <row r="124" spans="1:20" x14ac:dyDescent="0.25">
      <c r="R124" s="313" t="str">
        <v>&lt;screen name="Screen1" entryscreen="false" exitscreen="true" transient="true"&gt;</v>
      </c>
      <c r="T124" s="313" t="str">
        <v>&lt;screen name="Screen1" entryscreen="false" exitscreen="true" transient="true"&gt;</v>
      </c>
    </row>
    <row r="125" spans="1:20" x14ac:dyDescent="0.25">
      <c r="R125" s="313" t="str">
        <v>&lt;description &gt;</v>
      </c>
      <c r="T125" s="313" t="str">
        <v>&lt;description &gt;</v>
      </c>
    </row>
    <row r="126" spans="1:20" x14ac:dyDescent="0.25">
      <c r="A126" s="313" t="s">
        <v>603</v>
      </c>
      <c r="R126" s="313" t="str">
        <v>&lt;oia status="NOTINHIBITED" optional="false" invertmatch="false" /&gt;</v>
      </c>
      <c r="T126" s="313" t="str">
        <v>&lt;oia status="NOTINHIBITED" optional="false" invertmatch="false" /&gt;</v>
      </c>
    </row>
    <row r="127" spans="1:20" x14ac:dyDescent="0.25">
      <c r="A127" s="313" t="s">
        <v>2350</v>
      </c>
      <c r="B127" s="317" t="str">
        <f>IF($D$44=1,$D$45,$D$46)</f>
        <v>[down]</v>
      </c>
      <c r="C127" s="313" t="s">
        <v>2357</v>
      </c>
      <c r="Q127" s="313" t="str">
        <f>+_xlfn.CONCAT(A127:P127)</f>
        <v>&lt;input value="2[enter][down][backtab]2[enter][down][backtab]2[enter][enter][pagedn][pagedn]L046[enter]N2[enter]" row="8" col="02" movecursor="true" xlatehostkeys="true" encrypted="false" /&gt;</v>
      </c>
      <c r="R127" s="313" t="str">
        <v>&lt;/description&gt;</v>
      </c>
      <c r="T127" s="313" t="str">
        <v>&lt;/description&gt;</v>
      </c>
    </row>
    <row r="128" spans="1:20" x14ac:dyDescent="0.25">
      <c r="A128" s="313" t="s">
        <v>2358</v>
      </c>
      <c r="B128" s="317" t="str">
        <f>GENIUS!BU58</f>
        <v/>
      </c>
      <c r="C128" s="313" t="s">
        <v>2359</v>
      </c>
      <c r="Q128" s="313" t="str">
        <f>+_xlfn.CONCAT(A128:P128)</f>
        <v>&lt;input value="[tab][tab][tab][tab][tab][tab][enter][enter][enter]y[pf12][pf12]" row="8" col="02" movecursor="true" xlatehostkeys="true" encrypted="false" /&gt;</v>
      </c>
      <c r="R128" s="313" t="str">
        <v>&lt;actions&gt;</v>
      </c>
      <c r="T128" s="313" t="str">
        <v>&lt;actions&gt;</v>
      </c>
    </row>
    <row r="129" spans="1:20" x14ac:dyDescent="0.25">
      <c r="R129" s="313" t="str">
        <v/>
      </c>
    </row>
    <row r="130" spans="1:20" x14ac:dyDescent="0.25">
      <c r="R130" s="313" t="str">
        <v>&lt;input value="101[enter][tab][tab]041323[tab]CAS[enter][enter]" row="5" col="20" movecursor="true" xlatehostkeys="true" encrypted="false" /&gt;</v>
      </c>
      <c r="T130" s="313" t="str" cm="1">
        <f t="array" ref="T130:T134">+_xlfn.ANCHORARRAY(T98)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31" spans="1:20" x14ac:dyDescent="0.25">
      <c r="R131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31" s="313" t="str">
        <v>&lt;input value="[field+][field+][tab][tab][field+][field+][field+][field+][field+][tab][tab][tab]" row="0" col="0" movecursor="true" xlatehostkeys="true" encrypted="false" /&gt;</v>
      </c>
    </row>
    <row r="132" spans="1:20" x14ac:dyDescent="0.25">
      <c r="R132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32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33" spans="1:20" x14ac:dyDescent="0.25">
      <c r="R133" s="313" t="str">
        <v xml:space="preserve">&lt;input value="ANN01[tab][tab][tab][tab]&amp;=Master.OPPORTUNITY_CURRENCYISOCODEusd[enter]y" row="0" col="0" movecursor="true" xlatehostkeys="true" encrypted="false" /&gt; </v>
      </c>
      <c r="T133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134" spans="1:20" x14ac:dyDescent="0.25">
      <c r="A134" s="313" t="s">
        <v>2369</v>
      </c>
      <c r="B134" s="317" t="str">
        <f>+'SF DATA'!C7</f>
        <v>&amp;=Master.OPPORTUNITY_GENIUS_EXPIRING_POLICY</v>
      </c>
      <c r="C134" s="313" t="s">
        <v>2370</v>
      </c>
      <c r="R134" s="313" t="s">
        <v>2360</v>
      </c>
      <c r="T134" s="313" t="str">
        <v>&lt;input value="4[backtab][down]4[enter]" row="0" col="0" movecursor="true" xlatehostkeys="true" encrypted="false" /&gt;</v>
      </c>
    </row>
    <row r="135" spans="1:20" x14ac:dyDescent="0.25">
      <c r="A135" s="313" t="s">
        <v>2371</v>
      </c>
      <c r="R135" s="313" t="str">
        <f>_xlfn.CONCAT($A$51,$B$13,$B$50,$D$13,$C$50,C28,$D$50,A33,$E$50)</f>
        <v>&lt;input value="[tab]&amp;=Master.OPPORTUNITY_EFFECTIVEDATESFROM[tab]&amp;=Master.OPPORTUNITY_EFFECTIVEDATESENDFINAL[tab][tab]051323[tab]20[tab]" row="0" col="0" movecursor="true" xlatehostkeys="true" encrypted="false" /&gt;</v>
      </c>
      <c r="T135" s="313" t="str" cm="1">
        <f t="array" ref="T135:T139">+R135:R139</f>
        <v>&lt;input value="[tab]&amp;=Master.OPPORTUNITY_EFFECTIVEDATESFROM[tab]&amp;=Master.OPPORTUNITY_EFFECTIVEDATESENDFINAL[tab][tab]051323[tab]20[tab]" row="0" col="0" movecursor="true" xlatehostkeys="true" encrypted="false" /&gt;</v>
      </c>
    </row>
    <row r="136" spans="1:20" x14ac:dyDescent="0.25">
      <c r="A136" s="313" t="s">
        <v>2314</v>
      </c>
      <c r="B136" s="317">
        <f>+D9</f>
        <v>0</v>
      </c>
      <c r="C136" s="313" t="s">
        <v>2312</v>
      </c>
      <c r="D136" s="317" t="str">
        <f>+'SF DATA'!C6</f>
        <v>&amp;=Master.OPPORTUNITY_OPP_POLICY_NUMBER</v>
      </c>
      <c r="E136" s="313" t="s">
        <v>2312</v>
      </c>
      <c r="F136" s="317" t="str">
        <f>+D10</f>
        <v>&amp;=Master.OPPORTUNITY_COMPANYCODE</v>
      </c>
      <c r="G136" s="313" t="str">
        <f>+E10</f>
        <v>[tab]</v>
      </c>
      <c r="H136" s="317" t="str">
        <f>+F10</f>
        <v>&amp;=Master.OPPORTUNITY_BRANCHCODE[tab]</v>
      </c>
      <c r="I136" s="317" t="str">
        <f>+G10</f>
        <v>&amp;=Master.ACCOUNT_GENIUSID</v>
      </c>
      <c r="J136" s="313" t="s">
        <v>2312</v>
      </c>
      <c r="K136" s="317" t="str">
        <f>+I10</f>
        <v>&amp;=Brokers.BROKER_GENIUSID</v>
      </c>
      <c r="L136" s="313" t="s">
        <v>2312</v>
      </c>
      <c r="M136" s="317" t="str">
        <f>+UNDERWRITER</f>
        <v>&amp;=Master.OPPORTUNITY_CEDENT_GENIUS_ID[tab]</v>
      </c>
      <c r="N136" s="317" t="str">
        <f>+C11</f>
        <v>&amp;=Underwriter.OPPORTUNITYUNDERWRITER_GENIUSID</v>
      </c>
      <c r="O136" s="313" t="s">
        <v>2372</v>
      </c>
      <c r="R136" s="313" t="str">
        <f>_xlfn.CONCAT($A$51,$B$13,$B$50,$D$13,$C$50,C29,$D$50,A33,$E$50)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6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7" spans="1:20" x14ac:dyDescent="0.25">
      <c r="A137" s="313" t="s">
        <v>2373</v>
      </c>
      <c r="B137" s="316" t="str">
        <f>E11</f>
        <v>&amp;=Master.OPPORTUNITY_EFFECTIVEDATESFROM</v>
      </c>
      <c r="C137" s="313" t="s">
        <v>2312</v>
      </c>
      <c r="D137" s="316" t="str">
        <f>+G11</f>
        <v>&amp;=Master.OPPORTUNITY_EFFECTIVEDATESENDFINAL</v>
      </c>
      <c r="E137" s="313" t="s">
        <v>2323</v>
      </c>
      <c r="F137" s="317">
        <f>+I11</f>
        <v>0</v>
      </c>
      <c r="G137" s="313" t="s">
        <v>2434</v>
      </c>
      <c r="H137" s="317" t="str">
        <f>+CUOTA</f>
        <v>01</v>
      </c>
      <c r="I137" s="313" t="s">
        <v>2374</v>
      </c>
      <c r="R137" s="313" t="str">
        <f>_xlfn.CONCAT($A$51,$B$13,$B$50,$D$13,$C$50,C30,$D$50,A33,$E$50)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7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8" spans="1:20" x14ac:dyDescent="0.25">
      <c r="A138" s="313" t="s">
        <v>2322</v>
      </c>
      <c r="B138" s="316" t="str">
        <f>+B13</f>
        <v>&amp;=Master.OPPORTUNITY_EFFECTIVEDATESFROM</v>
      </c>
      <c r="C138" s="313" t="s">
        <v>2312</v>
      </c>
      <c r="D138" s="316" t="str">
        <f>+D13</f>
        <v>&amp;=Master.OPPORTUNITY_EFFECTIVEDATESENDFINAL</v>
      </c>
      <c r="E138" s="313" t="s">
        <v>2323</v>
      </c>
      <c r="F138" s="316" t="str">
        <f>+F13</f>
        <v>051323</v>
      </c>
      <c r="G138" s="313" t="s">
        <v>2312</v>
      </c>
      <c r="H138" s="313" t="s">
        <v>2376</v>
      </c>
      <c r="R138" s="313" t="str">
        <f>_xlfn.CONCAT($A$51,$B$13,$B$50,$D$13,$C$50,C31,$D$50,A33,$E$50)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8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9" spans="1:20" x14ac:dyDescent="0.25">
      <c r="A139" s="313" t="s">
        <v>2432</v>
      </c>
      <c r="C139" s="313" t="s">
        <v>2433</v>
      </c>
      <c r="R139" s="313" t="str">
        <f>+_xlfn.CONCAT($A$52,B13,$B$51,D13,$C$51,C32,$B$51,A33,$D$51)</f>
        <v>&lt;input value="[tab]&amp;=Master.OPPORTUNITY_EFFECTIVEDATESFROM[tab]&amp;=Master.OPPORTUNITY_EFFECTIVEDATESENDFINAL[tab][tab][tab]20[enter][enter][enter][enter]" row="0" col="0" movecursor="true" xlatehostkeys="true" encrypted="false" /&gt;</v>
      </c>
      <c r="T139" s="313" t="str">
        <v>&lt;input value="[tab]&amp;=Master.OPPORTUNITY_EFFECTIVEDATESFROM[tab]&amp;=Master.OPPORTUNITY_EFFECTIVEDATESENDFINAL[tab][tab][tab]20[enter][enter][enter][enter]" row="0" col="0" movecursor="true" xlatehostkeys="true" encrypted="false" /&gt;</v>
      </c>
    </row>
    <row r="140" spans="1:20" x14ac:dyDescent="0.25">
      <c r="A140" s="313" t="s">
        <v>2375</v>
      </c>
      <c r="R140" s="313" t="str" cm="1">
        <f t="array" ref="R140:R153">+R14:R27</f>
        <v>&lt;input value="[enter]y[down][left][left][left][left]2[enter][pf6]" row="0" col="0" movecursor="true" xlatehostkeys="true" encrypted="false" /&gt;</v>
      </c>
      <c r="T140" s="313" t="str" cm="1">
        <f t="array" ref="T140:T145">+_xlfn.ANCHORARRAY(T107)</f>
        <v>&lt;input value="[enter][down][backtab]4[enter][enter][down][backtab]2[enter][pf6][down][down][down][backtab]" row="0" col="0" movecursor="true" xlatehostkeys="true" encrypted="false" /&gt;</v>
      </c>
    </row>
    <row r="141" spans="1:20" x14ac:dyDescent="0.25">
      <c r="A141" s="313" t="s">
        <v>2314</v>
      </c>
      <c r="B141" s="317" t="str">
        <f>+B15</f>
        <v>&amp;=Master.OPPORTUNITY_GENIUS_SIC_ID</v>
      </c>
      <c r="C141" s="313" t="s">
        <v>2312</v>
      </c>
      <c r="D141" s="317">
        <f>+D15</f>
        <v>0</v>
      </c>
      <c r="E141" s="313" t="s">
        <v>2312</v>
      </c>
      <c r="F141" s="317" t="str">
        <f>_xlfn.CONCAT(F15:G15)</f>
        <v/>
      </c>
      <c r="G141" s="313" t="str">
        <f>+H15</f>
        <v>[tab][tab]</v>
      </c>
      <c r="H141" s="313" t="str">
        <f>+_xlfn.CONCAT(I15:K15)</f>
        <v>[tab]</v>
      </c>
      <c r="I141" s="313" t="s">
        <v>2386</v>
      </c>
      <c r="R141" s="313" t="str">
        <v>&lt;input value="&amp;=Master.OPPORTUNITY_GENIUS_SIC_ID[tab][tab][tab][tab][tab][enter][enter]" row="8" col="19" movecursor="true" xlatehostkeys="true" encrypted="false" /&gt;</v>
      </c>
      <c r="T141" s="313" t="str">
        <v>&lt;input value="&amp;=Master.OPPORTUNITY_GENIUS_SIC_ID[tab]0[tab][tab][tab][tab][enter][enter][down][down][down][down][backtab]" row="8" col="19" movecursor="true" xlatehostkeys="true" encrypted="false" /&gt;</v>
      </c>
    </row>
    <row r="142" spans="1:20" x14ac:dyDescent="0.25">
      <c r="A142" s="313" t="str">
        <f>+R16</f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B142" s="324"/>
      <c r="F142" s="324"/>
      <c r="H142" s="324"/>
      <c r="J142" s="324"/>
      <c r="R142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42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43" spans="1:20" x14ac:dyDescent="0.25">
      <c r="A143" s="313" t="s">
        <v>2397</v>
      </c>
      <c r="R143" s="313" t="str">
        <v>&lt;input value="[enter][enter][enter][enter][enter][enter][enter][enter]" row="12" col="02" movecursor="true" xlatehostkeys="true" encrypted="false" /&gt;</v>
      </c>
      <c r="T143" s="313" t="str">
        <v>&lt;input value="[enter][enter][enter][enter][enter][enter][enter][enter]" row="12" col="02" movecursor="true" xlatehostkeys="true" encrypted="false" /&gt;</v>
      </c>
    </row>
    <row r="144" spans="1:20" x14ac:dyDescent="0.25">
      <c r="R144" s="313" t="str">
        <v>&lt;input value="[tab][tab][tab][tab][tab]2[enter]2[enter][tab]4[tab][tab][tab][tab]4[tab][tab][tab][tab]4" row="12" col="02" movecursor="true" xlatehostkeys="true" encrypted="false" /&gt;</v>
      </c>
      <c r="T144" s="313" t="str">
        <v/>
      </c>
    </row>
    <row r="145" spans="1:20" x14ac:dyDescent="0.25">
      <c r="R145" s="313" t="str">
        <v>&lt;input value="[enter][enter][enter][enter][enter][enter][enter]" row="12" col="02" movecursor="true" xlatehostkeys="true" encrypted="false" /&gt;</v>
      </c>
      <c r="T145" s="313" t="str">
        <v/>
      </c>
    </row>
    <row r="146" spans="1:20" x14ac:dyDescent="0.25">
      <c r="D146" s="317">
        <v>0</v>
      </c>
      <c r="R146" s="313" t="str">
        <v/>
      </c>
    </row>
    <row r="147" spans="1:20" x14ac:dyDescent="0.25">
      <c r="A147" s="313" t="s">
        <v>2398</v>
      </c>
      <c r="B147" s="317" t="s">
        <v>97</v>
      </c>
      <c r="C147" s="313" t="str">
        <f>IF(B147="DER","[tab][tab]","[tab]")</f>
        <v>[tab]</v>
      </c>
      <c r="D147" s="317"/>
      <c r="E147" s="313" t="str">
        <f>IF(B147="DER","[tab]","[tab][tab]")</f>
        <v>[tab][tab]</v>
      </c>
      <c r="F147" s="317">
        <f>+IF(CODIGOS!B147="UPT",7,1)</f>
        <v>7</v>
      </c>
      <c r="G147" s="313" t="s">
        <v>2399</v>
      </c>
      <c r="O147" s="313" t="str">
        <f>+_xlfn.CONCAT(A147:G147)</f>
        <v>&lt;input value="2[enter]2[enter][pagedn][pagedn][tab]10[tab]UPT[tab][tab][tab]7[enter][enter][enter]" row="12" col="2" movecursor="true" xlatehostkeys="true" encrypted="false" /&gt;</v>
      </c>
      <c r="R147" s="313" t="str">
        <v>&lt;/actions&gt;</v>
      </c>
      <c r="T147" s="313" t="str" cm="1">
        <f t="array" ref="T147:T153">+R147:R153</f>
        <v>&lt;/actions&gt;</v>
      </c>
    </row>
    <row r="148" spans="1:20" x14ac:dyDescent="0.25">
      <c r="R148" s="313" t="str">
        <v>&lt;nextscreens timeout="0" &gt;</v>
      </c>
      <c r="T148" s="313" t="str">
        <v>&lt;nextscreens timeout="0" &gt;</v>
      </c>
    </row>
    <row r="149" spans="1:20" x14ac:dyDescent="0.25">
      <c r="R149" s="313" t="str">
        <v>&lt;/nextscreens&gt;</v>
      </c>
      <c r="T149" s="313" t="str">
        <v>&lt;/nextscreens&gt;</v>
      </c>
    </row>
    <row r="150" spans="1:20" x14ac:dyDescent="0.25">
      <c r="A150" s="313" t="s">
        <v>2400</v>
      </c>
      <c r="B150" s="317" t="str">
        <f>+TREATY</f>
        <v/>
      </c>
      <c r="C150" s="313" t="s">
        <v>2353</v>
      </c>
      <c r="D150" s="317" t="str">
        <f>GENIUS!CU5</f>
        <v/>
      </c>
      <c r="E150" s="313" t="s">
        <v>2401</v>
      </c>
      <c r="O150" s="313" t="str">
        <f>+_xlfn.CONCAT(A150:G150)</f>
        <v>&lt;input value="2[enter][pagedn]10[enter][tab][tab][tab][enter][enter][enter]" row="13" col="2" movecursor="true" xlatehostkeys="true" encrypted="false" /&gt;</v>
      </c>
      <c r="R150" s="313" t="str">
        <v>&lt;recolimit value="10000" /&gt;</v>
      </c>
      <c r="T150" s="313" t="str">
        <v>&lt;recolimit value="10000" /&gt;</v>
      </c>
    </row>
    <row r="151" spans="1:20" x14ac:dyDescent="0.25">
      <c r="R151" s="313" t="str">
        <v>&lt;/screen&gt;</v>
      </c>
      <c r="T151" s="313" t="str">
        <v>&lt;/screen&gt;</v>
      </c>
    </row>
    <row r="152" spans="1:20" x14ac:dyDescent="0.25">
      <c r="R152" s="313" t="str">
        <v/>
      </c>
      <c r="T152" s="313" t="str">
        <v/>
      </c>
    </row>
    <row r="153" spans="1:20" x14ac:dyDescent="0.25">
      <c r="A153" s="313" t="s">
        <v>2377</v>
      </c>
      <c r="R153" s="313" t="str">
        <v>&lt;/HAScript&gt;</v>
      </c>
      <c r="T153" s="313" t="str">
        <v>&lt;/HAScript&gt;</v>
      </c>
    </row>
    <row r="155" spans="1:20" x14ac:dyDescent="0.25">
      <c r="R155" s="313" t="str" cm="1">
        <f t="array" ref="R155:R166">+R1:R12</f>
        <v>&lt;HAScript name="EMISION CHILE MARINE" description="" timeout="60000" pausetime="800" promptall="true" blockinput="false" author="" creationdate="" supressclearevents="false" usevars="false"</v>
      </c>
      <c r="T155" s="313" t="str" cm="1">
        <f t="array" ref="T155:T161">+R155:R161</f>
        <v>&lt;HAScript name="EMISION CHILE MARINE" description="" timeout="60000" pausetime="800" promptall="true" blockinput="false" author="" creationdate="" supressclearevents="false" usevars="false"</v>
      </c>
    </row>
    <row r="156" spans="1:20" x14ac:dyDescent="0.25">
      <c r="R156" s="313" t="str">
        <v>ignorepauseforenhancedtn="true" delayifnotenhancedtn="0" ignorepausetimeforenhancedtn="true" continueontimeout="false"&gt;</v>
      </c>
      <c r="T156" s="313" t="str">
        <v>ignorepauseforenhancedtn="true" delayifnotenhancedtn="0" ignorepausetimeforenhancedtn="true" continueontimeout="false"&gt;</v>
      </c>
    </row>
    <row r="157" spans="1:20" x14ac:dyDescent="0.25">
      <c r="A157" s="313" t="str" cm="1">
        <f t="array" ref="A157:A163">+G58:G64</f>
        <v>&lt;HAScript name="EMISION CHILE MARINE" description="" timeout="60000" pausetime="800" promptall="true" blockinput="false" author="" creationdate="" supressclearevents="false" usevars="false"</v>
      </c>
      <c r="J157" s="313" t="str">
        <f>+_xlfn.CONCAT(A157:I157)</f>
        <v>&lt;HAScript name="EMISION CHILE MARINE" description="" timeout="60000" pausetime="800" promptall="true" blockinput="false" author="" creationdate="" supressclearevents="false" usevars="false"</v>
      </c>
      <c r="R157" s="313" t="str">
        <v>&lt;screen name="Screen1" entryscreen="false" exitscreen="true" transient="true"&gt;</v>
      </c>
      <c r="T157" s="313" t="str">
        <v>&lt;screen name="Screen1" entryscreen="false" exitscreen="true" transient="true"&gt;</v>
      </c>
    </row>
    <row r="158" spans="1:20" x14ac:dyDescent="0.25">
      <c r="A158" s="313" t="str">
        <v>ignorepauseforenhancedtn="true" delayifnotenhancedtn="0" ignorepausetimeforenhancedtn="true" continueontimeout="false"&gt;</v>
      </c>
      <c r="J158" s="313" t="str">
        <f t="shared" ref="J158:J176" si="6">+_xlfn.CONCAT(A158:I158)</f>
        <v>ignorepauseforenhancedtn="true" delayifnotenhancedtn="0" ignorepausetimeforenhancedtn="true" continueontimeout="false"&gt;</v>
      </c>
      <c r="R158" s="313" t="str">
        <v>&lt;description &gt;</v>
      </c>
      <c r="T158" s="313" t="str">
        <v>&lt;description &gt;</v>
      </c>
    </row>
    <row r="159" spans="1:20" x14ac:dyDescent="0.25">
      <c r="A159" s="313" t="str">
        <v>&lt;screen name="Screen1" entryscreen="false" exitscreen="true" transient="true"&gt;</v>
      </c>
      <c r="J159" s="313" t="str">
        <f t="shared" si="6"/>
        <v>&lt;screen name="Screen1" entryscreen="false" exitscreen="true" transient="true"&gt;</v>
      </c>
      <c r="R159" s="313" t="str">
        <v>&lt;oia status="NOTINHIBITED" optional="false" invertmatch="false" /&gt;</v>
      </c>
      <c r="T159" s="313" t="str">
        <v>&lt;oia status="NOTINHIBITED" optional="false" invertmatch="false" /&gt;</v>
      </c>
    </row>
    <row r="160" spans="1:20" x14ac:dyDescent="0.25">
      <c r="A160" s="313" t="str">
        <v>&lt;description &gt;</v>
      </c>
      <c r="J160" s="313" t="str">
        <f t="shared" si="6"/>
        <v>&lt;description &gt;</v>
      </c>
      <c r="R160" s="313" t="str">
        <v>&lt;/description&gt;</v>
      </c>
      <c r="T160" s="313" t="str">
        <v>&lt;/description&gt;</v>
      </c>
    </row>
    <row r="161" spans="1:20" x14ac:dyDescent="0.25">
      <c r="A161" s="313" t="str">
        <v>&lt;oia status="NOTINHIBITED" optional="false" invertmatch="false" /&gt;</v>
      </c>
      <c r="J161" s="313" t="str">
        <f t="shared" si="6"/>
        <v>&lt;oia status="NOTINHIBITED" optional="false" invertmatch="false" /&gt;</v>
      </c>
      <c r="R161" s="313" t="str">
        <v>&lt;actions&gt;</v>
      </c>
      <c r="T161" s="313" t="str">
        <v>&lt;actions&gt;</v>
      </c>
    </row>
    <row r="162" spans="1:20" x14ac:dyDescent="0.25">
      <c r="A162" s="313" t="str">
        <v>&lt;/description&gt;</v>
      </c>
      <c r="J162" s="313" t="str">
        <f t="shared" si="6"/>
        <v>&lt;/description&gt;</v>
      </c>
      <c r="R162" s="313" t="str">
        <v/>
      </c>
    </row>
    <row r="163" spans="1:20" x14ac:dyDescent="0.25">
      <c r="A163" s="313" t="str">
        <v>&lt;actions&gt;</v>
      </c>
      <c r="J163" s="313" t="str">
        <f t="shared" si="6"/>
        <v>&lt;actions&gt;</v>
      </c>
      <c r="R163" s="313" t="str">
        <v>&lt;input value="101[enter][tab][tab]041323[tab]CAS[enter][enter]" row="5" col="20" movecursor="true" xlatehostkeys="true" encrypted="false" /&gt;</v>
      </c>
      <c r="T163" s="313" t="str" cm="1">
        <f t="array" ref="T163:T167">+_xlfn.ANCHORARRAY(T130)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64" spans="1:20" x14ac:dyDescent="0.25">
      <c r="A164" s="313" t="s">
        <v>2403</v>
      </c>
      <c r="J164" s="313" t="str">
        <f t="shared" si="6"/>
        <v>&lt;input value="2[enter][pagedn]10[enter][backtab][backtab][backtab][backtab][backtab][backtab]9[enter]" row="13" col="2" movecursor="true" xlatehostkeys="true" encrypted="false" /&gt;</v>
      </c>
      <c r="R164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64" s="313" t="str">
        <v>&lt;input value="[field+][field+][tab][tab][field+][field+][field+][field+][field+][tab][tab][tab]" row="0" col="0" movecursor="true" xlatehostkeys="true" encrypted="false" /&gt;</v>
      </c>
    </row>
    <row r="165" spans="1:20" x14ac:dyDescent="0.25">
      <c r="A165" s="313" t="s">
        <v>2314</v>
      </c>
      <c r="B165" s="316" t="str">
        <f>CODIGOS!E11</f>
        <v>&amp;=Master.OPPORTUNITY_EFFECTIVEDATESFROM</v>
      </c>
      <c r="C165" s="313" t="s">
        <v>2404</v>
      </c>
      <c r="D165" s="317">
        <f>+'BASE FAC'!B3</f>
        <v>0</v>
      </c>
      <c r="E165" s="313" t="s">
        <v>2312</v>
      </c>
      <c r="F165" s="317" t="str">
        <f>+_xlfn.CONCAT(D10:E10)</f>
        <v>&amp;=Master.OPPORTUNITY_COMPANYCODE[tab]</v>
      </c>
      <c r="G165" s="317" t="str">
        <f>+F10</f>
        <v>&amp;=Master.OPPORTUNITY_BRANCHCODE[tab]</v>
      </c>
      <c r="H165" s="317" t="str">
        <f>+F165</f>
        <v>&amp;=Master.OPPORTUNITY_COMPANYCODE[tab]</v>
      </c>
      <c r="I165" s="313" t="s">
        <v>2405</v>
      </c>
      <c r="J165" s="313" t="str">
        <f t="shared" si="6"/>
        <v>&lt;input value="&amp;=Master.OPPORTUNITY_EFFECTIVEDATESFROM[tab]FAC[enter][enter]FAC[enter][backtab]0[tab]&amp;=Master.OPPORTUNITY_COMPANYCODE[tab]&amp;=Master.OPPORTUNITY_BRANCHCODE[tab]&amp;=Master.OPPORTUNITY_COMPANYCODE[tab][tab]PPFFAC[tab]" row="9" col="20" movecursor="true" xlatehostkeys="true" encrypted="false" /&gt;</v>
      </c>
      <c r="R165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65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66" spans="1:20" x14ac:dyDescent="0.25">
      <c r="A166" s="313" t="s">
        <v>2406</v>
      </c>
      <c r="B166" s="317" t="str">
        <f>+E11</f>
        <v>&amp;=Master.OPPORTUNITY_EFFECTIVEDATESFROM</v>
      </c>
      <c r="C166" s="313" t="s">
        <v>2407</v>
      </c>
      <c r="D166" s="317" t="str">
        <f>+G11</f>
        <v>&amp;=Master.OPPORTUNITY_EFFECTIVEDATESENDFINAL</v>
      </c>
      <c r="E166" s="313" t="s">
        <v>2408</v>
      </c>
      <c r="J166" s="313" t="str">
        <f t="shared" si="6"/>
        <v>&lt;input value="[field+][backtab]&amp;=Master.OPPORTUNITY_EFFECTIVEDATESFROM[tab][field+][backtab]&amp;=Master.OPPORTUNITY_EFFECTIVEDATESENDFINAL[tab][tab]" row="15" col="19" movecursor="true" xlatehostkeys="true" encrypted="false" /&gt;</v>
      </c>
      <c r="R166" s="313" t="str">
        <v xml:space="preserve">&lt;input value="ANN01[tab][tab][tab][tab]&amp;=Master.OPPORTUNITY_CURRENCYISOCODEusd[enter]y" row="0" col="0" movecursor="true" xlatehostkeys="true" encrypted="false" /&gt; </v>
      </c>
      <c r="T166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167" spans="1:20" x14ac:dyDescent="0.25">
      <c r="A167" s="313" t="s">
        <v>2314</v>
      </c>
      <c r="B167" s="317" t="str">
        <f>+'BASE FAC'!B8</f>
        <v/>
      </c>
      <c r="C167" s="313" t="s">
        <v>2407</v>
      </c>
      <c r="D167" s="317" t="str">
        <f>+K11</f>
        <v/>
      </c>
      <c r="E167" s="313" t="s">
        <v>2409</v>
      </c>
      <c r="G167" s="313" t="s">
        <v>2410</v>
      </c>
      <c r="H167" s="317" t="str">
        <f>+E12</f>
        <v>&amp;=Master.OPPORTUNITY_CURRENCYISOCODE</v>
      </c>
      <c r="I167" s="313" t="s">
        <v>2411</v>
      </c>
      <c r="J167" s="313" t="str">
        <f t="shared" si="6"/>
        <v xml:space="preserve">&lt;input value="[tab][field+][backtab][enter][enter][enter]SGL01&amp;=Master.OPPORTUNITY_CURRENCYISOCODEUSD[enter][enter][enter][enter][enter]" row="18" col="19" movecursor="true" xlatehostkeys="true" encrypted="false" /&gt; </v>
      </c>
      <c r="R167" s="313" t="s">
        <v>2361</v>
      </c>
      <c r="T167" s="313" t="str">
        <v>&lt;input value="4[backtab][down]4[enter]" row="0" col="0" movecursor="true" xlatehostkeys="true" encrypted="false" /&gt;</v>
      </c>
    </row>
    <row r="168" spans="1:20" x14ac:dyDescent="0.25">
      <c r="A168" s="313" t="s">
        <v>2412</v>
      </c>
      <c r="J168" s="313" t="str">
        <f t="shared" si="6"/>
        <v xml:space="preserve">&lt;input value="[backtab][backtab][backtab]4[enter][enter][enter][enter][enter]" row="0" col="0" movecursor="true" xlatehostkeys="true" encrypted="false" /&gt; </v>
      </c>
      <c r="R168" s="313" t="str">
        <f>_xlfn.CONCAT($A$51,$B$13,$B$50,$D$13,$C$50,C28,$D$50,A35,$E$50)</f>
        <v>&lt;input value="[tab]&amp;=Master.OPPORTUNITY_EFFECTIVEDATESFROM[tab]&amp;=Master.OPPORTUNITY_EFFECTIVEDATESENDFINAL[tab][tab]051323[tab]16.65[tab]" row="0" col="0" movecursor="true" xlatehostkeys="true" encrypted="false" /&gt;</v>
      </c>
      <c r="T168" s="313" t="str" cm="1">
        <f t="array" ref="T168:T173">+R168:R173</f>
        <v>&lt;input value="[tab]&amp;=Master.OPPORTUNITY_EFFECTIVEDATESFROM[tab]&amp;=Master.OPPORTUNITY_EFFECTIVEDATESENDFINAL[tab][tab]051323[tab]16.65[tab]" row="0" col="0" movecursor="true" xlatehostkeys="true" encrypted="false" /&gt;</v>
      </c>
    </row>
    <row r="169" spans="1:20" x14ac:dyDescent="0.25">
      <c r="A169" s="313" t="s">
        <v>2413</v>
      </c>
      <c r="B169" s="317" t="str">
        <f>+'BASE FAC'!B11</f>
        <v/>
      </c>
      <c r="C169" s="313" t="s">
        <v>2414</v>
      </c>
      <c r="J169" s="313" t="str">
        <f t="shared" si="6"/>
        <v>&lt;input value="[down]2[enter][tab]*RI[enter][backtab]2[enter][pf6]FAC[tab][tab][tab][enter][enter]r001[enter][enter]" row="0" col="0" movecursor="true" xlatehostkeys="true" encrypted="false" /&gt;</v>
      </c>
      <c r="R169" s="313" t="str">
        <f>_xlfn.CONCAT($A$51,$B$13,$B$50,$D$13,$C$50,C29,$D$50,A34,$E$50)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69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0" spans="1:20" x14ac:dyDescent="0.25">
      <c r="A170" s="313" t="s">
        <v>2415</v>
      </c>
      <c r="J170" s="313" t="str">
        <f t="shared" si="6"/>
        <v>&lt;input value="[pf12][enter]" row="0" col="0" movecursor="true" xlatehostkeys="true" encrypted="false" /&gt;</v>
      </c>
      <c r="R170" s="313" t="str">
        <f>_xlfn.CONCAT($A$51,$B$13,$B$50,$D$13,$C$50,C30,$D$50,A34,$E$50)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0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1" spans="1:20" x14ac:dyDescent="0.25">
      <c r="A171" s="313" t="str" cm="1">
        <f t="array" ref="A171:A177">+G69:G75</f>
        <v>&lt;/actions&gt;</v>
      </c>
      <c r="J171" s="313" t="str">
        <f t="shared" si="6"/>
        <v>&lt;/actions&gt;</v>
      </c>
      <c r="R171" s="313" t="str">
        <f>_xlfn.CONCAT($A$51,$B$13,$B$50,$D$13,$C$50,C31,$D$50,A34,$E$50)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1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2" spans="1:20" x14ac:dyDescent="0.25">
      <c r="A172" s="313" t="str">
        <v>&lt;nextscreens timeout="0" &gt;</v>
      </c>
      <c r="J172" s="313" t="str">
        <f t="shared" si="6"/>
        <v>&lt;nextscreens timeout="0" &gt;</v>
      </c>
      <c r="R172" s="313" t="str">
        <f>_xlfn.CONCAT($A$51,$B$13,$B$50,$D$13,$C$50,C32,$D$50,A34,$E$50)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2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3" spans="1:20" x14ac:dyDescent="0.25">
      <c r="A173" s="313" t="str">
        <v>&lt;/nextscreens&gt;</v>
      </c>
      <c r="J173" s="313" t="str">
        <f t="shared" si="6"/>
        <v>&lt;/nextscreens&gt;</v>
      </c>
      <c r="R173" s="313" t="str">
        <f>+_xlfn.CONCAT($A$52,B13,$B$51,D13,$C$51,C33,$B$51,A34,$D$51)</f>
        <v>&lt;input value="[tab]&amp;=Master.OPPORTUNITY_EFFECTIVEDATESFROM[tab]&amp;=Master.OPPORTUNITY_EFFECTIVEDATESENDFINAL[tab][tab][tab]16.67[enter][enter][enter][enter]" row="0" col="0" movecursor="true" xlatehostkeys="true" encrypted="false" /&gt;</v>
      </c>
      <c r="T173" s="313" t="str">
        <v>&lt;input value="[tab]&amp;=Master.OPPORTUNITY_EFFECTIVEDATESFROM[tab]&amp;=Master.OPPORTUNITY_EFFECTIVEDATESENDFINAL[tab][tab][tab]16.67[enter][enter][enter][enter]" row="0" col="0" movecursor="true" xlatehostkeys="true" encrypted="false" /&gt;</v>
      </c>
    </row>
    <row r="174" spans="1:20" x14ac:dyDescent="0.25">
      <c r="A174" s="313" t="str">
        <v>&lt;recolimit value="10000" /&gt;</v>
      </c>
      <c r="J174" s="313" t="str">
        <f t="shared" si="6"/>
        <v>&lt;recolimit value="10000" /&gt;</v>
      </c>
      <c r="R174" s="313" t="str" cm="1">
        <f t="array" ref="R174:R187">+R14:R27</f>
        <v>&lt;input value="[enter]y[down][left][left][left][left]2[enter][pf6]" row="0" col="0" movecursor="true" xlatehostkeys="true" encrypted="false" /&gt;</v>
      </c>
      <c r="T174" s="313" t="str" cm="1">
        <f t="array" ref="T174:T179">+_xlfn.ANCHORARRAY(T140)</f>
        <v>&lt;input value="[enter][down][backtab]4[enter][enter][down][backtab]2[enter][pf6][down][down][down][backtab]" row="0" col="0" movecursor="true" xlatehostkeys="true" encrypted="false" /&gt;</v>
      </c>
    </row>
    <row r="175" spans="1:20" x14ac:dyDescent="0.25">
      <c r="A175" s="313" t="str">
        <v>&lt;/screen&gt;</v>
      </c>
      <c r="J175" s="313" t="str">
        <f t="shared" si="6"/>
        <v>&lt;/screen&gt;</v>
      </c>
      <c r="R175" s="313" t="str">
        <v>&lt;input value="&amp;=Master.OPPORTUNITY_GENIUS_SIC_ID[tab][tab][tab][tab][tab][enter][enter]" row="8" col="19" movecursor="true" xlatehostkeys="true" encrypted="false" /&gt;</v>
      </c>
      <c r="T175" s="313" t="str">
        <v>&lt;input value="&amp;=Master.OPPORTUNITY_GENIUS_SIC_ID[tab]0[tab][tab][tab][tab][enter][enter][down][down][down][down][backtab]" row="8" col="19" movecursor="true" xlatehostkeys="true" encrypted="false" /&gt;</v>
      </c>
    </row>
    <row r="176" spans="1:20" x14ac:dyDescent="0.25">
      <c r="A176" s="313" t="str">
        <v/>
      </c>
      <c r="J176" s="313" t="str">
        <f t="shared" si="6"/>
        <v/>
      </c>
      <c r="R17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7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77" spans="1:20" x14ac:dyDescent="0.25">
      <c r="A177" s="313" t="str">
        <v>&lt;/HAScript&gt;</v>
      </c>
      <c r="J177" s="313" t="str">
        <f>+_xlfn.CONCAT(A177:I177)</f>
        <v>&lt;/HAScript&gt;</v>
      </c>
      <c r="R177" s="313" t="str">
        <v>&lt;input value="[enter][enter][enter][enter][enter][enter][enter][enter]" row="12" col="02" movecursor="true" xlatehostkeys="true" encrypted="false" /&gt;</v>
      </c>
      <c r="T177" s="313" t="str">
        <v>&lt;input value="[enter][enter][enter][enter][enter][enter][enter][enter]" row="12" col="02" movecursor="true" xlatehostkeys="true" encrypted="false" /&gt;</v>
      </c>
    </row>
    <row r="178" spans="1:20" x14ac:dyDescent="0.25">
      <c r="R178" s="313" t="str">
        <v>&lt;input value="[tab][tab][tab][tab][tab]2[enter]2[enter][tab]4[tab][tab][tab][tab]4[tab][tab][tab][tab]4" row="12" col="02" movecursor="true" xlatehostkeys="true" encrypted="false" /&gt;</v>
      </c>
      <c r="T178" s="313" t="str">
        <v/>
      </c>
    </row>
    <row r="179" spans="1:20" x14ac:dyDescent="0.25">
      <c r="R179" s="313" t="str">
        <v>&lt;input value="[enter][enter][enter][enter][enter][enter][enter]" row="12" col="02" movecursor="true" xlatehostkeys="true" encrypted="false" /&gt;</v>
      </c>
      <c r="T179" s="313" t="str">
        <v/>
      </c>
    </row>
    <row r="180" spans="1:20" x14ac:dyDescent="0.25">
      <c r="R180" s="313" t="str">
        <v/>
      </c>
    </row>
    <row r="181" spans="1:20" x14ac:dyDescent="0.25">
      <c r="A181" s="313" t="s">
        <v>2416</v>
      </c>
      <c r="B181" s="317" t="str">
        <f>+'BASE FAC'!B16</f>
        <v/>
      </c>
      <c r="R181" s="313" t="str">
        <v>&lt;/actions&gt;</v>
      </c>
      <c r="T181" s="313" t="str" cm="1">
        <f t="array" ref="T181:T187">+R181:R187</f>
        <v>&lt;/actions&gt;</v>
      </c>
    </row>
    <row r="182" spans="1:20" x14ac:dyDescent="0.25">
      <c r="A182" s="313" t="s">
        <v>2417</v>
      </c>
      <c r="B182" s="317"/>
      <c r="C182" s="313" t="s">
        <v>2418</v>
      </c>
      <c r="D182" s="313" t="str">
        <f>+_xlfn.CONCAT(A182:C182)</f>
        <v>&lt;input value="2[enter]2[enter][tab][pagedn][tab]10[tab]COM[tab][tab][tab]1[enter][enter][enter]" row="10" col="2" movecursor="true" xlatehostkeys="true" encrypted="false" /&gt;</v>
      </c>
      <c r="R182" s="313" t="str">
        <v>&lt;nextscreens timeout="0" &gt;</v>
      </c>
      <c r="T182" s="313" t="str">
        <v>&lt;nextscreens timeout="0" &gt;</v>
      </c>
    </row>
    <row r="183" spans="1:20" x14ac:dyDescent="0.25">
      <c r="R183" s="313" t="str">
        <v>&lt;/nextscreens&gt;</v>
      </c>
      <c r="T183" s="313" t="str">
        <v>&lt;/nextscreens&gt;</v>
      </c>
    </row>
    <row r="184" spans="1:20" x14ac:dyDescent="0.25">
      <c r="A184" s="313" t="s">
        <v>2419</v>
      </c>
      <c r="B184" s="320" t="str">
        <f>+'BASE FAC'!B17</f>
        <v/>
      </c>
      <c r="R184" s="313" t="str">
        <v>&lt;recolimit value="10000" /&gt;</v>
      </c>
      <c r="T184" s="313" t="str">
        <v>&lt;recolimit value="10000" /&gt;</v>
      </c>
    </row>
    <row r="185" spans="1:20" x14ac:dyDescent="0.25">
      <c r="A185" s="313" t="s">
        <v>2420</v>
      </c>
      <c r="B185" s="320"/>
      <c r="C185" s="313" t="s">
        <v>2418</v>
      </c>
      <c r="D185" s="313" t="str">
        <f t="shared" ref="D185:D188" si="7">+_xlfn.CONCAT(A185:C185)</f>
        <v>&lt;input value="2[enter]2[enter][tab][pagedn][tab]10[tab]RWT[tab][tab][tab]1[enter][enter][enter]" row="10" col="2" movecursor="true" xlatehostkeys="true" encrypted="false" /&gt;</v>
      </c>
      <c r="R185" s="313" t="str">
        <v>&lt;/screen&gt;</v>
      </c>
      <c r="T185" s="313" t="str">
        <v>&lt;/screen&gt;</v>
      </c>
    </row>
    <row r="186" spans="1:20" x14ac:dyDescent="0.25">
      <c r="D186" s="313" t="str">
        <f t="shared" si="7"/>
        <v/>
      </c>
      <c r="R186" s="313" t="str">
        <v/>
      </c>
      <c r="T186" s="313" t="str">
        <v/>
      </c>
    </row>
    <row r="187" spans="1:20" x14ac:dyDescent="0.25">
      <c r="A187" s="313" t="s">
        <v>2421</v>
      </c>
      <c r="B187" s="320" t="str">
        <f>+'BASE FAC'!B18</f>
        <v/>
      </c>
      <c r="R187" s="313" t="str">
        <v>&lt;/HAScript&gt;</v>
      </c>
      <c r="T187" s="313" t="str">
        <v>&lt;/HAScript&gt;</v>
      </c>
    </row>
    <row r="188" spans="1:20" x14ac:dyDescent="0.25">
      <c r="A188" s="313" t="s">
        <v>2422</v>
      </c>
      <c r="B188" s="320"/>
      <c r="C188" s="313" t="s">
        <v>2418</v>
      </c>
      <c r="D188" s="313" t="str">
        <f t="shared" si="7"/>
        <v>&lt;input value="2[enter]2[enter][tab][pagedn][tab]10[tab]FD2A[tab][tab][tab]1[enter][enter][enter]" row="10" col="2" movecursor="true" xlatehostkeys="true" encrypted="false" /&gt;</v>
      </c>
    </row>
    <row r="189" spans="1:20" x14ac:dyDescent="0.25">
      <c r="R189" s="313" t="str" cm="1">
        <f t="array" ref="R189:R200">+R1:R12</f>
        <v>&lt;HAScript name="EMISION CHILE MARINE" description="" timeout="60000" pausetime="800" promptall="true" blockinput="false" author="" creationdate="" supressclearevents="false" usevars="false"</v>
      </c>
      <c r="T189" s="313" t="str" cm="1">
        <f t="array" ref="T189:T195">+R189:R195</f>
        <v>&lt;HAScript name="EMISION CHILE MARINE" description="" timeout="60000" pausetime="800" promptall="true" blockinput="false" author="" creationdate="" supressclearevents="false" usevars="false"</v>
      </c>
    </row>
    <row r="190" spans="1:20" x14ac:dyDescent="0.25">
      <c r="A190" s="313" t="s">
        <v>2424</v>
      </c>
      <c r="R190" s="313" t="str">
        <v>ignorepauseforenhancedtn="true" delayifnotenhancedtn="0" ignorepausetimeforenhancedtn="true" continueontimeout="false"&gt;</v>
      </c>
      <c r="T190" s="313" t="str">
        <v>ignorepauseforenhancedtn="true" delayifnotenhancedtn="0" ignorepausetimeforenhancedtn="true" continueontimeout="false"&gt;</v>
      </c>
    </row>
    <row r="191" spans="1:20" x14ac:dyDescent="0.25">
      <c r="A191" s="313" t="s">
        <v>2425</v>
      </c>
      <c r="B191" s="317" t="str">
        <f>+'BASE FAC'!B12</f>
        <v/>
      </c>
      <c r="C191" s="313" t="s">
        <v>2426</v>
      </c>
      <c r="I191" s="313" t="str">
        <f>+_xlfn.CONCAT(A191:H191)</f>
        <v>&lt;input value="2[enter][backtab]2[enter][tab][tab][tab][tab]BN100[tab]?[enter][backtab][field+]" row="12" col="2" movecursor="true" xlatehostkeys="true" encrypted="false" /&gt;</v>
      </c>
      <c r="R191" s="313" t="str">
        <v>&lt;screen name="Screen1" entryscreen="false" exitscreen="true" transient="true"&gt;</v>
      </c>
      <c r="T191" s="313" t="str">
        <v>&lt;screen name="Screen1" entryscreen="false" exitscreen="true" transient="true"&gt;</v>
      </c>
    </row>
    <row r="192" spans="1:20" x14ac:dyDescent="0.25">
      <c r="A192" s="313" t="s">
        <v>2314</v>
      </c>
      <c r="B192" s="317" t="str">
        <f>+D10</f>
        <v>&amp;=Master.OPPORTUNITY_COMPANYCODE</v>
      </c>
      <c r="C192" s="313" t="str">
        <f>+IF(LEN(B192)&lt;8,"[tab]","")</f>
        <v/>
      </c>
      <c r="D192" s="317" t="str">
        <f>+F10</f>
        <v>&amp;=Master.OPPORTUNITY_BRANCHCODE[tab]</v>
      </c>
      <c r="E192" s="313" t="str">
        <f>+IF(LEN(D192)&lt;8,"[tab]","")</f>
        <v/>
      </c>
      <c r="F192" s="313" t="s">
        <v>2427</v>
      </c>
      <c r="G192" s="317" t="str">
        <f>+'BASE FAC'!B13</f>
        <v/>
      </c>
      <c r="H192" s="313" t="s">
        <v>2428</v>
      </c>
      <c r="I192" s="313" t="str">
        <f t="shared" ref="I192:I193" si="8">+_xlfn.CONCAT(A192:H192)</f>
        <v>&lt;input value="&amp;=Master.OPPORTUNITY_COMPANYCODE&amp;=Master.OPPORTUNITY_BRANCHCODE[tab][enter][backtab]1[enter][tab][tab][tab][tab]9[enter][enter]N" row="9" col="4" movecursor="true" xlatehostkeys="true" encrypted="false" /&gt;</v>
      </c>
      <c r="R192" s="313" t="str">
        <v>&lt;description &gt;</v>
      </c>
      <c r="T192" s="313" t="str">
        <v>&lt;description &gt;</v>
      </c>
    </row>
    <row r="193" spans="1:20" x14ac:dyDescent="0.25">
      <c r="A193" s="313" t="s">
        <v>2429</v>
      </c>
      <c r="I193" s="313" t="str">
        <f t="shared" si="8"/>
        <v>&lt;input value="100[tab]100[tab][tab][tab]y[enter][enter][enter][enter][enter]" row="14" col="31" movecursor="true" xlatehostkeys="true" encrypted="false" /&gt;</v>
      </c>
      <c r="R193" s="313" t="str">
        <v>&lt;oia status="NOTINHIBITED" optional="false" invertmatch="false" /&gt;</v>
      </c>
      <c r="T193" s="313" t="str">
        <v>&lt;oia status="NOTINHIBITED" optional="false" invertmatch="false" /&gt;</v>
      </c>
    </row>
    <row r="194" spans="1:20" x14ac:dyDescent="0.25">
      <c r="R194" s="313" t="str">
        <v>&lt;/description&gt;</v>
      </c>
      <c r="T194" s="313" t="str">
        <v>&lt;/description&gt;</v>
      </c>
    </row>
    <row r="195" spans="1:20" x14ac:dyDescent="0.25">
      <c r="A195" s="313" t="s">
        <v>2430</v>
      </c>
      <c r="R195" s="313" t="str">
        <v>&lt;actions&gt;</v>
      </c>
      <c r="T195" s="313" t="str">
        <v>&lt;actions&gt;</v>
      </c>
    </row>
    <row r="196" spans="1:20" x14ac:dyDescent="0.25">
      <c r="A196" s="313" t="s">
        <v>2425</v>
      </c>
      <c r="B196" s="317" t="str">
        <f>+'BASE FAC'!B13</f>
        <v/>
      </c>
      <c r="C196" s="313" t="s">
        <v>2426</v>
      </c>
      <c r="I196" s="313" t="str">
        <f>+_xlfn.CONCAT(A196:H196)</f>
        <v>&lt;input value="2[enter][backtab]2[enter][tab][tab][tab][tab]BN100[tab]?[enter][backtab][field+]" row="12" col="2" movecursor="true" xlatehostkeys="true" encrypted="false" /&gt;</v>
      </c>
      <c r="R196" s="313" t="str">
        <v/>
      </c>
    </row>
    <row r="197" spans="1:20" x14ac:dyDescent="0.25">
      <c r="A197" s="313" t="s">
        <v>2314</v>
      </c>
      <c r="B197" s="317" t="str">
        <f>+B192</f>
        <v>&amp;=Master.OPPORTUNITY_COMPANYCODE</v>
      </c>
      <c r="C197" s="313" t="str">
        <f>+IF(LEN(B197)&lt;8,"[tab]","")</f>
        <v/>
      </c>
      <c r="D197" s="317" t="str">
        <f>+D192</f>
        <v>&amp;=Master.OPPORTUNITY_BRANCHCODE[tab]</v>
      </c>
      <c r="E197" s="313" t="str">
        <f>+IF(LEN(D197)&lt;8,"[tab]","")</f>
        <v/>
      </c>
      <c r="F197" s="313" t="s">
        <v>2431</v>
      </c>
      <c r="I197" s="313" t="str">
        <f>+_xlfn.CONCAT(A197:H197)</f>
        <v>&lt;input value="&amp;=Master.OPPORTUNITY_COMPANYCODE&amp;=Master.OPPORTUNITY_BRANCHCODE[tab][enter][down][backtab]1[enter][enter][enter][enter]" row="9" col="4" movecursor="true" xlatehostkeys="true" encrypted="false" /&gt;</v>
      </c>
      <c r="R197" s="313" t="str">
        <v>&lt;input value="101[enter][tab][tab]041323[tab]CAS[enter][enter]" row="5" col="20" movecursor="true" xlatehostkeys="true" encrypted="false" /&gt;</v>
      </c>
      <c r="T197" s="313" t="str" cm="1">
        <f t="array" ref="T197:T201">+_xlfn.ANCHORARRAY(T163)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98" spans="1:20" x14ac:dyDescent="0.25">
      <c r="R19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98" s="313" t="str">
        <v>&lt;input value="[field+][field+][tab][tab][field+][field+][field+][field+][field+][tab][tab][tab]" row="0" col="0" movecursor="true" xlatehostkeys="true" encrypted="false" /&gt;</v>
      </c>
    </row>
    <row r="199" spans="1:20" x14ac:dyDescent="0.25">
      <c r="R19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9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00" spans="1:20" x14ac:dyDescent="0.25">
      <c r="R200" s="313" t="str">
        <v xml:space="preserve">&lt;input value="ANN01[tab][tab][tab][tab]&amp;=Master.OPPORTUNITY_CURRENCYISOCODEusd[enter]y" row="0" col="0" movecursor="true" xlatehostkeys="true" encrypted="false" /&gt; </v>
      </c>
      <c r="T200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201" spans="1:20" x14ac:dyDescent="0.25">
      <c r="R201" s="313" t="s">
        <v>2362</v>
      </c>
      <c r="T201" s="313" t="str">
        <v>&lt;input value="4[backtab][down]4[enter]" row="0" col="0" movecursor="true" xlatehostkeys="true" encrypted="false" /&gt;</v>
      </c>
    </row>
    <row r="202" spans="1:20" x14ac:dyDescent="0.25">
      <c r="R202" s="313" t="str">
        <f>_xlfn.CONCAT($A$51,$B$13,$B$50,$D$13,$C$50,C28,$D$50,A36,$E$50)</f>
        <v>&lt;input value="[tab]&amp;=Master.OPPORTUNITY_EFFECTIVEDATESFROM[tab]&amp;=Master.OPPORTUNITY_EFFECTIVEDATESENDFINAL[tab][tab]051323[tab]14.26[tab]" row="0" col="0" movecursor="true" xlatehostkeys="true" encrypted="false" /&gt;</v>
      </c>
      <c r="T202" s="313" t="str" cm="1">
        <f t="array" ref="T202:T208">+R202:R208</f>
        <v>&lt;input value="[tab]&amp;=Master.OPPORTUNITY_EFFECTIVEDATESFROM[tab]&amp;=Master.OPPORTUNITY_EFFECTIVEDATESENDFINAL[tab][tab]051323[tab]14.26[tab]" row="0" col="0" movecursor="true" xlatehostkeys="true" encrypted="false" /&gt;</v>
      </c>
    </row>
    <row r="203" spans="1:20" x14ac:dyDescent="0.25">
      <c r="R203" s="313" t="str">
        <f>_xlfn.CONCAT($A$51,$B$13,$B$50,$D$13,$C$50,C29,$D$50,A37,$E$50)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3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4" spans="1:20" x14ac:dyDescent="0.25">
      <c r="R204" s="313" t="str">
        <f>_xlfn.CONCAT($A$51,$B$13,$B$50,$D$13,$C$50,C30,$D$50,A37,$E$50)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4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5" spans="1:20" x14ac:dyDescent="0.25">
      <c r="R205" s="313" t="str">
        <f>_xlfn.CONCAT($A$51,$B$13,$B$50,$D$13,$C$50,C31,$D$50,A37,$E$50)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5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6" spans="1:20" x14ac:dyDescent="0.25">
      <c r="R206" s="313" t="str">
        <f>_xlfn.CONCAT($A$51,$B$13,$B$50,$D$13,$C$50,C32,$D$50,A37,$E$50)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6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7" spans="1:20" x14ac:dyDescent="0.25">
      <c r="R207" s="313" t="str">
        <f>_xlfn.CONCAT($A$51,$B$13,$B$50,$D$13,$C$50,C33,$D$50,A37,$E$50)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7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8" spans="1:20" x14ac:dyDescent="0.25">
      <c r="R208" s="313" t="str">
        <f>+_xlfn.CONCAT($A$52,B13,$B$51,D13,$C$51,C34,$B$51,A37,$D$51)</f>
        <v>&lt;input value="[tab]&amp;=Master.OPPORTUNITY_EFFECTIVEDATESFROM[tab]&amp;=Master.OPPORTUNITY_EFFECTIVEDATESENDFINAL[tab][tab][tab]14.29[enter][enter][enter][enter]" row="0" col="0" movecursor="true" xlatehostkeys="true" encrypted="false" /&gt;</v>
      </c>
      <c r="T208" s="313" t="str">
        <v>&lt;input value="[tab]&amp;=Master.OPPORTUNITY_EFFECTIVEDATESFROM[tab]&amp;=Master.OPPORTUNITY_EFFECTIVEDATESENDFINAL[tab][tab][tab]14.29[enter][enter][enter][enter]" row="0" col="0" movecursor="true" xlatehostkeys="true" encrypted="false" /&gt;</v>
      </c>
    </row>
    <row r="209" spans="18:20" x14ac:dyDescent="0.25">
      <c r="R209" s="313" t="str" cm="1">
        <f t="array" ref="R209:R222">+R14:R27</f>
        <v>&lt;input value="[enter]y[down][left][left][left][left]2[enter][pf6]" row="0" col="0" movecursor="true" xlatehostkeys="true" encrypted="false" /&gt;</v>
      </c>
      <c r="T209" s="313" t="str" cm="1">
        <f t="array" ref="T209:T214">+_xlfn.ANCHORARRAY(T174)</f>
        <v>&lt;input value="[enter][down][backtab]4[enter][enter][down][backtab]2[enter][pf6][down][down][down][backtab]" row="0" col="0" movecursor="true" xlatehostkeys="true" encrypted="false" /&gt;</v>
      </c>
    </row>
    <row r="210" spans="18:20" x14ac:dyDescent="0.25">
      <c r="R210" s="313" t="str">
        <v>&lt;input value="&amp;=Master.OPPORTUNITY_GENIUS_SIC_ID[tab][tab][tab][tab][tab][enter][enter]" row="8" col="19" movecursor="true" xlatehostkeys="true" encrypted="false" /&gt;</v>
      </c>
      <c r="T210" s="313" t="str">
        <v>&lt;input value="&amp;=Master.OPPORTUNITY_GENIUS_SIC_ID[tab]0[tab][tab][tab][tab][enter][enter][down][down][down][down][backtab]" row="8" col="19" movecursor="true" xlatehostkeys="true" encrypted="false" /&gt;</v>
      </c>
    </row>
    <row r="211" spans="18:20" x14ac:dyDescent="0.25">
      <c r="R211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11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12" spans="18:20" x14ac:dyDescent="0.25">
      <c r="R212" s="313" t="str">
        <v>&lt;input value="[enter][enter][enter][enter][enter][enter][enter][enter]" row="12" col="02" movecursor="true" xlatehostkeys="true" encrypted="false" /&gt;</v>
      </c>
      <c r="T212" s="313" t="str">
        <v>&lt;input value="[enter][enter][enter][enter][enter][enter][enter][enter]" row="12" col="02" movecursor="true" xlatehostkeys="true" encrypted="false" /&gt;</v>
      </c>
    </row>
    <row r="213" spans="18:20" x14ac:dyDescent="0.25">
      <c r="R213" s="313" t="str">
        <v>&lt;input value="[tab][tab][tab][tab][tab]2[enter]2[enter][tab]4[tab][tab][tab][tab]4[tab][tab][tab][tab]4" row="12" col="02" movecursor="true" xlatehostkeys="true" encrypted="false" /&gt;</v>
      </c>
      <c r="T213" s="313" t="str">
        <v/>
      </c>
    </row>
    <row r="214" spans="18:20" x14ac:dyDescent="0.25">
      <c r="R214" s="313" t="str">
        <v>&lt;input value="[enter][enter][enter][enter][enter][enter][enter]" row="12" col="02" movecursor="true" xlatehostkeys="true" encrypted="false" /&gt;</v>
      </c>
      <c r="T214" s="313" t="str">
        <v/>
      </c>
    </row>
    <row r="215" spans="18:20" x14ac:dyDescent="0.25">
      <c r="R215" s="313" t="str">
        <v/>
      </c>
    </row>
    <row r="216" spans="18:20" x14ac:dyDescent="0.25">
      <c r="R216" s="313" t="str">
        <v>&lt;/actions&gt;</v>
      </c>
      <c r="T216" s="313" t="str" cm="1">
        <f t="array" ref="T216:T222">+R216:R222</f>
        <v>&lt;/actions&gt;</v>
      </c>
    </row>
    <row r="217" spans="18:20" x14ac:dyDescent="0.25">
      <c r="R217" s="313" t="str">
        <v>&lt;nextscreens timeout="0" &gt;</v>
      </c>
      <c r="T217" s="313" t="str">
        <v>&lt;nextscreens timeout="0" &gt;</v>
      </c>
    </row>
    <row r="218" spans="18:20" x14ac:dyDescent="0.25">
      <c r="R218" s="313" t="str">
        <v>&lt;/nextscreens&gt;</v>
      </c>
      <c r="T218" s="313" t="str">
        <v>&lt;/nextscreens&gt;</v>
      </c>
    </row>
    <row r="219" spans="18:20" x14ac:dyDescent="0.25">
      <c r="R219" s="313" t="str">
        <v>&lt;recolimit value="10000" /&gt;</v>
      </c>
      <c r="T219" s="313" t="str">
        <v>&lt;recolimit value="10000" /&gt;</v>
      </c>
    </row>
    <row r="220" spans="18:20" x14ac:dyDescent="0.25">
      <c r="R220" s="313" t="str">
        <v>&lt;/screen&gt;</v>
      </c>
      <c r="T220" s="313" t="str">
        <v>&lt;/screen&gt;</v>
      </c>
    </row>
    <row r="221" spans="18:20" x14ac:dyDescent="0.25">
      <c r="R221" s="313" t="str">
        <v/>
      </c>
      <c r="T221" s="313" t="str">
        <v/>
      </c>
    </row>
    <row r="222" spans="18:20" x14ac:dyDescent="0.25">
      <c r="R222" s="313" t="str">
        <v>&lt;/HAScript&gt;</v>
      </c>
      <c r="T222" s="313" t="str">
        <v>&lt;/HAScript&gt;</v>
      </c>
    </row>
    <row r="224" spans="18:20" x14ac:dyDescent="0.25">
      <c r="R224" s="313" t="str" cm="1">
        <f t="array" ref="R224:R235">+R1:R12</f>
        <v>&lt;HAScript name="EMISION CHILE MARINE" description="" timeout="60000" pausetime="800" promptall="true" blockinput="false" author="" creationdate="" supressclearevents="false" usevars="false"</v>
      </c>
      <c r="T224" s="313" t="str" cm="1">
        <f t="array" ref="T224:T230">+R224:R230</f>
        <v>&lt;HAScript name="EMISION CHILE MARINE" description="" timeout="60000" pausetime="800" promptall="true" blockinput="false" author="" creationdate="" supressclearevents="false" usevars="false"</v>
      </c>
    </row>
    <row r="225" spans="18:20" x14ac:dyDescent="0.25">
      <c r="R225" s="313" t="str">
        <v>ignorepauseforenhancedtn="true" delayifnotenhancedtn="0" ignorepausetimeforenhancedtn="true" continueontimeout="false"&gt;</v>
      </c>
      <c r="T225" s="313" t="str">
        <v>ignorepauseforenhancedtn="true" delayifnotenhancedtn="0" ignorepausetimeforenhancedtn="true" continueontimeout="false"&gt;</v>
      </c>
    </row>
    <row r="226" spans="18:20" x14ac:dyDescent="0.25">
      <c r="R226" s="313" t="str">
        <v>&lt;screen name="Screen1" entryscreen="false" exitscreen="true" transient="true"&gt;</v>
      </c>
      <c r="T226" s="313" t="str">
        <v>&lt;screen name="Screen1" entryscreen="false" exitscreen="true" transient="true"&gt;</v>
      </c>
    </row>
    <row r="227" spans="18:20" x14ac:dyDescent="0.25">
      <c r="R227" s="313" t="str">
        <v>&lt;description &gt;</v>
      </c>
      <c r="T227" s="313" t="str">
        <v>&lt;description &gt;</v>
      </c>
    </row>
    <row r="228" spans="18:20" x14ac:dyDescent="0.25">
      <c r="R228" s="313" t="str">
        <v>&lt;oia status="NOTINHIBITED" optional="false" invertmatch="false" /&gt;</v>
      </c>
      <c r="T228" s="313" t="str">
        <v>&lt;oia status="NOTINHIBITED" optional="false" invertmatch="false" /&gt;</v>
      </c>
    </row>
    <row r="229" spans="18:20" x14ac:dyDescent="0.25">
      <c r="R229" s="313" t="str">
        <v>&lt;/description&gt;</v>
      </c>
      <c r="T229" s="313" t="str">
        <v>&lt;/description&gt;</v>
      </c>
    </row>
    <row r="230" spans="18:20" x14ac:dyDescent="0.25">
      <c r="R230" s="313" t="str">
        <v>&lt;actions&gt;</v>
      </c>
      <c r="T230" s="313" t="str">
        <v>&lt;actions&gt;</v>
      </c>
    </row>
    <row r="231" spans="18:20" x14ac:dyDescent="0.25">
      <c r="R231" s="313" t="str">
        <v/>
      </c>
    </row>
    <row r="232" spans="18:20" x14ac:dyDescent="0.25">
      <c r="R232" s="313" t="str">
        <v>&lt;input value="101[enter][tab][tab]041323[tab]CAS[enter][enter]" row="5" col="20" movecursor="true" xlatehostkeys="true" encrypted="false" /&gt;</v>
      </c>
      <c r="T232" s="313" t="str" cm="1">
        <f t="array" ref="T232:T236">+_xlfn.ANCHORARRAY(T197)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233" spans="18:20" x14ac:dyDescent="0.25">
      <c r="R233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233" s="313" t="str">
        <v>&lt;input value="[field+][field+][tab][tab][field+][field+][field+][field+][field+][tab][tab][tab]" row="0" col="0" movecursor="true" xlatehostkeys="true" encrypted="false" /&gt;</v>
      </c>
    </row>
    <row r="234" spans="18:20" x14ac:dyDescent="0.25">
      <c r="R234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234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35" spans="18:20" x14ac:dyDescent="0.25">
      <c r="R235" s="313" t="str">
        <v xml:space="preserve">&lt;input value="ANN01[tab][tab][tab][tab]&amp;=Master.OPPORTUNITY_CURRENCYISOCODEusd[enter]y" row="0" col="0" movecursor="true" xlatehostkeys="true" encrypted="false" /&gt; </v>
      </c>
      <c r="T235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236" spans="18:20" x14ac:dyDescent="0.25">
      <c r="R236" s="313" t="s">
        <v>2363</v>
      </c>
      <c r="T236" s="313" t="str">
        <v>&lt;input value="4[backtab][down]4[enter]" row="0" col="0" movecursor="true" xlatehostkeys="true" encrypted="false" /&gt;</v>
      </c>
    </row>
    <row r="237" spans="18:20" x14ac:dyDescent="0.25">
      <c r="R237" s="313" t="str">
        <f>_xlfn.CONCAT($A$51,$B$13,$B$50,$D$13,$C$50,C28,$D$50,A38,$E$50)</f>
        <v>&lt;input value="[tab]&amp;=Master.OPPORTUNITY_EFFECTIVEDATESFROM[tab]&amp;=Master.OPPORTUNITY_EFFECTIVEDATESENDFINAL[tab][tab]051323[tab]12.5[tab]" row="0" col="0" movecursor="true" xlatehostkeys="true" encrypted="false" /&gt;</v>
      </c>
      <c r="T237" s="313" t="str" cm="1">
        <f t="array" ref="T237:T244">+R237:R244</f>
        <v>&lt;input value="[tab]&amp;=Master.OPPORTUNITY_EFFECTIVEDATESFROM[tab]&amp;=Master.OPPORTUNITY_EFFECTIVEDATESENDFINAL[tab][tab]051323[tab]12.5[tab]" row="0" col="0" movecursor="true" xlatehostkeys="true" encrypted="false" /&gt;</v>
      </c>
    </row>
    <row r="238" spans="18:20" x14ac:dyDescent="0.25">
      <c r="R238" s="313" t="str">
        <f>_xlfn.CONCAT($A$51,$B$13,$B$50,$D$13,$C$50,C29,$D$50,A38,$E$50)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38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39" spans="18:20" x14ac:dyDescent="0.25">
      <c r="R239" s="313" t="str">
        <f>_xlfn.CONCAT($A$51,$B$13,$B$50,$D$13,$C$50,C30,$D$50,A38,$E$50)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39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0" spans="18:20" x14ac:dyDescent="0.25">
      <c r="R240" s="313" t="str">
        <f>_xlfn.CONCAT($A$51,$B$13,$B$50,$D$13,$C$50,C31,$D$50,A38,$E$50)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0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1" spans="18:20" x14ac:dyDescent="0.25">
      <c r="R241" s="313" t="str">
        <f>_xlfn.CONCAT($A$51,$B$13,$B$50,$D$13,$C$50,C32,$D$50,A38,$E$50)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1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2" spans="18:20" x14ac:dyDescent="0.25">
      <c r="R242" s="313" t="str">
        <f>_xlfn.CONCAT($A$51,$B$13,$B$50,$D$13,$C$50,C33,$D$50,A38,$E$50)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2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3" spans="18:20" x14ac:dyDescent="0.25">
      <c r="R243" s="313" t="str">
        <f>_xlfn.CONCAT($A$51,$B$13,$B$50,$D$13,$C$50,C34,$D$50,A38,$E$50)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3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4" spans="18:20" x14ac:dyDescent="0.25">
      <c r="R244" s="313" t="str">
        <f>+_xlfn.CONCAT($A$52,B13,$B$51,D13,$C$51,C35,$B$51,A38,$D$51)</f>
        <v>&lt;input value="[tab]&amp;=Master.OPPORTUNITY_EFFECTIVEDATESFROM[tab]&amp;=Master.OPPORTUNITY_EFFECTIVEDATESENDFINAL[tab][tab][tab]12.5[enter][enter][enter][enter]" row="0" col="0" movecursor="true" xlatehostkeys="true" encrypted="false" /&gt;</v>
      </c>
      <c r="T244" s="313" t="str">
        <v>&lt;input value="[tab]&amp;=Master.OPPORTUNITY_EFFECTIVEDATESFROM[tab]&amp;=Master.OPPORTUNITY_EFFECTIVEDATESENDFINAL[tab][tab][tab]12.5[enter][enter][enter][enter]" row="0" col="0" movecursor="true" xlatehostkeys="true" encrypted="false" /&gt;</v>
      </c>
    </row>
    <row r="245" spans="18:20" x14ac:dyDescent="0.25">
      <c r="R245" s="313" t="str" cm="1">
        <f t="array" ref="R245:R258">+R14:R27</f>
        <v>&lt;input value="[enter]y[down][left][left][left][left]2[enter][pf6]" row="0" col="0" movecursor="true" xlatehostkeys="true" encrypted="false" /&gt;</v>
      </c>
      <c r="T245" s="313" t="str" cm="1">
        <f t="array" ref="T245:T250">+_xlfn.ANCHORARRAY(T209)</f>
        <v>&lt;input value="[enter][down][backtab]4[enter][enter][down][backtab]2[enter][pf6][down][down][down][backtab]" row="0" col="0" movecursor="true" xlatehostkeys="true" encrypted="false" /&gt;</v>
      </c>
    </row>
    <row r="246" spans="18:20" x14ac:dyDescent="0.25">
      <c r="R246" s="313" t="str">
        <v>&lt;input value="&amp;=Master.OPPORTUNITY_GENIUS_SIC_ID[tab][tab][tab][tab][tab][enter][enter]" row="8" col="19" movecursor="true" xlatehostkeys="true" encrypted="false" /&gt;</v>
      </c>
      <c r="T246" s="313" t="str">
        <v>&lt;input value="&amp;=Master.OPPORTUNITY_GENIUS_SIC_ID[tab]0[tab][tab][tab][tab][enter][enter][down][down][down][down][backtab]" row="8" col="19" movecursor="true" xlatehostkeys="true" encrypted="false" /&gt;</v>
      </c>
    </row>
    <row r="247" spans="18:20" x14ac:dyDescent="0.25">
      <c r="R2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48" spans="18:20" x14ac:dyDescent="0.25">
      <c r="R248" s="313" t="str">
        <v>&lt;input value="[enter][enter][enter][enter][enter][enter][enter][enter]" row="12" col="02" movecursor="true" xlatehostkeys="true" encrypted="false" /&gt;</v>
      </c>
      <c r="T248" s="313" t="str">
        <v>&lt;input value="[enter][enter][enter][enter][enter][enter][enter][enter]" row="12" col="02" movecursor="true" xlatehostkeys="true" encrypted="false" /&gt;</v>
      </c>
    </row>
    <row r="249" spans="18:20" x14ac:dyDescent="0.25">
      <c r="R249" s="313" t="str">
        <v>&lt;input value="[tab][tab][tab][tab][tab]2[enter]2[enter][tab]4[tab][tab][tab][tab]4[tab][tab][tab][tab]4" row="12" col="02" movecursor="true" xlatehostkeys="true" encrypted="false" /&gt;</v>
      </c>
      <c r="T249" s="313" t="str">
        <v/>
      </c>
    </row>
    <row r="250" spans="18:20" x14ac:dyDescent="0.25">
      <c r="R250" s="313" t="str">
        <v>&lt;input value="[enter][enter][enter][enter][enter][enter][enter]" row="12" col="02" movecursor="true" xlatehostkeys="true" encrypted="false" /&gt;</v>
      </c>
      <c r="T250" s="313" t="str">
        <v/>
      </c>
    </row>
    <row r="251" spans="18:20" x14ac:dyDescent="0.25">
      <c r="R251" s="313" t="str">
        <v/>
      </c>
    </row>
    <row r="252" spans="18:20" x14ac:dyDescent="0.25">
      <c r="R252" s="313" t="str">
        <v>&lt;/actions&gt;</v>
      </c>
      <c r="T252" s="313" t="str" cm="1">
        <f t="array" ref="T252:T258">+R252:R258</f>
        <v>&lt;/actions&gt;</v>
      </c>
    </row>
    <row r="253" spans="18:20" x14ac:dyDescent="0.25">
      <c r="R253" s="313" t="str">
        <v>&lt;nextscreens timeout="0" &gt;</v>
      </c>
      <c r="T253" s="313" t="str">
        <v>&lt;nextscreens timeout="0" &gt;</v>
      </c>
    </row>
    <row r="254" spans="18:20" x14ac:dyDescent="0.25">
      <c r="R254" s="313" t="str">
        <v>&lt;/nextscreens&gt;</v>
      </c>
      <c r="T254" s="313" t="str">
        <v>&lt;/nextscreens&gt;</v>
      </c>
    </row>
    <row r="255" spans="18:20" x14ac:dyDescent="0.25">
      <c r="R255" s="313" t="str">
        <v>&lt;recolimit value="10000" /&gt;</v>
      </c>
      <c r="T255" s="313" t="str">
        <v>&lt;recolimit value="10000" /&gt;</v>
      </c>
    </row>
    <row r="256" spans="18:20" x14ac:dyDescent="0.25">
      <c r="R256" s="313" t="str">
        <v>&lt;/screen&gt;</v>
      </c>
      <c r="T256" s="313" t="str">
        <v>&lt;/screen&gt;</v>
      </c>
    </row>
    <row r="257" spans="18:20" x14ac:dyDescent="0.25">
      <c r="R257" s="313" t="str">
        <v/>
      </c>
      <c r="T257" s="313" t="str">
        <v/>
      </c>
    </row>
    <row r="258" spans="18:20" x14ac:dyDescent="0.25">
      <c r="R258" s="313" t="str">
        <v>&lt;/HAScript&gt;</v>
      </c>
      <c r="T258" s="313" t="str">
        <v>&lt;/HAScript&gt;</v>
      </c>
    </row>
    <row r="260" spans="18:20" x14ac:dyDescent="0.25">
      <c r="R260" s="313" t="str" cm="1">
        <f t="array" ref="R260:R271">+R1:R12</f>
        <v>&lt;HAScript name="EMISION CHILE MARINE" description="" timeout="60000" pausetime="800" promptall="true" blockinput="false" author="" creationdate="" supressclearevents="false" usevars="false"</v>
      </c>
      <c r="T260" s="313" t="str" cm="1">
        <f t="array" ref="T260:T266">+R260:R266</f>
        <v>&lt;HAScript name="EMISION CHILE MARINE" description="" timeout="60000" pausetime="800" promptall="true" blockinput="false" author="" creationdate="" supressclearevents="false" usevars="false"</v>
      </c>
    </row>
    <row r="261" spans="18:20" x14ac:dyDescent="0.25">
      <c r="R261" s="313" t="str">
        <v>ignorepauseforenhancedtn="true" delayifnotenhancedtn="0" ignorepausetimeforenhancedtn="true" continueontimeout="false"&gt;</v>
      </c>
      <c r="T261" s="313" t="str">
        <v>ignorepauseforenhancedtn="true" delayifnotenhancedtn="0" ignorepausetimeforenhancedtn="true" continueontimeout="false"&gt;</v>
      </c>
    </row>
    <row r="262" spans="18:20" x14ac:dyDescent="0.25">
      <c r="R262" s="313" t="str">
        <v>&lt;screen name="Screen1" entryscreen="false" exitscreen="true" transient="true"&gt;</v>
      </c>
      <c r="T262" s="313" t="str">
        <v>&lt;screen name="Screen1" entryscreen="false" exitscreen="true" transient="true"&gt;</v>
      </c>
    </row>
    <row r="263" spans="18:20" x14ac:dyDescent="0.25">
      <c r="R263" s="313" t="str">
        <v>&lt;description &gt;</v>
      </c>
      <c r="T263" s="313" t="str">
        <v>&lt;description &gt;</v>
      </c>
    </row>
    <row r="264" spans="18:20" x14ac:dyDescent="0.25">
      <c r="R264" s="313" t="str">
        <v>&lt;oia status="NOTINHIBITED" optional="false" invertmatch="false" /&gt;</v>
      </c>
      <c r="T264" s="313" t="str">
        <v>&lt;oia status="NOTINHIBITED" optional="false" invertmatch="false" /&gt;</v>
      </c>
    </row>
    <row r="265" spans="18:20" x14ac:dyDescent="0.25">
      <c r="R265" s="313" t="str">
        <v>&lt;/description&gt;</v>
      </c>
      <c r="T265" s="313" t="str">
        <v>&lt;/description&gt;</v>
      </c>
    </row>
    <row r="266" spans="18:20" x14ac:dyDescent="0.25">
      <c r="R266" s="313" t="str">
        <v>&lt;actions&gt;</v>
      </c>
      <c r="T266" s="313" t="str">
        <v>&lt;actions&gt;</v>
      </c>
    </row>
    <row r="267" spans="18:20" x14ac:dyDescent="0.25">
      <c r="R267" s="313" t="str">
        <v/>
      </c>
    </row>
    <row r="268" spans="18:20" x14ac:dyDescent="0.25">
      <c r="R268" s="313" t="str">
        <v>&lt;input value="101[enter][tab][tab]041323[tab]CAS[enter][enter]" row="5" col="20" movecursor="true" xlatehostkeys="true" encrypted="false" /&gt;</v>
      </c>
      <c r="T268" s="313" t="str" cm="1">
        <f t="array" ref="T268:T271">+T232:T235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269" spans="18:20" x14ac:dyDescent="0.25">
      <c r="R269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269" s="313" t="str">
        <v>&lt;input value="[field+][field+][tab][tab][field+][field+][field+][field+][field+][tab][tab][tab]" row="0" col="0" movecursor="true" xlatehostkeys="true" encrypted="false" /&gt;</v>
      </c>
    </row>
    <row r="270" spans="18:20" x14ac:dyDescent="0.25">
      <c r="R270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270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71" spans="18:20" x14ac:dyDescent="0.25">
      <c r="R271" s="313" t="str">
        <v xml:space="preserve">&lt;input value="ANN01[tab][tab][tab][tab]&amp;=Master.OPPORTUNITY_CURRENCYISOCODEusd[enter]y" row="0" col="0" movecursor="true" xlatehostkeys="true" encrypted="false" /&gt; </v>
      </c>
      <c r="T271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272" spans="18:20" x14ac:dyDescent="0.25">
      <c r="R272" s="313" t="s">
        <v>2364</v>
      </c>
      <c r="T272" s="313" t="str" cm="1">
        <f t="array" ref="T272:T282">+R272:R282</f>
        <v>&lt;input value="4[backtab][down]4[backtab][down]4[backtab][down]4[backtab][down]4[backtab][down]" row="0" col="0" movecursor="true" xlatehostkeys="true" encrypted="false" /&gt;</v>
      </c>
    </row>
    <row r="273" spans="18:20" x14ac:dyDescent="0.25">
      <c r="R273" s="313" t="s">
        <v>2356</v>
      </c>
      <c r="T273" s="313" t="str">
        <v>&lt;input value="4[backtab][down]4[backtab][down]4[backtab][down]4[enter]" row="0" col="0" movecursor="true" xlatehostkeys="true" encrypted="false" /&gt;</v>
      </c>
    </row>
    <row r="274" spans="18:20" x14ac:dyDescent="0.25">
      <c r="R274" s="313" t="str">
        <f>_xlfn.CONCAT($A$51,$B$13,$B$50,$D$13,$C$50,C28,$D$50,A39,$E$50)</f>
        <v>&lt;input value="[tab]&amp;=Master.OPPORTUNITY_EFFECTIVEDATESFROM[tab]&amp;=Master.OPPORTUNITY_EFFECTIVEDATESENDFINAL[tab][tab]051323[tab]11.12[tab]" row="0" col="0" movecursor="true" xlatehostkeys="true" encrypted="false" /&gt;</v>
      </c>
      <c r="T274" s="313" t="str">
        <v>&lt;input value="[tab]&amp;=Master.OPPORTUNITY_EFFECTIVEDATESFROM[tab]&amp;=Master.OPPORTUNITY_EFFECTIVEDATESENDFINAL[tab][tab]051323[tab]11.12[tab]" row="0" col="0" movecursor="true" xlatehostkeys="true" encrypted="false" /&gt;</v>
      </c>
    </row>
    <row r="275" spans="18:20" x14ac:dyDescent="0.25">
      <c r="R275" s="313" t="str">
        <f>_xlfn.CONCAT($A$51,$B$13,$B$50,$D$13,$C$50,C29,$D$50,A40,$E$50)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5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6" spans="18:20" x14ac:dyDescent="0.25">
      <c r="R276" s="313" t="str">
        <f>_xlfn.CONCAT($A$51,$B$13,$B$50,$D$13,$C$50,C30,$D$50,A40,$E$50)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6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7" spans="18:20" x14ac:dyDescent="0.25">
      <c r="R277" s="313" t="str">
        <f>_xlfn.CONCAT($A$51,$B$13,$B$50,$D$13,$C$50,C31,$D$50,A40,$E$50)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7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8" spans="18:20" x14ac:dyDescent="0.25">
      <c r="R278" s="313" t="str">
        <f>_xlfn.CONCAT($A$51,$B$13,$B$50,$D$13,$C$50,C32,$D$50,A40,$E$50)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8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9" spans="18:20" x14ac:dyDescent="0.25">
      <c r="R279" s="313" t="str">
        <f>_xlfn.CONCAT($A$51,$B$13,$B$50,$D$13,$C$50,C33,$D$50,A40,$E$50)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9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0" spans="18:20" x14ac:dyDescent="0.25">
      <c r="R280" s="313" t="str">
        <f>_xlfn.CONCAT($A$51,$B$13,$B$50,$D$13,$C$50,C34,$D$50,A40,$E$50)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80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1" spans="18:20" x14ac:dyDescent="0.25">
      <c r="R281" s="313" t="str">
        <f>_xlfn.CONCAT($A$51,$B$13,$B$50,$D$13,$C$50,C35,$D$50,A40,$E$50)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81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2" spans="18:20" x14ac:dyDescent="0.25">
      <c r="R282" s="313" t="str">
        <f>+_xlfn.CONCAT($A$52,B13,$B$51,D13,$C$51,C36,$B$51,A40,$D$51)</f>
        <v>&lt;input value="[tab]&amp;=Master.OPPORTUNITY_EFFECTIVEDATESFROM[tab]&amp;=Master.OPPORTUNITY_EFFECTIVEDATESENDFINAL[tab][tab][tab]11.11[enter][enter][enter][enter]" row="0" col="0" movecursor="true" xlatehostkeys="true" encrypted="false" /&gt;</v>
      </c>
      <c r="T282" s="313" t="str">
        <v>&lt;input value="[tab]&amp;=Master.OPPORTUNITY_EFFECTIVEDATESFROM[tab]&amp;=Master.OPPORTUNITY_EFFECTIVEDATESENDFINAL[tab][tab][tab]11.11[enter][enter][enter][enter]" row="0" col="0" movecursor="true" xlatehostkeys="true" encrypted="false" /&gt;</v>
      </c>
    </row>
    <row r="283" spans="18:20" x14ac:dyDescent="0.25">
      <c r="R283" s="313" t="str" cm="1">
        <f t="array" ref="R283:R296">+R14:R27</f>
        <v>&lt;input value="[enter]y[down][left][left][left][left]2[enter][pf6]" row="0" col="0" movecursor="true" xlatehostkeys="true" encrypted="false" /&gt;</v>
      </c>
      <c r="T283" s="313" t="str" cm="1">
        <f t="array" ref="T283:T288">+_xlfn.ANCHORARRAY(T245)</f>
        <v>&lt;input value="[enter][down][backtab]4[enter][enter][down][backtab]2[enter][pf6][down][down][down][backtab]" row="0" col="0" movecursor="true" xlatehostkeys="true" encrypted="false" /&gt;</v>
      </c>
    </row>
    <row r="284" spans="18:20" x14ac:dyDescent="0.25">
      <c r="R284" s="313" t="str">
        <v>&lt;input value="&amp;=Master.OPPORTUNITY_GENIUS_SIC_ID[tab][tab][tab][tab][tab][enter][enter]" row="8" col="19" movecursor="true" xlatehostkeys="true" encrypted="false" /&gt;</v>
      </c>
      <c r="T284" s="313" t="str">
        <v>&lt;input value="&amp;=Master.OPPORTUNITY_GENIUS_SIC_ID[tab]0[tab][tab][tab][tab][enter][enter][down][down][down][down][backtab]" row="8" col="19" movecursor="true" xlatehostkeys="true" encrypted="false" /&gt;</v>
      </c>
    </row>
    <row r="285" spans="18:20" x14ac:dyDescent="0.25">
      <c r="R28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8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86" spans="18:20" x14ac:dyDescent="0.25">
      <c r="R286" s="313" t="str">
        <v>&lt;input value="[enter][enter][enter][enter][enter][enter][enter][enter]" row="12" col="02" movecursor="true" xlatehostkeys="true" encrypted="false" /&gt;</v>
      </c>
      <c r="T286" s="313" t="str">
        <v>&lt;input value="[enter][enter][enter][enter][enter][enter][enter][enter]" row="12" col="02" movecursor="true" xlatehostkeys="true" encrypted="false" /&gt;</v>
      </c>
    </row>
    <row r="287" spans="18:20" x14ac:dyDescent="0.25">
      <c r="R287" s="313" t="str">
        <v>&lt;input value="[tab][tab][tab][tab][tab]2[enter]2[enter][tab]4[tab][tab][tab][tab]4[tab][tab][tab][tab]4" row="12" col="02" movecursor="true" xlatehostkeys="true" encrypted="false" /&gt;</v>
      </c>
      <c r="T287" s="313" t="str">
        <v/>
      </c>
    </row>
    <row r="288" spans="18:20" x14ac:dyDescent="0.25">
      <c r="R288" s="313" t="str">
        <v>&lt;input value="[enter][enter][enter][enter][enter][enter][enter]" row="12" col="02" movecursor="true" xlatehostkeys="true" encrypted="false" /&gt;</v>
      </c>
      <c r="T288" s="313" t="str">
        <v/>
      </c>
    </row>
    <row r="289" spans="18:20" x14ac:dyDescent="0.25">
      <c r="R289" s="313" t="str">
        <v/>
      </c>
    </row>
    <row r="290" spans="18:20" x14ac:dyDescent="0.25">
      <c r="R290" s="313" t="str">
        <v>&lt;/actions&gt;</v>
      </c>
      <c r="T290" s="313" t="str" cm="1">
        <f t="array" ref="T290:T296">+R290:R296</f>
        <v>&lt;/actions&gt;</v>
      </c>
    </row>
    <row r="291" spans="18:20" x14ac:dyDescent="0.25">
      <c r="R291" s="313" t="str">
        <v>&lt;nextscreens timeout="0" &gt;</v>
      </c>
      <c r="T291" s="313" t="str">
        <v>&lt;nextscreens timeout="0" &gt;</v>
      </c>
    </row>
    <row r="292" spans="18:20" x14ac:dyDescent="0.25">
      <c r="R292" s="313" t="str">
        <v>&lt;/nextscreens&gt;</v>
      </c>
      <c r="T292" s="313" t="str">
        <v>&lt;/nextscreens&gt;</v>
      </c>
    </row>
    <row r="293" spans="18:20" x14ac:dyDescent="0.25">
      <c r="R293" s="313" t="str">
        <v>&lt;recolimit value="10000" /&gt;</v>
      </c>
      <c r="T293" s="313" t="str">
        <v>&lt;recolimit value="10000" /&gt;</v>
      </c>
    </row>
    <row r="294" spans="18:20" x14ac:dyDescent="0.25">
      <c r="R294" s="313" t="str">
        <v>&lt;/screen&gt;</v>
      </c>
      <c r="T294" s="313" t="str">
        <v>&lt;/screen&gt;</v>
      </c>
    </row>
    <row r="295" spans="18:20" x14ac:dyDescent="0.25">
      <c r="R295" s="313" t="str">
        <v/>
      </c>
      <c r="T295" s="313" t="str">
        <v/>
      </c>
    </row>
    <row r="296" spans="18:20" x14ac:dyDescent="0.25">
      <c r="R296" s="313" t="str">
        <v>&lt;/HAScript&gt;</v>
      </c>
      <c r="T296" s="313" t="str">
        <v>&lt;/HAScript&gt;</v>
      </c>
    </row>
    <row r="298" spans="18:20" x14ac:dyDescent="0.25">
      <c r="R298" s="313" t="str" cm="1">
        <f t="array" ref="R298:R309">+R1:R12</f>
        <v>&lt;HAScript name="EMISION CHILE MARINE" description="" timeout="60000" pausetime="800" promptall="true" blockinput="false" author="" creationdate="" supressclearevents="false" usevars="false"</v>
      </c>
      <c r="T298" s="313" t="str" cm="1">
        <f t="array" ref="T298:T304">+R298:R304</f>
        <v>&lt;HAScript name="EMISION CHILE MARINE" description="" timeout="60000" pausetime="800" promptall="true" blockinput="false" author="" creationdate="" supressclearevents="false" usevars="false"</v>
      </c>
    </row>
    <row r="299" spans="18:20" x14ac:dyDescent="0.25">
      <c r="R299" s="313" t="str">
        <v>ignorepauseforenhancedtn="true" delayifnotenhancedtn="0" ignorepausetimeforenhancedtn="true" continueontimeout="false"&gt;</v>
      </c>
      <c r="T299" s="313" t="str">
        <v>ignorepauseforenhancedtn="true" delayifnotenhancedtn="0" ignorepausetimeforenhancedtn="true" continueontimeout="false"&gt;</v>
      </c>
    </row>
    <row r="300" spans="18:20" x14ac:dyDescent="0.25">
      <c r="R300" s="313" t="str">
        <v>&lt;screen name="Screen1" entryscreen="false" exitscreen="true" transient="true"&gt;</v>
      </c>
      <c r="T300" s="313" t="str">
        <v>&lt;screen name="Screen1" entryscreen="false" exitscreen="true" transient="true"&gt;</v>
      </c>
    </row>
    <row r="301" spans="18:20" x14ac:dyDescent="0.25">
      <c r="R301" s="313" t="str">
        <v>&lt;description &gt;</v>
      </c>
      <c r="T301" s="313" t="str">
        <v>&lt;description &gt;</v>
      </c>
    </row>
    <row r="302" spans="18:20" x14ac:dyDescent="0.25">
      <c r="R302" s="313" t="str">
        <v>&lt;oia status="NOTINHIBITED" optional="false" invertmatch="false" /&gt;</v>
      </c>
      <c r="T302" s="313" t="str">
        <v>&lt;oia status="NOTINHIBITED" optional="false" invertmatch="false" /&gt;</v>
      </c>
    </row>
    <row r="303" spans="18:20" x14ac:dyDescent="0.25">
      <c r="R303" s="313" t="str">
        <v>&lt;/description&gt;</v>
      </c>
      <c r="T303" s="313" t="str">
        <v>&lt;/description&gt;</v>
      </c>
    </row>
    <row r="304" spans="18:20" x14ac:dyDescent="0.25">
      <c r="R304" s="313" t="str">
        <v>&lt;actions&gt;</v>
      </c>
      <c r="T304" s="313" t="str">
        <v>&lt;actions&gt;</v>
      </c>
    </row>
    <row r="305" spans="18:20" x14ac:dyDescent="0.25">
      <c r="R305" s="313" t="str">
        <v/>
      </c>
    </row>
    <row r="306" spans="18:20" x14ac:dyDescent="0.25">
      <c r="R306" s="313" t="str">
        <v>&lt;input value="101[enter][tab][tab]041323[tab]CAS[enter][enter]" row="5" col="20" movecursor="true" xlatehostkeys="true" encrypted="false" /&gt;</v>
      </c>
      <c r="T306" s="313" t="str" cm="1">
        <f t="array" ref="T306:T311">+T268:T273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07" spans="18:20" x14ac:dyDescent="0.25">
      <c r="R307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07" s="313" t="str">
        <v>&lt;input value="[field+][field+][tab][tab][field+][field+][field+][field+][field+][tab][tab][tab]" row="0" col="0" movecursor="true" xlatehostkeys="true" encrypted="false" /&gt;</v>
      </c>
    </row>
    <row r="308" spans="18:20" x14ac:dyDescent="0.25">
      <c r="R308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08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09" spans="18:20" x14ac:dyDescent="0.25">
      <c r="R309" s="313" t="str">
        <v xml:space="preserve">&lt;input value="ANN01[tab][tab][tab][tab]&amp;=Master.OPPORTUNITY_CURRENCYISOCODEusd[enter]y" row="0" col="0" movecursor="true" xlatehostkeys="true" encrypted="false" /&gt; </v>
      </c>
      <c r="T309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310" spans="18:20" x14ac:dyDescent="0.25">
      <c r="R310" s="313" t="s">
        <v>2364</v>
      </c>
      <c r="T310" s="313" t="str">
        <v>&lt;input value="4[backtab][down]4[backtab][down]4[backtab][down]4[backtab][down]4[backtab][down]" row="0" col="0" movecursor="true" xlatehostkeys="true" encrypted="false" /&gt;</v>
      </c>
    </row>
    <row r="311" spans="18:20" x14ac:dyDescent="0.25">
      <c r="R311" s="313" t="s">
        <v>2360</v>
      </c>
      <c r="T311" s="313" t="str">
        <v>&lt;input value="4[backtab][down]4[backtab][down]4[backtab][down]4[enter]" row="0" col="0" movecursor="true" xlatehostkeys="true" encrypted="false" /&gt;</v>
      </c>
    </row>
    <row r="312" spans="18:20" x14ac:dyDescent="0.25">
      <c r="R312" s="313" t="str">
        <f>_xlfn.CONCAT($A$51,$B$13,$B$50,$D$13,$C$50,C28,$D$50,A41,$E$50)</f>
        <v>&lt;input value="[tab]&amp;=Master.OPPORTUNITY_EFFECTIVEDATESFROM[tab]&amp;=Master.OPPORTUNITY_EFFECTIVEDATESENDFINAL[tab][tab]051323[tab]10[tab]" row="0" col="0" movecursor="true" xlatehostkeys="true" encrypted="false" /&gt;</v>
      </c>
      <c r="T312" s="313" t="str" cm="1">
        <f t="array" ref="T312:T321">+R312:R321</f>
        <v>&lt;input value="[tab]&amp;=Master.OPPORTUNITY_EFFECTIVEDATESFROM[tab]&amp;=Master.OPPORTUNITY_EFFECTIVEDATESENDFINAL[tab][tab]051323[tab]10[tab]" row="0" col="0" movecursor="true" xlatehostkeys="true" encrypted="false" /&gt;</v>
      </c>
    </row>
    <row r="313" spans="18:20" x14ac:dyDescent="0.25">
      <c r="R313" s="313" t="str">
        <f>_xlfn.CONCAT($A$51,$B$13,$B$50,$D$13,$C$50,C29,$D$50,A41,$E$50)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3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4" spans="18:20" x14ac:dyDescent="0.25">
      <c r="R314" s="313" t="str">
        <f>_xlfn.CONCAT($A$51,$B$13,$B$50,$D$13,$C$50,C30,$D$50,A41,$E$50)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4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5" spans="18:20" x14ac:dyDescent="0.25">
      <c r="R315" s="313" t="str">
        <f>_xlfn.CONCAT($A$51,$B$13,$B$50,$D$13,$C$50,C31,$D$50,A41,$E$50)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5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6" spans="18:20" x14ac:dyDescent="0.25">
      <c r="R316" s="313" t="str">
        <f>_xlfn.CONCAT($A$51,$B$13,$B$50,$D$13,$C$50,C32,$D$50,A41,$E$50)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6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7" spans="18:20" x14ac:dyDescent="0.25">
      <c r="R317" s="313" t="str">
        <f>_xlfn.CONCAT($A$51,$B$13,$B$50,$D$13,$C$50,C33,$D$50,A41,$E$50)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7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8" spans="18:20" x14ac:dyDescent="0.25">
      <c r="R318" s="313" t="str">
        <f>_xlfn.CONCAT($A$51,$B$13,$B$50,$D$13,$C$50,C34,$D$50,A41,$E$50)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8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9" spans="18:20" x14ac:dyDescent="0.25">
      <c r="R319" s="313" t="str">
        <f>_xlfn.CONCAT($A$51,$B$13,$B$50,$D$13,$C$50,C35,$D$50,A41,$E$50)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9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20" spans="18:20" x14ac:dyDescent="0.25">
      <c r="R320" s="313" t="str">
        <f>_xlfn.CONCAT($A$51,$B$13,$B$50,$D$13,$C$50,C36,$D$50,A41,$E$50)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20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21" spans="18:20" x14ac:dyDescent="0.25">
      <c r="R321" s="313" t="str">
        <f>+_xlfn.CONCAT($A$52,B13,$B$51,D13,$C$51,C37,$B$51,A41,$D$51)</f>
        <v>&lt;input value="[tab]&amp;=Master.OPPORTUNITY_EFFECTIVEDATESFROM[tab]&amp;=Master.OPPORTUNITY_EFFECTIVEDATESENDFINAL[tab][tab][tab]10[enter][enter][enter][enter]" row="0" col="0" movecursor="true" xlatehostkeys="true" encrypted="false" /&gt;</v>
      </c>
      <c r="T321" s="313" t="str">
        <v>&lt;input value="[tab]&amp;=Master.OPPORTUNITY_EFFECTIVEDATESFROM[tab]&amp;=Master.OPPORTUNITY_EFFECTIVEDATESENDFINAL[tab][tab][tab]10[enter][enter][enter][enter]" row="0" col="0" movecursor="true" xlatehostkeys="true" encrypted="false" /&gt;</v>
      </c>
    </row>
    <row r="322" spans="18:20" x14ac:dyDescent="0.25">
      <c r="R322" s="313" t="str" cm="1">
        <f t="array" ref="R322:R335">+R14:R27</f>
        <v>&lt;input value="[enter]y[down][left][left][left][left]2[enter][pf6]" row="0" col="0" movecursor="true" xlatehostkeys="true" encrypted="false" /&gt;</v>
      </c>
      <c r="T322" s="313" t="str" cm="1">
        <f t="array" ref="T322:T327">+_xlfn.ANCHORARRAY(T283)</f>
        <v>&lt;input value="[enter][down][backtab]4[enter][enter][down][backtab]2[enter][pf6][down][down][down][backtab]" row="0" col="0" movecursor="true" xlatehostkeys="true" encrypted="false" /&gt;</v>
      </c>
    </row>
    <row r="323" spans="18:20" x14ac:dyDescent="0.25">
      <c r="R323" s="313" t="str">
        <v>&lt;input value="&amp;=Master.OPPORTUNITY_GENIUS_SIC_ID[tab][tab][tab][tab][tab][enter][enter]" row="8" col="19" movecursor="true" xlatehostkeys="true" encrypted="false" /&gt;</v>
      </c>
      <c r="T323" s="313" t="str">
        <v>&lt;input value="&amp;=Master.OPPORTUNITY_GENIUS_SIC_ID[tab]0[tab][tab][tab][tab][enter][enter][down][down][down][down][backtab]" row="8" col="19" movecursor="true" xlatehostkeys="true" encrypted="false" /&gt;</v>
      </c>
    </row>
    <row r="324" spans="18:20" x14ac:dyDescent="0.25">
      <c r="R32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32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325" spans="18:20" x14ac:dyDescent="0.25">
      <c r="R325" s="313" t="str">
        <v>&lt;input value="[enter][enter][enter][enter][enter][enter][enter][enter]" row="12" col="02" movecursor="true" xlatehostkeys="true" encrypted="false" /&gt;</v>
      </c>
      <c r="T325" s="313" t="str">
        <v>&lt;input value="[enter][enter][enter][enter][enter][enter][enter][enter]" row="12" col="02" movecursor="true" xlatehostkeys="true" encrypted="false" /&gt;</v>
      </c>
    </row>
    <row r="326" spans="18:20" x14ac:dyDescent="0.25">
      <c r="R326" s="313" t="str">
        <v>&lt;input value="[tab][tab][tab][tab][tab]2[enter]2[enter][tab]4[tab][tab][tab][tab]4[tab][tab][tab][tab]4" row="12" col="02" movecursor="true" xlatehostkeys="true" encrypted="false" /&gt;</v>
      </c>
      <c r="T326" s="313" t="str">
        <v/>
      </c>
    </row>
    <row r="327" spans="18:20" x14ac:dyDescent="0.25">
      <c r="R327" s="313" t="str">
        <v>&lt;input value="[enter][enter][enter][enter][enter][enter][enter]" row="12" col="02" movecursor="true" xlatehostkeys="true" encrypted="false" /&gt;</v>
      </c>
      <c r="T327" s="313" t="str">
        <v/>
      </c>
    </row>
    <row r="328" spans="18:20" x14ac:dyDescent="0.25">
      <c r="R328" s="313" t="str">
        <v/>
      </c>
    </row>
    <row r="329" spans="18:20" x14ac:dyDescent="0.25">
      <c r="R329" s="313" t="str">
        <v>&lt;/actions&gt;</v>
      </c>
      <c r="T329" s="313" t="str" cm="1">
        <f t="array" ref="T329:T335">+R329:R335</f>
        <v>&lt;/actions&gt;</v>
      </c>
    </row>
    <row r="330" spans="18:20" x14ac:dyDescent="0.25">
      <c r="R330" s="313" t="str">
        <v>&lt;nextscreens timeout="0" &gt;</v>
      </c>
      <c r="T330" s="313" t="str">
        <v>&lt;nextscreens timeout="0" &gt;</v>
      </c>
    </row>
    <row r="331" spans="18:20" x14ac:dyDescent="0.25">
      <c r="R331" s="313" t="str">
        <v>&lt;/nextscreens&gt;</v>
      </c>
      <c r="T331" s="313" t="str">
        <v>&lt;/nextscreens&gt;</v>
      </c>
    </row>
    <row r="332" spans="18:20" x14ac:dyDescent="0.25">
      <c r="R332" s="313" t="str">
        <v>&lt;recolimit value="10000" /&gt;</v>
      </c>
      <c r="T332" s="313" t="str">
        <v>&lt;recolimit value="10000" /&gt;</v>
      </c>
    </row>
    <row r="333" spans="18:20" x14ac:dyDescent="0.25">
      <c r="R333" s="313" t="str">
        <v>&lt;/screen&gt;</v>
      </c>
      <c r="T333" s="313" t="str">
        <v>&lt;/screen&gt;</v>
      </c>
    </row>
    <row r="334" spans="18:20" x14ac:dyDescent="0.25">
      <c r="R334" s="313" t="str">
        <v/>
      </c>
      <c r="T334" s="313" t="str">
        <v/>
      </c>
    </row>
    <row r="335" spans="18:20" x14ac:dyDescent="0.25">
      <c r="R335" s="313" t="str">
        <v>&lt;/HAScript&gt;</v>
      </c>
      <c r="T335" s="313" t="str">
        <v>&lt;/HAScript&gt;</v>
      </c>
    </row>
    <row r="337" spans="18:20" x14ac:dyDescent="0.25">
      <c r="R337" s="313" t="str" cm="1">
        <f t="array" ref="R337:R348">+R1:R12</f>
        <v>&lt;HAScript name="EMISION CHILE MARINE" description="" timeout="60000" pausetime="800" promptall="true" blockinput="false" author="" creationdate="" supressclearevents="false" usevars="false"</v>
      </c>
      <c r="T337" s="313" t="str" cm="1">
        <f t="array" ref="T337:T343">+R337:R343</f>
        <v>&lt;HAScript name="EMISION CHILE MARINE" description="" timeout="60000" pausetime="800" promptall="true" blockinput="false" author="" creationdate="" supressclearevents="false" usevars="false"</v>
      </c>
    </row>
    <row r="338" spans="18:20" x14ac:dyDescent="0.25">
      <c r="R338" s="313" t="str">
        <v>ignorepauseforenhancedtn="true" delayifnotenhancedtn="0" ignorepausetimeforenhancedtn="true" continueontimeout="false"&gt;</v>
      </c>
      <c r="T338" s="313" t="str">
        <v>ignorepauseforenhancedtn="true" delayifnotenhancedtn="0" ignorepausetimeforenhancedtn="true" continueontimeout="false"&gt;</v>
      </c>
    </row>
    <row r="339" spans="18:20" x14ac:dyDescent="0.25">
      <c r="R339" s="313" t="str">
        <v>&lt;screen name="Screen1" entryscreen="false" exitscreen="true" transient="true"&gt;</v>
      </c>
      <c r="T339" s="313" t="str">
        <v>&lt;screen name="Screen1" entryscreen="false" exitscreen="true" transient="true"&gt;</v>
      </c>
    </row>
    <row r="340" spans="18:20" x14ac:dyDescent="0.25">
      <c r="R340" s="313" t="str">
        <v>&lt;description &gt;</v>
      </c>
      <c r="T340" s="313" t="str">
        <v>&lt;description &gt;</v>
      </c>
    </row>
    <row r="341" spans="18:20" x14ac:dyDescent="0.25">
      <c r="R341" s="313" t="str">
        <v>&lt;oia status="NOTINHIBITED" optional="false" invertmatch="false" /&gt;</v>
      </c>
      <c r="T341" s="313" t="str">
        <v>&lt;oia status="NOTINHIBITED" optional="false" invertmatch="false" /&gt;</v>
      </c>
    </row>
    <row r="342" spans="18:20" x14ac:dyDescent="0.25">
      <c r="R342" s="313" t="str">
        <v>&lt;/description&gt;</v>
      </c>
      <c r="T342" s="313" t="str">
        <v>&lt;/description&gt;</v>
      </c>
    </row>
    <row r="343" spans="18:20" x14ac:dyDescent="0.25">
      <c r="R343" s="313" t="str">
        <v>&lt;actions&gt;</v>
      </c>
      <c r="T343" s="313" t="str">
        <v>&lt;actions&gt;</v>
      </c>
    </row>
    <row r="344" spans="18:20" x14ac:dyDescent="0.25">
      <c r="R344" s="313" t="str">
        <v/>
      </c>
    </row>
    <row r="345" spans="18:20" x14ac:dyDescent="0.25">
      <c r="R345" s="313" t="str">
        <v>&lt;input value="101[enter][tab][tab]041323[tab]CAS[enter][enter]" row="5" col="20" movecursor="true" xlatehostkeys="true" encrypted="false" /&gt;</v>
      </c>
      <c r="T345" s="313" t="str" cm="1">
        <f t="array" ref="T345:T350">+_xlfn.ANCHORARRAY(T306)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46" spans="18:20" x14ac:dyDescent="0.25">
      <c r="R346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46" s="313" t="str">
        <v>&lt;input value="[field+][field+][tab][tab][field+][field+][field+][field+][field+][tab][tab][tab]" row="0" col="0" movecursor="true" xlatehostkeys="true" encrypted="false" /&gt;</v>
      </c>
    </row>
    <row r="347" spans="18:20" x14ac:dyDescent="0.25">
      <c r="R347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47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48" spans="18:20" x14ac:dyDescent="0.25">
      <c r="R348" s="313" t="str">
        <v xml:space="preserve">&lt;input value="ANN01[tab][tab][tab][tab]&amp;=Master.OPPORTUNITY_CURRENCYISOCODEusd[enter]y" row="0" col="0" movecursor="true" xlatehostkeys="true" encrypted="false" /&gt; </v>
      </c>
      <c r="T348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349" spans="18:20" x14ac:dyDescent="0.25">
      <c r="R349" s="313" t="s">
        <v>2364</v>
      </c>
      <c r="T349" s="313" t="str">
        <v>&lt;input value="4[backtab][down]4[backtab][down]4[backtab][down]4[backtab][down]4[backtab][down]" row="0" col="0" movecursor="true" xlatehostkeys="true" encrypted="false" /&gt;</v>
      </c>
    </row>
    <row r="350" spans="18:20" x14ac:dyDescent="0.25">
      <c r="R350" s="313" t="s">
        <v>2361</v>
      </c>
      <c r="T350" s="313" t="str">
        <v>&lt;input value="4[backtab][down]4[backtab][down]4[backtab][down]4[enter]" row="0" col="0" movecursor="true" xlatehostkeys="true" encrypted="false" /&gt;</v>
      </c>
    </row>
    <row r="351" spans="18:20" x14ac:dyDescent="0.25">
      <c r="R351" s="313" t="str">
        <f>_xlfn.CONCAT($A$51,$B$13,$B$50,$D$13,$C$50,C28,$D$50,A43,$E$50)</f>
        <v>&lt;input value="[tab]&amp;=Master.OPPORTUNITY_EFFECTIVEDATESFROM[tab]&amp;=Master.OPPORTUNITY_EFFECTIVEDATESENDFINAL[tab][tab]051323[tab]9.1[tab]" row="0" col="0" movecursor="true" xlatehostkeys="true" encrypted="false" /&gt;</v>
      </c>
      <c r="T351" s="313" t="str" cm="1">
        <f t="array" ref="T351:T361">+R351:R361</f>
        <v>&lt;input value="[tab]&amp;=Master.OPPORTUNITY_EFFECTIVEDATESFROM[tab]&amp;=Master.OPPORTUNITY_EFFECTIVEDATESENDFINAL[tab][tab]051323[tab]9.1[tab]" row="0" col="0" movecursor="true" xlatehostkeys="true" encrypted="false" /&gt;</v>
      </c>
    </row>
    <row r="352" spans="18:20" x14ac:dyDescent="0.25">
      <c r="R352" s="313" t="str">
        <f>_xlfn.CONCAT($A$51,$B$13,$B$50,$D$13,$C$50,C29,$D$50,A42,$E$50)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2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3" spans="18:20" x14ac:dyDescent="0.25">
      <c r="R353" s="313" t="str">
        <f>_xlfn.CONCAT($A$51,$B$13,$B$50,$D$13,$C$50,C30,$D$50,A42,$E$50)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3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4" spans="18:20" x14ac:dyDescent="0.25">
      <c r="R354" s="313" t="str">
        <f>_xlfn.CONCAT($A$51,$B$13,$B$50,$D$13,$C$50,C31,$D$50,A42,$E$50)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4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5" spans="18:20" x14ac:dyDescent="0.25">
      <c r="R355" s="313" t="str">
        <f>_xlfn.CONCAT($A$51,$B$13,$B$50,$D$13,$C$50,C32,$D$50,A42,$E$50)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5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6" spans="18:20" x14ac:dyDescent="0.25">
      <c r="R356" s="313" t="str">
        <f>_xlfn.CONCAT($A$51,$B$13,$B$50,$D$13,$C$50,C33,$D$50,A42,$E$50)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6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7" spans="18:20" x14ac:dyDescent="0.25">
      <c r="R357" s="313" t="str">
        <f>_xlfn.CONCAT($A$51,$B$13,$B$50,$D$13,$C$50,C34,$D$50,A42,$E$50)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7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8" spans="18:20" x14ac:dyDescent="0.25">
      <c r="R358" s="313" t="str">
        <f>_xlfn.CONCAT($A$51,$B$13,$B$50,$D$13,$C$50,C35,$D$50,A42,$E$50)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8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9" spans="18:20" x14ac:dyDescent="0.25">
      <c r="R359" s="313" t="str">
        <f>_xlfn.CONCAT($A$51,$B$13,$B$50,$D$13,$C$50,C36,$D$50,A42,$E$50)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9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60" spans="18:20" x14ac:dyDescent="0.25">
      <c r="R360" s="313" t="str">
        <f>_xlfn.CONCAT($A$51,$B$13,$B$50,$D$13,$C$50,C37,$D$50,A42,$E$50)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60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61" spans="18:20" x14ac:dyDescent="0.25">
      <c r="R361" s="313" t="str">
        <f>+_xlfn.CONCAT($A$52,B13,$B$51,D13,$C$51,C38,$B$51,A42,$D$51)</f>
        <v>&lt;input value="[tab]&amp;=Master.OPPORTUNITY_EFFECTIVEDATESFROM[tab]&amp;=Master.OPPORTUNITY_EFFECTIVEDATESENDFINAL[tab][tab][tab]9.09[enter][enter][enter][enter]" row="0" col="0" movecursor="true" xlatehostkeys="true" encrypted="false" /&gt;</v>
      </c>
      <c r="T361" s="313" t="str">
        <v>&lt;input value="[tab]&amp;=Master.OPPORTUNITY_EFFECTIVEDATESFROM[tab]&amp;=Master.OPPORTUNITY_EFFECTIVEDATESENDFINAL[tab][tab][tab]9.09[enter][enter][enter][enter]" row="0" col="0" movecursor="true" xlatehostkeys="true" encrypted="false" /&gt;</v>
      </c>
    </row>
    <row r="362" spans="18:20" x14ac:dyDescent="0.25">
      <c r="R362" s="313" t="str" cm="1">
        <f t="array" ref="R362:R375">+R14:R27</f>
        <v>&lt;input value="[enter]y[down][left][left][left][left]2[enter][pf6]" row="0" col="0" movecursor="true" xlatehostkeys="true" encrypted="false" /&gt;</v>
      </c>
      <c r="T362" s="313" t="str" cm="1">
        <f t="array" ref="T362:T367">+_xlfn.ANCHORARRAY(T322)</f>
        <v>&lt;input value="[enter][down][backtab]4[enter][enter][down][backtab]2[enter][pf6][down][down][down][backtab]" row="0" col="0" movecursor="true" xlatehostkeys="true" encrypted="false" /&gt;</v>
      </c>
    </row>
    <row r="363" spans="18:20" x14ac:dyDescent="0.25">
      <c r="R363" s="313" t="str">
        <v>&lt;input value="&amp;=Master.OPPORTUNITY_GENIUS_SIC_ID[tab][tab][tab][tab][tab][enter][enter]" row="8" col="19" movecursor="true" xlatehostkeys="true" encrypted="false" /&gt;</v>
      </c>
      <c r="T363" s="313" t="str">
        <v>&lt;input value="&amp;=Master.OPPORTUNITY_GENIUS_SIC_ID[tab]0[tab][tab][tab][tab][enter][enter][down][down][down][down][backtab]" row="8" col="19" movecursor="true" xlatehostkeys="true" encrypted="false" /&gt;</v>
      </c>
    </row>
    <row r="364" spans="18:20" x14ac:dyDescent="0.25">
      <c r="R36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36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365" spans="18:20" x14ac:dyDescent="0.25">
      <c r="R365" s="313" t="str">
        <v>&lt;input value="[enter][enter][enter][enter][enter][enter][enter][enter]" row="12" col="02" movecursor="true" xlatehostkeys="true" encrypted="false" /&gt;</v>
      </c>
      <c r="T365" s="313" t="str">
        <v>&lt;input value="[enter][enter][enter][enter][enter][enter][enter][enter]" row="12" col="02" movecursor="true" xlatehostkeys="true" encrypted="false" /&gt;</v>
      </c>
    </row>
    <row r="366" spans="18:20" x14ac:dyDescent="0.25">
      <c r="R366" s="313" t="str">
        <v>&lt;input value="[tab][tab][tab][tab][tab]2[enter]2[enter][tab]4[tab][tab][tab][tab]4[tab][tab][tab][tab]4" row="12" col="02" movecursor="true" xlatehostkeys="true" encrypted="false" /&gt;</v>
      </c>
      <c r="T366" s="313" t="str">
        <v/>
      </c>
    </row>
    <row r="367" spans="18:20" x14ac:dyDescent="0.25">
      <c r="R367" s="313" t="str">
        <v>&lt;input value="[enter][enter][enter][enter][enter][enter][enter]" row="12" col="02" movecursor="true" xlatehostkeys="true" encrypted="false" /&gt;</v>
      </c>
      <c r="T367" s="313" t="str">
        <v/>
      </c>
    </row>
    <row r="368" spans="18:20" x14ac:dyDescent="0.25">
      <c r="R368" s="313" t="str">
        <v/>
      </c>
    </row>
    <row r="369" spans="18:20" x14ac:dyDescent="0.25">
      <c r="R369" s="313" t="str">
        <v>&lt;/actions&gt;</v>
      </c>
      <c r="T369" s="313" t="str" cm="1">
        <f t="array" ref="T369:T375">+R369:R375</f>
        <v>&lt;/actions&gt;</v>
      </c>
    </row>
    <row r="370" spans="18:20" x14ac:dyDescent="0.25">
      <c r="R370" s="313" t="str">
        <v>&lt;nextscreens timeout="0" &gt;</v>
      </c>
      <c r="T370" s="313" t="str">
        <v>&lt;nextscreens timeout="0" &gt;</v>
      </c>
    </row>
    <row r="371" spans="18:20" x14ac:dyDescent="0.25">
      <c r="R371" s="313" t="str">
        <v>&lt;/nextscreens&gt;</v>
      </c>
      <c r="T371" s="313" t="str">
        <v>&lt;/nextscreens&gt;</v>
      </c>
    </row>
    <row r="372" spans="18:20" x14ac:dyDescent="0.25">
      <c r="R372" s="313" t="str">
        <v>&lt;recolimit value="10000" /&gt;</v>
      </c>
      <c r="T372" s="313" t="str">
        <v>&lt;recolimit value="10000" /&gt;</v>
      </c>
    </row>
    <row r="373" spans="18:20" x14ac:dyDescent="0.25">
      <c r="R373" s="313" t="str">
        <v>&lt;/screen&gt;</v>
      </c>
      <c r="T373" s="313" t="str">
        <v>&lt;/screen&gt;</v>
      </c>
    </row>
    <row r="374" spans="18:20" x14ac:dyDescent="0.25">
      <c r="R374" s="313" t="str">
        <v/>
      </c>
      <c r="T374" s="313" t="str">
        <v/>
      </c>
    </row>
    <row r="375" spans="18:20" x14ac:dyDescent="0.25">
      <c r="R375" s="313" t="str">
        <v>&lt;/HAScript&gt;</v>
      </c>
      <c r="T375" s="313" t="str">
        <v>&lt;/HAScript&gt;</v>
      </c>
    </row>
    <row r="377" spans="18:20" x14ac:dyDescent="0.25">
      <c r="R377" s="313" t="str" cm="1">
        <f t="array" ref="R377:R388">+R1:R12</f>
        <v>&lt;HAScript name="EMISION CHILE MARINE" description="" timeout="60000" pausetime="800" promptall="true" blockinput="false" author="" creationdate="" supressclearevents="false" usevars="false"</v>
      </c>
      <c r="T377" s="313" t="str" cm="1">
        <f t="array" ref="T377:T383">+R377:R383</f>
        <v>&lt;HAScript name="EMISION CHILE MARINE" description="" timeout="60000" pausetime="800" promptall="true" blockinput="false" author="" creationdate="" supressclearevents="false" usevars="false"</v>
      </c>
    </row>
    <row r="378" spans="18:20" x14ac:dyDescent="0.25">
      <c r="R378" s="313" t="str">
        <v>ignorepauseforenhancedtn="true" delayifnotenhancedtn="0" ignorepausetimeforenhancedtn="true" continueontimeout="false"&gt;</v>
      </c>
      <c r="T378" s="313" t="str">
        <v>ignorepauseforenhancedtn="true" delayifnotenhancedtn="0" ignorepausetimeforenhancedtn="true" continueontimeout="false"&gt;</v>
      </c>
    </row>
    <row r="379" spans="18:20" x14ac:dyDescent="0.25">
      <c r="R379" s="313" t="str">
        <v>&lt;screen name="Screen1" entryscreen="false" exitscreen="true" transient="true"&gt;</v>
      </c>
      <c r="T379" s="313" t="str">
        <v>&lt;screen name="Screen1" entryscreen="false" exitscreen="true" transient="true"&gt;</v>
      </c>
    </row>
    <row r="380" spans="18:20" x14ac:dyDescent="0.25">
      <c r="R380" s="313" t="str">
        <v>&lt;description &gt;</v>
      </c>
      <c r="T380" s="313" t="str">
        <v>&lt;description &gt;</v>
      </c>
    </row>
    <row r="381" spans="18:20" x14ac:dyDescent="0.25">
      <c r="R381" s="313" t="str">
        <v>&lt;oia status="NOTINHIBITED" optional="false" invertmatch="false" /&gt;</v>
      </c>
      <c r="T381" s="313" t="str">
        <v>&lt;oia status="NOTINHIBITED" optional="false" invertmatch="false" /&gt;</v>
      </c>
    </row>
    <row r="382" spans="18:20" x14ac:dyDescent="0.25">
      <c r="R382" s="313" t="str">
        <v>&lt;/description&gt;</v>
      </c>
      <c r="T382" s="313" t="str">
        <v>&lt;/description&gt;</v>
      </c>
    </row>
    <row r="383" spans="18:20" x14ac:dyDescent="0.25">
      <c r="R383" s="313" t="str">
        <v>&lt;actions&gt;</v>
      </c>
      <c r="T383" s="313" t="str">
        <v>&lt;actions&gt;</v>
      </c>
    </row>
    <row r="384" spans="18:20" x14ac:dyDescent="0.25">
      <c r="R384" s="313" t="str">
        <v/>
      </c>
    </row>
    <row r="385" spans="18:20" x14ac:dyDescent="0.25">
      <c r="R385" s="313" t="str">
        <v>&lt;input value="101[enter][tab][tab]041323[tab]CAS[enter][enter]" row="5" col="20" movecursor="true" xlatehostkeys="true" encrypted="false" /&gt;</v>
      </c>
      <c r="T385" s="313" t="str" cm="1">
        <f t="array" ref="T385:T390">+_xlfn.ANCHORARRAY(T345)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86" spans="18:20" x14ac:dyDescent="0.25">
      <c r="R386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86" s="313" t="str">
        <v>&lt;input value="[field+][field+][tab][tab][field+][field+][field+][field+][field+][tab][tab][tab]" row="0" col="0" movecursor="true" xlatehostkeys="true" encrypted="false" /&gt;</v>
      </c>
    </row>
    <row r="387" spans="18:20" x14ac:dyDescent="0.25">
      <c r="R387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87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88" spans="18:20" x14ac:dyDescent="0.25">
      <c r="R388" s="313" t="str">
        <v xml:space="preserve">&lt;input value="ANN01[tab][tab][tab][tab]&amp;=Master.OPPORTUNITY_CURRENCYISOCODEusd[enter]y" row="0" col="0" movecursor="true" xlatehostkeys="true" encrypted="false" /&gt; </v>
      </c>
      <c r="T388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389" spans="18:20" x14ac:dyDescent="0.25">
      <c r="R389" s="313" t="s">
        <v>2365</v>
      </c>
      <c r="T389" s="313" t="str">
        <v>&lt;input value="4[backtab][down]4[backtab][down]4[backtab][down]4[backtab][down]4[backtab][down]" row="0" col="0" movecursor="true" xlatehostkeys="true" encrypted="false" /&gt;</v>
      </c>
    </row>
    <row r="390" spans="18:20" x14ac:dyDescent="0.25">
      <c r="R390" s="313" t="s">
        <v>2361</v>
      </c>
      <c r="T390" s="313" t="str">
        <v>&lt;input value="4[backtab][down]4[backtab][down]4[backtab][down]4[enter]" row="0" col="0" movecursor="true" xlatehostkeys="true" encrypted="false" /&gt;</v>
      </c>
    </row>
    <row r="391" spans="18:20" x14ac:dyDescent="0.25">
      <c r="R391" s="313" t="str">
        <f>_xlfn.CONCAT($A$51,$B$13,$B$50,$D$13,$C$50,C28,$D$50,A45,$E$50)</f>
        <v>&lt;input value="[tab]&amp;=Master.OPPORTUNITY_EFFECTIVEDATESFROM[tab]&amp;=Master.OPPORTUNITY_EFFECTIVEDATESENDFINAL[tab][tab]051323[tab]8.37[tab]" row="0" col="0" movecursor="true" xlatehostkeys="true" encrypted="false" /&gt;</v>
      </c>
      <c r="T391" s="313" t="str" cm="1">
        <f t="array" ref="T391:T402">+R391:R402</f>
        <v>&lt;input value="[tab]&amp;=Master.OPPORTUNITY_EFFECTIVEDATESFROM[tab]&amp;=Master.OPPORTUNITY_EFFECTIVEDATESENDFINAL[tab][tab]051323[tab]8.37[tab]" row="0" col="0" movecursor="true" xlatehostkeys="true" encrypted="false" /&gt;</v>
      </c>
    </row>
    <row r="392" spans="18:20" x14ac:dyDescent="0.25">
      <c r="R392" s="313" t="str">
        <f>_xlfn.CONCAT($A$51,$B$13,$B$50,$D$13,$C$50,C29,$D$50,A44,$E$50)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2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3" spans="18:20" x14ac:dyDescent="0.25">
      <c r="R393" s="313" t="str">
        <f>_xlfn.CONCAT($A$51,$B$13,$B$50,$D$13,$C$50,C30,$D$50,A44,$E$50)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3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4" spans="18:20" x14ac:dyDescent="0.25">
      <c r="R394" s="313" t="str">
        <f>_xlfn.CONCAT($A$51,$B$13,$B$50,$D$13,$C$50,C30,$D$50,A44,$E$50)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4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5" spans="18:20" x14ac:dyDescent="0.25">
      <c r="R395" s="313" t="str">
        <f>_xlfn.CONCAT($A$51,$B$13,$B$50,$D$13,$C$50,C31,$D$50,A44,$E$50)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5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6" spans="18:20" x14ac:dyDescent="0.25">
      <c r="R396" s="313" t="str">
        <f>_xlfn.CONCAT($A$51,$B$13,$B$50,$D$13,$C$50,C32,$D$50,A44,$E$50)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6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7" spans="18:20" x14ac:dyDescent="0.25">
      <c r="R397" s="313" t="str">
        <f>_xlfn.CONCAT($A$51,$B$13,$B$50,$D$13,$C$50,C33,$D$50,A44,$E$50)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7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8" spans="18:20" x14ac:dyDescent="0.25">
      <c r="R398" s="313" t="str">
        <f>_xlfn.CONCAT($A$51,$B$13,$B$50,$D$13,$C$50,C34,$D$50,A44,$E$50)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8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9" spans="18:20" x14ac:dyDescent="0.25">
      <c r="R399" s="313" t="str">
        <f>_xlfn.CONCAT($A$51,$B$13,$B$50,$D$13,$C$50,C35,$D$50,A44,$E$50)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9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0" spans="18:20" x14ac:dyDescent="0.25">
      <c r="R400" s="313" t="str">
        <f>_xlfn.CONCAT($A$51,$B$13,$B$50,$D$13,$C$50,C36,$D$50,A44,$E$50)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400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1" spans="18:20" x14ac:dyDescent="0.25">
      <c r="R401" s="313" t="str">
        <f>_xlfn.CONCAT($A$51,$B$13,$B$50,$D$13,$C$50,C37,$D$50,A44,$E$50)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401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2" spans="18:20" x14ac:dyDescent="0.25">
      <c r="R402" s="313" t="str">
        <f>+_xlfn.CONCAT($A$52,B13,$B$51,D13,$C$51,C39,$B$51,A44,$D$51)</f>
        <v>&lt;input value="[tab]&amp;=Master.OPPORTUNITY_EFFECTIVEDATESFROM[tab]&amp;=Master.OPPORTUNITY_EFFECTIVEDATESENDFINAL[tab][tab][tab]8.33[enter][enter][enter][enter]" row="0" col="0" movecursor="true" xlatehostkeys="true" encrypted="false" /&gt;</v>
      </c>
      <c r="T402" s="313" t="str">
        <v>&lt;input value="[tab]&amp;=Master.OPPORTUNITY_EFFECTIVEDATESFROM[tab]&amp;=Master.OPPORTUNITY_EFFECTIVEDATESENDFINAL[tab][tab][tab]8.33[enter][enter][enter][enter]" row="0" col="0" movecursor="true" xlatehostkeys="true" encrypted="false" /&gt;</v>
      </c>
    </row>
    <row r="403" spans="18:20" x14ac:dyDescent="0.25">
      <c r="R403" s="313" t="str" cm="1">
        <f t="array" ref="R403:R416">+R14:R27</f>
        <v>&lt;input value="[enter]y[down][left][left][left][left]2[enter][pf6]" row="0" col="0" movecursor="true" xlatehostkeys="true" encrypted="false" /&gt;</v>
      </c>
      <c r="T403" s="313" t="str" cm="1">
        <f t="array" ref="T403:T408">+_xlfn.ANCHORARRAY(T362)</f>
        <v>&lt;input value="[enter][down][backtab]4[enter][enter][down][backtab]2[enter][pf6][down][down][down][backtab]" row="0" col="0" movecursor="true" xlatehostkeys="true" encrypted="false" /&gt;</v>
      </c>
    </row>
    <row r="404" spans="18:20" x14ac:dyDescent="0.25">
      <c r="R404" s="313" t="str">
        <v>&lt;input value="&amp;=Master.OPPORTUNITY_GENIUS_SIC_ID[tab][tab][tab][tab][tab][enter][enter]" row="8" col="19" movecursor="true" xlatehostkeys="true" encrypted="false" /&gt;</v>
      </c>
      <c r="T404" s="313" t="str">
        <v>&lt;input value="&amp;=Master.OPPORTUNITY_GENIUS_SIC_ID[tab]0[tab][tab][tab][tab][enter][enter][down][down][down][down][backtab]" row="8" col="19" movecursor="true" xlatehostkeys="true" encrypted="false" /&gt;</v>
      </c>
    </row>
    <row r="405" spans="18:20" x14ac:dyDescent="0.25">
      <c r="R40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0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06" spans="18:20" x14ac:dyDescent="0.25">
      <c r="R406" s="313" t="str">
        <v>&lt;input value="[enter][enter][enter][enter][enter][enter][enter][enter]" row="12" col="02" movecursor="true" xlatehostkeys="true" encrypted="false" /&gt;</v>
      </c>
      <c r="T406" s="313" t="str">
        <v>&lt;input value="[enter][enter][enter][enter][enter][enter][enter][enter]" row="12" col="02" movecursor="true" xlatehostkeys="true" encrypted="false" /&gt;</v>
      </c>
    </row>
    <row r="407" spans="18:20" x14ac:dyDescent="0.25">
      <c r="R407" s="313" t="str">
        <v>&lt;input value="[tab][tab][tab][tab][tab]2[enter]2[enter][tab]4[tab][tab][tab][tab]4[tab][tab][tab][tab]4" row="12" col="02" movecursor="true" xlatehostkeys="true" encrypted="false" /&gt;</v>
      </c>
      <c r="T407" s="313" t="str">
        <v/>
      </c>
    </row>
    <row r="408" spans="18:20" x14ac:dyDescent="0.25">
      <c r="R408" s="313" t="str">
        <v>&lt;input value="[enter][enter][enter][enter][enter][enter][enter]" row="12" col="02" movecursor="true" xlatehostkeys="true" encrypted="false" /&gt;</v>
      </c>
      <c r="T408" s="313" t="str">
        <v/>
      </c>
    </row>
    <row r="409" spans="18:20" x14ac:dyDescent="0.25">
      <c r="R409" s="313" t="str">
        <v/>
      </c>
    </row>
    <row r="410" spans="18:20" x14ac:dyDescent="0.25">
      <c r="R410" s="313" t="str">
        <v>&lt;/actions&gt;</v>
      </c>
      <c r="T410" s="313" t="str" cm="1">
        <f t="array" ref="T410:T416">+R410:R416</f>
        <v>&lt;/actions&gt;</v>
      </c>
    </row>
    <row r="411" spans="18:20" x14ac:dyDescent="0.25">
      <c r="R411" s="313" t="str">
        <v>&lt;nextscreens timeout="0" &gt;</v>
      </c>
      <c r="T411" s="313" t="str">
        <v>&lt;nextscreens timeout="0" &gt;</v>
      </c>
    </row>
    <row r="412" spans="18:20" x14ac:dyDescent="0.25">
      <c r="R412" s="313" t="str">
        <v>&lt;/nextscreens&gt;</v>
      </c>
      <c r="T412" s="313" t="str">
        <v>&lt;/nextscreens&gt;</v>
      </c>
    </row>
    <row r="413" spans="18:20" x14ac:dyDescent="0.25">
      <c r="R413" s="313" t="str">
        <v>&lt;recolimit value="10000" /&gt;</v>
      </c>
      <c r="T413" s="313" t="str">
        <v>&lt;recolimit value="10000" /&gt;</v>
      </c>
    </row>
    <row r="414" spans="18:20" x14ac:dyDescent="0.25">
      <c r="R414" s="313" t="str">
        <v>&lt;/screen&gt;</v>
      </c>
      <c r="T414" s="313" t="str">
        <v>&lt;/screen&gt;</v>
      </c>
    </row>
    <row r="415" spans="18:20" x14ac:dyDescent="0.25">
      <c r="R415" s="313" t="str">
        <v/>
      </c>
      <c r="T415" s="313" t="str">
        <v/>
      </c>
    </row>
    <row r="416" spans="18:20" x14ac:dyDescent="0.25">
      <c r="R416" s="313" t="str">
        <v>&lt;/HAScript&gt;</v>
      </c>
      <c r="T416" s="313" t="str">
        <v>&lt;/HAScript&gt;</v>
      </c>
    </row>
    <row r="418" spans="18:20" x14ac:dyDescent="0.25">
      <c r="R418" s="313" t="str" cm="1">
        <f t="array" ref="R418:R429">+R1:R12</f>
        <v>&lt;HAScript name="EMISION CHILE MARINE" description="" timeout="60000" pausetime="800" promptall="true" blockinput="false" author="" creationdate="" supressclearevents="false" usevars="false"</v>
      </c>
      <c r="T418" s="313" t="str" cm="1">
        <f t="array" ref="T418:T424">+R418:R424</f>
        <v>&lt;HAScript name="EMISION CHILE MARINE" description="" timeout="60000" pausetime="800" promptall="true" blockinput="false" author="" creationdate="" supressclearevents="false" usevars="false"</v>
      </c>
    </row>
    <row r="419" spans="18:20" x14ac:dyDescent="0.25">
      <c r="R419" s="313" t="str">
        <v>ignorepauseforenhancedtn="true" delayifnotenhancedtn="0" ignorepausetimeforenhancedtn="true" continueontimeout="false"&gt;</v>
      </c>
      <c r="T419" s="313" t="str">
        <v>ignorepauseforenhancedtn="true" delayifnotenhancedtn="0" ignorepausetimeforenhancedtn="true" continueontimeout="false"&gt;</v>
      </c>
    </row>
    <row r="420" spans="18:20" x14ac:dyDescent="0.25">
      <c r="R420" s="313" t="str">
        <v>&lt;screen name="Screen1" entryscreen="false" exitscreen="true" transient="true"&gt;</v>
      </c>
      <c r="T420" s="313" t="str">
        <v>&lt;screen name="Screen1" entryscreen="false" exitscreen="true" transient="true"&gt;</v>
      </c>
    </row>
    <row r="421" spans="18:20" x14ac:dyDescent="0.25">
      <c r="R421" s="313" t="str">
        <v>&lt;description &gt;</v>
      </c>
      <c r="T421" s="313" t="str">
        <v>&lt;description &gt;</v>
      </c>
    </row>
    <row r="422" spans="18:20" x14ac:dyDescent="0.25">
      <c r="R422" s="313" t="str">
        <v>&lt;oia status="NOTINHIBITED" optional="false" invertmatch="false" /&gt;</v>
      </c>
      <c r="T422" s="313" t="str">
        <v>&lt;oia status="NOTINHIBITED" optional="false" invertmatch="false" /&gt;</v>
      </c>
    </row>
    <row r="423" spans="18:20" x14ac:dyDescent="0.25">
      <c r="R423" s="313" t="str">
        <v>&lt;/description&gt;</v>
      </c>
      <c r="T423" s="313" t="str">
        <v>&lt;/description&gt;</v>
      </c>
    </row>
    <row r="424" spans="18:20" x14ac:dyDescent="0.25">
      <c r="R424" s="313" t="str">
        <v>&lt;actions&gt;</v>
      </c>
      <c r="T424" s="313" t="str">
        <v>&lt;actions&gt;</v>
      </c>
    </row>
    <row r="425" spans="18:20" x14ac:dyDescent="0.25">
      <c r="R425" s="313" t="str">
        <v/>
      </c>
    </row>
    <row r="426" spans="18:20" x14ac:dyDescent="0.25">
      <c r="R426" s="313" t="str">
        <v>&lt;input value="101[enter][tab][tab]041323[tab]CAS[enter][enter]" row="5" col="20" movecursor="true" xlatehostkeys="true" encrypted="false" /&gt;</v>
      </c>
      <c r="T426" s="313" t="str" cm="1">
        <f t="array" ref="T426:T431">+_xlfn.ANCHORARRAY(T385)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427" spans="18:20" x14ac:dyDescent="0.25">
      <c r="R427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427" s="313" t="str">
        <v>&lt;input value="[field+][field+][tab][tab][field+][field+][field+][field+][field+][tab][tab][tab]" row="0" col="0" movecursor="true" xlatehostkeys="true" encrypted="false" /&gt;</v>
      </c>
    </row>
    <row r="428" spans="18:20" x14ac:dyDescent="0.25">
      <c r="R428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428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429" spans="18:20" x14ac:dyDescent="0.25">
      <c r="R429" s="313" t="str">
        <v xml:space="preserve">&lt;input value="ANN01[tab][tab][tab][tab]&amp;=Master.OPPORTUNITY_CURRENCYISOCODEusd[enter]y" row="0" col="0" movecursor="true" xlatehostkeys="true" encrypted="false" /&gt; </v>
      </c>
      <c r="T429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430" spans="18:20" x14ac:dyDescent="0.25">
      <c r="R430" s="313" t="s">
        <v>2365</v>
      </c>
      <c r="T430" s="313" t="str">
        <v>&lt;input value="4[backtab][down]4[backtab][down]4[backtab][down]4[backtab][down]4[backtab][down]" row="0" col="0" movecursor="true" xlatehostkeys="true" encrypted="false" /&gt;</v>
      </c>
    </row>
    <row r="431" spans="18:20" x14ac:dyDescent="0.25">
      <c r="R431" s="313" t="s">
        <v>2362</v>
      </c>
      <c r="T431" s="313" t="str">
        <v>&lt;input value="4[backtab][down]4[backtab][down]4[backtab][down]4[enter]" row="0" col="0" movecursor="true" xlatehostkeys="true" encrypted="false" /&gt;</v>
      </c>
    </row>
    <row r="432" spans="18:20" x14ac:dyDescent="0.25">
      <c r="R432" s="313" t="str">
        <f>_xlfn.CONCAT($A$51,$B$13,$B$50,$D$13,$C$50,C28,$D$50,A46,$E$50)</f>
        <v>&lt;input value="[tab]&amp;=Master.OPPORTUNITY_EFFECTIVEDATESFROM[tab]&amp;=Master.OPPORTUNITY_EFFECTIVEDATESENDFINAL[tab][tab]051323[tab]7.72[tab]" row="0" col="0" movecursor="true" xlatehostkeys="true" encrypted="false" /&gt;</v>
      </c>
      <c r="T432" s="313" t="str" cm="1">
        <f t="array" ref="T432:T444">+R432:R444</f>
        <v>&lt;input value="[tab]&amp;=Master.OPPORTUNITY_EFFECTIVEDATESFROM[tab]&amp;=Master.OPPORTUNITY_EFFECTIVEDATESENDFINAL[tab][tab]051323[tab]7.72[tab]" row="0" col="0" movecursor="true" xlatehostkeys="true" encrypted="false" /&gt;</v>
      </c>
    </row>
    <row r="433" spans="18:20" x14ac:dyDescent="0.25">
      <c r="R433" s="313" t="str">
        <f>_xlfn.CONCAT($A$51,$B$13,$B$50,$D$13,$C$50,C29,$D$50,A47,$E$50)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3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4" spans="18:20" x14ac:dyDescent="0.25">
      <c r="R434" s="313" t="str">
        <f>_xlfn.CONCAT($A$51,$B$13,$B$50,$D$13,$C$50,C30,$D$50,A47,$E$50)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4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5" spans="18:20" x14ac:dyDescent="0.25">
      <c r="R435" s="313" t="str">
        <f>_xlfn.CONCAT($A$51,$B$13,$B$50,$D$13,$C$50,C31,$D$50,A47,$E$50)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5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6" spans="18:20" x14ac:dyDescent="0.25">
      <c r="R436" s="313" t="str">
        <f>_xlfn.CONCAT($A$51,$B$13,$B$50,$D$13,$C$50,C32,$D$50,A47,$E$50)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6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7" spans="18:20" x14ac:dyDescent="0.25">
      <c r="R437" s="313" t="str">
        <f>_xlfn.CONCAT($A$51,$B$13,$B$50,$D$13,$C$50,C33,$D$50,A47,$E$50)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7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8" spans="18:20" x14ac:dyDescent="0.25">
      <c r="R438" s="313" t="str">
        <f>_xlfn.CONCAT($A$51,$B$13,$B$50,$D$13,$C$50,C34,$D$50,A47,$E$50)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8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9" spans="18:20" x14ac:dyDescent="0.25">
      <c r="R439" s="313" t="str">
        <f>_xlfn.CONCAT($A$51,$B$13,$B$50,$D$13,$C$50,C35,$D$50,A47,$E$50)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9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0" spans="18:20" x14ac:dyDescent="0.25">
      <c r="R440" s="313" t="str">
        <f>_xlfn.CONCAT($A$51,$B$13,$B$50,$D$13,$C$50,C36,$D$50,A47,$E$50)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0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1" spans="18:20" x14ac:dyDescent="0.25">
      <c r="R441" s="313" t="str">
        <f>_xlfn.CONCAT($A$51,$B$13,$B$50,$D$13,$C$50,C37,$D$50,A47,$E$50)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1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2" spans="18:20" x14ac:dyDescent="0.25">
      <c r="R442" s="313" t="str">
        <f>_xlfn.CONCAT($A$51,$B$13,$B$50,$D$13,$C$50,C38,$D$50,A47,$E$50)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2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3" spans="18:20" x14ac:dyDescent="0.25">
      <c r="R443" s="313" t="str">
        <f>_xlfn.CONCAT($A$51,$B$13,$B$50,$D$13,$C$50,C39,$D$50,A47,$E$50)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3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4" spans="18:20" x14ac:dyDescent="0.25">
      <c r="R444" s="313" t="str">
        <f>+_xlfn.CONCAT($A$52,B13,$B$51,D13,$C$51,C40,$B$51,A47,$D$51)</f>
        <v>&lt;input value="[tab]&amp;=Master.OPPORTUNITY_EFFECTIVEDATESFROM[tab]&amp;=Master.OPPORTUNITY_EFFECTIVEDATESENDFINAL[tab][tab][tab]7.69[enter][enter][enter][enter]" row="0" col="0" movecursor="true" xlatehostkeys="true" encrypted="false" /&gt;</v>
      </c>
      <c r="T444" s="313" t="str">
        <v>&lt;input value="[tab]&amp;=Master.OPPORTUNITY_EFFECTIVEDATESFROM[tab]&amp;=Master.OPPORTUNITY_EFFECTIVEDATESENDFINAL[tab][tab][tab]7.69[enter][enter][enter][enter]" row="0" col="0" movecursor="true" xlatehostkeys="true" encrypted="false" /&gt;</v>
      </c>
    </row>
    <row r="445" spans="18:20" x14ac:dyDescent="0.25">
      <c r="R445" s="313" t="str" cm="1">
        <f t="array" ref="R445:R458">+R14:R27</f>
        <v>&lt;input value="[enter]y[down][left][left][left][left]2[enter][pf6]" row="0" col="0" movecursor="true" xlatehostkeys="true" encrypted="false" /&gt;</v>
      </c>
      <c r="T445" s="313" t="str" cm="1">
        <f t="array" ref="T445:T450">+_xlfn.ANCHORARRAY(T403)</f>
        <v>&lt;input value="[enter][down][backtab]4[enter][enter][down][backtab]2[enter][pf6][down][down][down][backtab]" row="0" col="0" movecursor="true" xlatehostkeys="true" encrypted="false" /&gt;</v>
      </c>
    </row>
    <row r="446" spans="18:20" x14ac:dyDescent="0.25">
      <c r="R446" s="313" t="str">
        <v>&lt;input value="&amp;=Master.OPPORTUNITY_GENIUS_SIC_ID[tab][tab][tab][tab][tab][enter][enter]" row="8" col="19" movecursor="true" xlatehostkeys="true" encrypted="false" /&gt;</v>
      </c>
      <c r="T446" s="313" t="str">
        <v>&lt;input value="&amp;=Master.OPPORTUNITY_GENIUS_SIC_ID[tab]0[tab][tab][tab][tab][enter][enter][down][down][down][down][backtab]" row="8" col="19" movecursor="true" xlatehostkeys="true" encrypted="false" /&gt;</v>
      </c>
    </row>
    <row r="447" spans="18:20" x14ac:dyDescent="0.25">
      <c r="R4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48" spans="18:20" x14ac:dyDescent="0.25">
      <c r="R448" s="313" t="str">
        <v>&lt;input value="[enter][enter][enter][enter][enter][enter][enter][enter]" row="12" col="02" movecursor="true" xlatehostkeys="true" encrypted="false" /&gt;</v>
      </c>
      <c r="T448" s="313" t="str">
        <v>&lt;input value="[enter][enter][enter][enter][enter][enter][enter][enter]" row="12" col="02" movecursor="true" xlatehostkeys="true" encrypted="false" /&gt;</v>
      </c>
    </row>
    <row r="449" spans="18:20" x14ac:dyDescent="0.25">
      <c r="R449" s="313" t="str">
        <v>&lt;input value="[tab][tab][tab][tab][tab]2[enter]2[enter][tab]4[tab][tab][tab][tab]4[tab][tab][tab][tab]4" row="12" col="02" movecursor="true" xlatehostkeys="true" encrypted="false" /&gt;</v>
      </c>
      <c r="T449" s="313" t="str">
        <v/>
      </c>
    </row>
    <row r="450" spans="18:20" x14ac:dyDescent="0.25">
      <c r="R450" s="313" t="str">
        <v>&lt;input value="[enter][enter][enter][enter][enter][enter][enter]" row="12" col="02" movecursor="true" xlatehostkeys="true" encrypted="false" /&gt;</v>
      </c>
      <c r="T450" s="313" t="str">
        <v/>
      </c>
    </row>
    <row r="451" spans="18:20" x14ac:dyDescent="0.25">
      <c r="R451" s="313" t="str">
        <v/>
      </c>
    </row>
    <row r="452" spans="18:20" x14ac:dyDescent="0.25">
      <c r="R452" s="313" t="str">
        <v>&lt;/actions&gt;</v>
      </c>
      <c r="T452" s="313" t="str" cm="1">
        <f t="array" ref="T452:T458">+R452:R458</f>
        <v>&lt;/actions&gt;</v>
      </c>
    </row>
    <row r="453" spans="18:20" x14ac:dyDescent="0.25">
      <c r="R453" s="313" t="str">
        <v>&lt;nextscreens timeout="0" &gt;</v>
      </c>
      <c r="T453" s="313" t="str">
        <v>&lt;nextscreens timeout="0" &gt;</v>
      </c>
    </row>
    <row r="454" spans="18:20" x14ac:dyDescent="0.25">
      <c r="R454" s="313" t="str">
        <v>&lt;/nextscreens&gt;</v>
      </c>
      <c r="T454" s="313" t="str">
        <v>&lt;/nextscreens&gt;</v>
      </c>
    </row>
    <row r="455" spans="18:20" x14ac:dyDescent="0.25">
      <c r="R455" s="313" t="str">
        <v>&lt;recolimit value="10000" /&gt;</v>
      </c>
      <c r="T455" s="313" t="str">
        <v>&lt;recolimit value="10000" /&gt;</v>
      </c>
    </row>
    <row r="456" spans="18:20" x14ac:dyDescent="0.25">
      <c r="R456" s="313" t="str">
        <v>&lt;/screen&gt;</v>
      </c>
      <c r="T456" s="313" t="str">
        <v>&lt;/screen&gt;</v>
      </c>
    </row>
    <row r="457" spans="18:20" x14ac:dyDescent="0.25">
      <c r="R457" s="313" t="str">
        <v/>
      </c>
      <c r="T457" s="313" t="str">
        <v/>
      </c>
    </row>
    <row r="458" spans="18:20" x14ac:dyDescent="0.25">
      <c r="R458" s="313" t="str">
        <v>&lt;/HAScript&gt;</v>
      </c>
      <c r="T458" s="313" t="str">
        <v>&lt;/HAScript&gt;</v>
      </c>
    </row>
  </sheetData>
  <sheetProtection algorithmName="SHA-512" hashValue="tYjvKiEUbr06q4fN2MDc6URC604ZvtWF3jZKaXzta9Nz5hZYX+ncm3WpvT+YYSTiY20LGjylXDW4XPwOVhRZ2w==" saltValue="fgdSA5vE7g3V8zd/fQ5nNw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D70F-DBCA-4A06-8F7A-2E125EC141B4}">
  <sheetPr codeName="Sheet1"/>
  <dimension ref="A15:G67"/>
  <sheetViews>
    <sheetView workbookViewId="0">
      <selection activeCell="E25" sqref="E25"/>
    </sheetView>
  </sheetViews>
  <sheetFormatPr defaultRowHeight="15" x14ac:dyDescent="0.25"/>
  <cols>
    <col min="1" max="1" width="19.875" style="313" bestFit="1" customWidth="1"/>
    <col min="2" max="2" width="34" style="313" bestFit="1" customWidth="1"/>
    <col min="3" max="3" width="9" style="313"/>
    <col min="4" max="5" width="12.5" style="315" bestFit="1" customWidth="1"/>
    <col min="6" max="6" width="9" style="313"/>
    <col min="7" max="7" width="12.5" style="315" bestFit="1" customWidth="1"/>
    <col min="8" max="16384" width="9" style="313"/>
  </cols>
  <sheetData>
    <row r="15" spans="2:2" x14ac:dyDescent="0.25">
      <c r="B15" s="314"/>
    </row>
    <row r="16" spans="2:2" x14ac:dyDescent="0.25">
      <c r="B16" s="314"/>
    </row>
    <row r="65" spans="1:1" x14ac:dyDescent="0.25">
      <c r="A65" s="313" t="s">
        <v>2297</v>
      </c>
    </row>
    <row r="66" spans="1:1" x14ac:dyDescent="0.25">
      <c r="A66" s="313" t="s">
        <v>2298</v>
      </c>
    </row>
    <row r="67" spans="1:1" x14ac:dyDescent="0.25">
      <c r="A67" s="313" t="s">
        <v>2299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J1302"/>
  <sheetViews>
    <sheetView zoomScale="85" zoomScaleNormal="85" workbookViewId="0">
      <selection activeCell="H39" sqref="H39"/>
    </sheetView>
  </sheetViews>
  <sheetFormatPr defaultColWidth="8.625" defaultRowHeight="15" x14ac:dyDescent="0.25"/>
  <cols>
    <col min="1" max="1" width="10" style="58" bestFit="1" customWidth="1"/>
    <col min="2" max="2" width="23.75" style="58" bestFit="1" customWidth="1"/>
    <col min="3" max="3" width="2.875" style="58"/>
    <col min="4" max="4" width="20.625" style="58" bestFit="1" customWidth="1"/>
    <col min="5" max="5" width="5.125" style="58" bestFit="1" customWidth="1"/>
    <col min="6" max="6" width="12" style="293" bestFit="1" customWidth="1"/>
    <col min="7" max="7" width="2.875" style="58"/>
    <col min="8" max="8" width="17.75" style="58" bestFit="1" customWidth="1"/>
    <col min="9" max="9" width="25.875" style="58" bestFit="1" customWidth="1"/>
    <col min="10" max="10" width="3.25" style="58" customWidth="1"/>
    <col min="11" max="11" width="8.625" style="58" customWidth="1"/>
    <col min="12" max="12" width="22.375" style="58" bestFit="1" customWidth="1"/>
    <col min="13" max="13" width="3.25" style="58" customWidth="1"/>
    <col min="14" max="14" width="14.375" style="58" bestFit="1" customWidth="1"/>
    <col min="15" max="15" width="5.125" style="58" bestFit="1" customWidth="1"/>
    <col min="16" max="16" width="3.25" style="58" customWidth="1"/>
    <col min="17" max="17" width="6.5" style="58" bestFit="1" customWidth="1"/>
    <col min="18" max="18" width="5.125" style="58" bestFit="1" customWidth="1"/>
    <col min="19" max="19" width="2.875" style="58"/>
    <col min="20" max="20" width="7.5" style="58" bestFit="1" customWidth="1"/>
    <col min="21" max="21" width="26.625" style="58" bestFit="1" customWidth="1"/>
    <col min="22" max="22" width="3.25" style="58" customWidth="1"/>
    <col min="23" max="23" width="12" style="58" bestFit="1" customWidth="1"/>
    <col min="24" max="24" width="11.5" style="58" bestFit="1" customWidth="1"/>
    <col min="25" max="25" width="11" style="58" bestFit="1" customWidth="1"/>
    <col min="26" max="26" width="10.125" style="58" bestFit="1" customWidth="1"/>
    <col min="27" max="27" width="11.375" style="58" customWidth="1"/>
    <col min="28" max="28" width="8.625" style="58"/>
    <col min="29" max="29" width="31.625" style="58" bestFit="1" customWidth="1"/>
    <col min="30" max="30" width="11.25" style="58" bestFit="1" customWidth="1"/>
    <col min="31" max="31" width="5.125" style="58" bestFit="1" customWidth="1"/>
    <col min="32" max="32" width="3.25" style="58" customWidth="1"/>
    <col min="33" max="33" width="43.625" style="58" bestFit="1" customWidth="1"/>
    <col min="34" max="34" width="29.5" style="58" bestFit="1" customWidth="1"/>
    <col min="35" max="35" width="9.125" style="58" bestFit="1" customWidth="1"/>
    <col min="36" max="36" width="3.25" style="58" customWidth="1"/>
    <col min="37" max="37" width="34.25" style="58" bestFit="1" customWidth="1"/>
    <col min="38" max="38" width="5.125" style="72" bestFit="1" customWidth="1"/>
    <col min="39" max="39" width="8.25" style="58" bestFit="1" customWidth="1"/>
    <col min="40" max="40" width="25.25" style="58" bestFit="1" customWidth="1"/>
    <col min="41" max="41" width="6.375" style="58" bestFit="1" customWidth="1"/>
    <col min="42" max="42" width="3.25" style="58" customWidth="1"/>
    <col min="43" max="43" width="21.25" style="58" bestFit="1" customWidth="1"/>
    <col min="44" max="44" width="5.125" style="72" bestFit="1" customWidth="1"/>
    <col min="45" max="45" width="5.125" style="72" customWidth="1"/>
    <col min="46" max="46" width="3.25" style="58" customWidth="1"/>
    <col min="47" max="47" width="21" style="58" bestFit="1" customWidth="1"/>
    <col min="48" max="48" width="69" style="58" bestFit="1" customWidth="1"/>
    <col min="49" max="49" width="3.25" style="58" customWidth="1"/>
    <col min="50" max="50" width="16.875" style="58" bestFit="1" customWidth="1"/>
    <col min="51" max="51" width="5.125" style="58" bestFit="1" customWidth="1"/>
    <col min="52" max="52" width="3.25" style="58" customWidth="1"/>
    <col min="53" max="53" width="20.875" style="58" bestFit="1" customWidth="1"/>
    <col min="54" max="54" width="5.125" style="58" bestFit="1" customWidth="1"/>
    <col min="55" max="55" width="3.25" style="58" customWidth="1"/>
    <col min="56" max="56" width="14.875" style="58" bestFit="1" customWidth="1"/>
    <col min="57" max="57" width="5.125" style="58" bestFit="1" customWidth="1"/>
    <col min="58" max="58" width="3.25" style="58" customWidth="1"/>
    <col min="59" max="59" width="20.375" style="58" bestFit="1" customWidth="1"/>
    <col min="60" max="60" width="33.375" style="58" bestFit="1" customWidth="1"/>
    <col min="61" max="61" width="20.375" style="58" bestFit="1" customWidth="1"/>
    <col min="62" max="62" width="2.75" style="58" bestFit="1" customWidth="1"/>
    <col min="63" max="65" width="8.625" style="58"/>
    <col min="66" max="66" width="20.25" style="58" customWidth="1"/>
    <col min="67" max="16384" width="8.625" style="58"/>
  </cols>
  <sheetData>
    <row r="1" spans="1:62" x14ac:dyDescent="0.25">
      <c r="A1" s="338" t="s">
        <v>771</v>
      </c>
      <c r="B1" s="338"/>
      <c r="C1" s="338"/>
      <c r="D1" s="338"/>
      <c r="E1" s="338"/>
      <c r="F1" s="338"/>
      <c r="G1" s="338"/>
      <c r="H1" s="338"/>
      <c r="I1" s="338"/>
      <c r="K1" s="338" t="s">
        <v>772</v>
      </c>
      <c r="L1" s="338"/>
      <c r="M1" s="338"/>
      <c r="N1" s="338"/>
      <c r="O1" s="338"/>
      <c r="Q1" s="338" t="s">
        <v>805</v>
      </c>
      <c r="R1" s="338"/>
      <c r="S1" s="338"/>
      <c r="T1" s="338"/>
      <c r="U1" s="338"/>
      <c r="W1" s="337" t="s">
        <v>806</v>
      </c>
      <c r="X1" s="338"/>
      <c r="Y1" s="338"/>
      <c r="Z1" s="338"/>
      <c r="AA1" s="338"/>
      <c r="AB1" s="338"/>
      <c r="AC1" s="338"/>
      <c r="AD1" s="338"/>
      <c r="AE1" s="338"/>
      <c r="AG1" s="341" t="s">
        <v>807</v>
      </c>
      <c r="AH1" s="341"/>
      <c r="AI1" s="341"/>
      <c r="AK1" s="332" t="s">
        <v>808</v>
      </c>
      <c r="AL1" s="333"/>
      <c r="AM1" s="333"/>
      <c r="AN1" s="333"/>
      <c r="AO1" s="333"/>
      <c r="AP1" s="333"/>
      <c r="AQ1" s="333"/>
      <c r="AR1" s="334"/>
      <c r="AS1" s="294"/>
      <c r="AU1" s="350" t="s">
        <v>826</v>
      </c>
      <c r="AV1" s="351"/>
      <c r="AW1" s="351"/>
      <c r="AX1" s="351"/>
      <c r="AY1" s="351"/>
      <c r="AZ1" s="351"/>
      <c r="BA1" s="351"/>
      <c r="BB1" s="352"/>
      <c r="BD1" s="338" t="s">
        <v>1506</v>
      </c>
      <c r="BE1" s="338"/>
      <c r="BF1" s="338"/>
      <c r="BG1" s="338"/>
      <c r="BH1" s="338"/>
    </row>
    <row r="2" spans="1:62" x14ac:dyDescent="0.25">
      <c r="A2" s="353" t="s">
        <v>606</v>
      </c>
      <c r="B2" s="353"/>
      <c r="D2" s="353" t="s">
        <v>46</v>
      </c>
      <c r="E2" s="353"/>
      <c r="F2" s="69" t="e">
        <f>VLOOKUP('SF DATA'!D22,$D$4:$F$210,3,0)</f>
        <v>#N/A</v>
      </c>
      <c r="H2" s="353" t="s">
        <v>68</v>
      </c>
      <c r="I2" s="353"/>
      <c r="K2" s="348" t="s">
        <v>773</v>
      </c>
      <c r="L2" s="349"/>
      <c r="N2" s="339" t="s">
        <v>574</v>
      </c>
      <c r="O2" s="340"/>
      <c r="Q2" s="356" t="s">
        <v>739</v>
      </c>
      <c r="R2" s="356"/>
      <c r="T2" s="356" t="s">
        <v>1486</v>
      </c>
      <c r="U2" s="356"/>
      <c r="W2" s="354" t="s">
        <v>1618</v>
      </c>
      <c r="X2" s="355"/>
      <c r="Y2" s="355"/>
      <c r="Z2" s="355"/>
      <c r="AA2" s="355"/>
      <c r="AC2" s="354" t="s">
        <v>1492</v>
      </c>
      <c r="AD2" s="355"/>
      <c r="AE2" s="355"/>
      <c r="AG2" s="208" t="s">
        <v>696</v>
      </c>
      <c r="AH2" s="208" t="s">
        <v>697</v>
      </c>
      <c r="AI2" s="208" t="s">
        <v>543</v>
      </c>
      <c r="AK2" s="348" t="s">
        <v>10</v>
      </c>
      <c r="AL2" s="349"/>
      <c r="AN2" s="339" t="s">
        <v>12</v>
      </c>
      <c r="AO2" s="340"/>
      <c r="AQ2" s="339" t="s">
        <v>195</v>
      </c>
      <c r="AR2" s="340"/>
      <c r="AS2" s="295"/>
      <c r="AU2" s="344" t="s">
        <v>24</v>
      </c>
      <c r="AV2" s="345"/>
      <c r="AX2" s="335" t="s">
        <v>182</v>
      </c>
      <c r="AY2" s="336"/>
      <c r="BA2" s="335" t="s">
        <v>35</v>
      </c>
      <c r="BB2" s="336"/>
      <c r="BD2" s="342" t="s">
        <v>568</v>
      </c>
      <c r="BE2" s="343"/>
      <c r="BG2" s="342" t="s">
        <v>566</v>
      </c>
      <c r="BH2" s="343" t="s">
        <v>1507</v>
      </c>
    </row>
    <row r="3" spans="1:62" x14ac:dyDescent="0.25">
      <c r="A3" s="209" t="s">
        <v>543</v>
      </c>
      <c r="B3" s="209" t="s">
        <v>602</v>
      </c>
      <c r="D3" s="209" t="s">
        <v>602</v>
      </c>
      <c r="E3" s="209" t="s">
        <v>543</v>
      </c>
      <c r="F3" s="290" t="s">
        <v>1679</v>
      </c>
      <c r="H3" s="209" t="s">
        <v>602</v>
      </c>
      <c r="I3" s="209" t="s">
        <v>543</v>
      </c>
      <c r="K3" s="208" t="s">
        <v>543</v>
      </c>
      <c r="L3" s="208" t="s">
        <v>602</v>
      </c>
      <c r="N3" s="208" t="s">
        <v>702</v>
      </c>
      <c r="O3" s="208" t="s">
        <v>543</v>
      </c>
      <c r="Q3" s="209" t="s">
        <v>702</v>
      </c>
      <c r="R3" s="209" t="s">
        <v>543</v>
      </c>
      <c r="T3" s="209" t="s">
        <v>702</v>
      </c>
      <c r="U3" s="209" t="s">
        <v>543</v>
      </c>
      <c r="W3" s="209" t="s">
        <v>139</v>
      </c>
      <c r="X3" s="190">
        <v>43952</v>
      </c>
      <c r="Y3" s="190">
        <v>44317</v>
      </c>
      <c r="Z3" s="190">
        <v>44682</v>
      </c>
      <c r="AA3" s="190">
        <v>45047</v>
      </c>
      <c r="AC3" s="209" t="s">
        <v>11</v>
      </c>
      <c r="AD3" s="209"/>
      <c r="AE3" s="209" t="s">
        <v>543</v>
      </c>
      <c r="AG3" s="19" t="s">
        <v>1802</v>
      </c>
      <c r="AH3" s="19"/>
      <c r="AI3" s="19" t="s">
        <v>1803</v>
      </c>
      <c r="AK3" s="208" t="s">
        <v>602</v>
      </c>
      <c r="AL3" s="208" t="s">
        <v>543</v>
      </c>
      <c r="AN3" s="208" t="s">
        <v>702</v>
      </c>
      <c r="AO3" s="208" t="s">
        <v>543</v>
      </c>
      <c r="AQ3" s="208" t="s">
        <v>702</v>
      </c>
      <c r="AR3" s="208" t="s">
        <v>543</v>
      </c>
      <c r="AS3" s="295"/>
      <c r="AU3" s="208" t="s">
        <v>602</v>
      </c>
      <c r="AV3" s="208" t="s">
        <v>543</v>
      </c>
      <c r="AX3" s="129" t="s">
        <v>702</v>
      </c>
      <c r="AY3" s="129" t="s">
        <v>543</v>
      </c>
      <c r="BA3" s="129" t="s">
        <v>702</v>
      </c>
      <c r="BB3" s="129" t="s">
        <v>543</v>
      </c>
      <c r="BD3" s="208" t="s">
        <v>602</v>
      </c>
      <c r="BE3" s="208" t="s">
        <v>543</v>
      </c>
      <c r="BG3" s="208" t="s">
        <v>602</v>
      </c>
      <c r="BH3" s="208" t="s">
        <v>543</v>
      </c>
    </row>
    <row r="4" spans="1:62" x14ac:dyDescent="0.25">
      <c r="A4" s="186" t="s">
        <v>141</v>
      </c>
      <c r="B4" s="185" t="s">
        <v>141</v>
      </c>
      <c r="D4" s="59" t="s">
        <v>274</v>
      </c>
      <c r="E4" s="210" t="s">
        <v>275</v>
      </c>
      <c r="F4" s="291" t="s">
        <v>1703</v>
      </c>
      <c r="H4" s="186" t="s">
        <v>22</v>
      </c>
      <c r="I4" s="186" t="s">
        <v>688</v>
      </c>
      <c r="K4" s="184" t="s">
        <v>774</v>
      </c>
      <c r="L4" s="184" t="s">
        <v>775</v>
      </c>
      <c r="N4" s="64" t="s">
        <v>707</v>
      </c>
      <c r="O4" s="65" t="s">
        <v>78</v>
      </c>
      <c r="Q4" s="59" t="s">
        <v>66</v>
      </c>
      <c r="R4" s="59">
        <v>1</v>
      </c>
      <c r="T4" s="59" t="s">
        <v>1485</v>
      </c>
      <c r="U4" s="59" t="str">
        <f>IF(FAC!A3="","COM1PR","COMPR")</f>
        <v>COMPR</v>
      </c>
      <c r="W4" s="185" t="s">
        <v>151</v>
      </c>
      <c r="X4" s="185" t="s">
        <v>1556</v>
      </c>
      <c r="Y4" s="185" t="s">
        <v>1573</v>
      </c>
      <c r="Z4" s="185" t="s">
        <v>1598</v>
      </c>
      <c r="AA4" s="185" t="s">
        <v>2274</v>
      </c>
      <c r="AC4" s="185" t="s">
        <v>811</v>
      </c>
      <c r="AD4" s="71">
        <v>4135</v>
      </c>
      <c r="AE4" s="185" t="s">
        <v>1503</v>
      </c>
      <c r="AG4" s="186" t="s">
        <v>1804</v>
      </c>
      <c r="AH4" s="19"/>
      <c r="AI4" s="19" t="s">
        <v>1805</v>
      </c>
      <c r="AK4" s="185" t="s">
        <v>1520</v>
      </c>
      <c r="AL4" s="70" t="s">
        <v>766</v>
      </c>
      <c r="AN4" s="8" t="s">
        <v>1543</v>
      </c>
      <c r="AO4" s="185" t="s">
        <v>514</v>
      </c>
      <c r="AQ4" s="8" t="s">
        <v>1527</v>
      </c>
      <c r="AR4" s="70">
        <v>1</v>
      </c>
      <c r="AU4" s="185" t="s">
        <v>604</v>
      </c>
      <c r="AV4" s="185" t="s">
        <v>183</v>
      </c>
      <c r="AX4" s="191" t="s">
        <v>876</v>
      </c>
      <c r="AY4" s="192" t="s">
        <v>766</v>
      </c>
      <c r="BA4" s="19" t="s">
        <v>1531</v>
      </c>
      <c r="BB4" s="70">
        <v>0</v>
      </c>
      <c r="BD4" s="64" t="s">
        <v>703</v>
      </c>
      <c r="BE4" s="65">
        <v>2</v>
      </c>
      <c r="BG4" s="64" t="s">
        <v>1508</v>
      </c>
      <c r="BH4" s="59" t="s">
        <v>1509</v>
      </c>
    </row>
    <row r="5" spans="1:62" x14ac:dyDescent="0.25">
      <c r="A5" s="186" t="s">
        <v>42</v>
      </c>
      <c r="B5" s="185" t="s">
        <v>42</v>
      </c>
      <c r="D5" s="59" t="s">
        <v>276</v>
      </c>
      <c r="E5" s="210" t="s">
        <v>277</v>
      </c>
      <c r="F5" s="292" t="s">
        <v>516</v>
      </c>
      <c r="H5" s="186" t="s">
        <v>23</v>
      </c>
      <c r="I5" s="186" t="s">
        <v>689</v>
      </c>
      <c r="K5" s="184" t="s">
        <v>776</v>
      </c>
      <c r="L5" s="184" t="s">
        <v>777</v>
      </c>
      <c r="N5" s="64" t="s">
        <v>708</v>
      </c>
      <c r="O5" s="65" t="s">
        <v>709</v>
      </c>
      <c r="Q5" s="185" t="s">
        <v>1</v>
      </c>
      <c r="R5" s="59">
        <v>7</v>
      </c>
      <c r="T5" s="185" t="s">
        <v>1487</v>
      </c>
      <c r="U5" s="59" t="str">
        <f>IF(FAC!A3="","COM1","COM")</f>
        <v>COM</v>
      </c>
      <c r="W5" s="185" t="s">
        <v>152</v>
      </c>
      <c r="X5" s="185" t="s">
        <v>1557</v>
      </c>
      <c r="Y5" s="186" t="s">
        <v>1574</v>
      </c>
      <c r="Z5" s="186" t="s">
        <v>1599</v>
      </c>
      <c r="AA5" s="186" t="s">
        <v>2275</v>
      </c>
      <c r="AC5" s="185" t="s">
        <v>817</v>
      </c>
      <c r="AD5" s="71">
        <v>4147</v>
      </c>
      <c r="AE5" s="185" t="s">
        <v>1503</v>
      </c>
      <c r="AG5" s="186" t="s">
        <v>1806</v>
      </c>
      <c r="AH5" s="19"/>
      <c r="AI5" s="19" t="s">
        <v>1807</v>
      </c>
      <c r="AK5" s="8" t="s">
        <v>1512</v>
      </c>
      <c r="AL5" s="70" t="s">
        <v>767</v>
      </c>
      <c r="AN5" s="185" t="s">
        <v>515</v>
      </c>
      <c r="AO5" s="185" t="s">
        <v>516</v>
      </c>
      <c r="AQ5" s="8" t="s">
        <v>1526</v>
      </c>
      <c r="AR5" s="70">
        <v>2</v>
      </c>
      <c r="AU5" s="185" t="s">
        <v>605</v>
      </c>
      <c r="AV5" s="185" t="s">
        <v>603</v>
      </c>
      <c r="AX5" s="191" t="s">
        <v>877</v>
      </c>
      <c r="AY5" s="192" t="s">
        <v>767</v>
      </c>
      <c r="BA5" s="189" t="s">
        <v>1532</v>
      </c>
      <c r="BB5" s="70">
        <v>1</v>
      </c>
      <c r="BD5" s="64" t="s">
        <v>704</v>
      </c>
      <c r="BE5" s="65">
        <v>1</v>
      </c>
      <c r="BG5" s="64" t="s">
        <v>150</v>
      </c>
      <c r="BH5" s="59" t="s">
        <v>1510</v>
      </c>
    </row>
    <row r="6" spans="1:62" x14ac:dyDescent="0.25">
      <c r="A6" s="186" t="s">
        <v>40</v>
      </c>
      <c r="B6" s="185" t="s">
        <v>40</v>
      </c>
      <c r="D6" s="59" t="s">
        <v>278</v>
      </c>
      <c r="E6" s="210" t="s">
        <v>279</v>
      </c>
      <c r="F6" s="291" t="s">
        <v>1680</v>
      </c>
      <c r="H6" s="356" t="s">
        <v>561</v>
      </c>
      <c r="I6" s="356"/>
      <c r="K6" s="184" t="s">
        <v>778</v>
      </c>
      <c r="L6" s="184" t="s">
        <v>779</v>
      </c>
      <c r="N6" s="59" t="s">
        <v>710</v>
      </c>
      <c r="O6" s="65" t="s">
        <v>711</v>
      </c>
      <c r="T6" s="339" t="s">
        <v>1486</v>
      </c>
      <c r="U6" s="340"/>
      <c r="W6" s="185" t="s">
        <v>153</v>
      </c>
      <c r="X6" s="185" t="s">
        <v>1558</v>
      </c>
      <c r="Y6" s="186" t="s">
        <v>1575</v>
      </c>
      <c r="Z6" s="186" t="s">
        <v>1600</v>
      </c>
      <c r="AA6" s="186" t="s">
        <v>2276</v>
      </c>
      <c r="AC6" s="185" t="s">
        <v>812</v>
      </c>
      <c r="AD6" s="71">
        <v>4213</v>
      </c>
      <c r="AE6" s="185" t="s">
        <v>1502</v>
      </c>
      <c r="AG6" s="186" t="s">
        <v>1808</v>
      </c>
      <c r="AH6" s="19"/>
      <c r="AI6" s="19" t="s">
        <v>1809</v>
      </c>
      <c r="AK6" s="8" t="s">
        <v>1521</v>
      </c>
      <c r="AL6" s="70" t="s">
        <v>768</v>
      </c>
      <c r="AN6" s="185" t="s">
        <v>517</v>
      </c>
      <c r="AO6" s="185" t="s">
        <v>518</v>
      </c>
      <c r="AQ6" s="185" t="s">
        <v>1529</v>
      </c>
      <c r="AR6" s="70">
        <v>3</v>
      </c>
      <c r="AU6" s="348" t="s">
        <v>21</v>
      </c>
      <c r="AV6" s="349"/>
      <c r="AX6" s="191" t="s">
        <v>878</v>
      </c>
      <c r="AY6" s="192" t="s">
        <v>768</v>
      </c>
      <c r="BA6" s="189" t="s">
        <v>1533</v>
      </c>
      <c r="BB6" s="70">
        <v>2</v>
      </c>
      <c r="BD6" s="64" t="s">
        <v>705</v>
      </c>
      <c r="BE6" s="65">
        <v>2</v>
      </c>
      <c r="BG6" s="64" t="s">
        <v>161</v>
      </c>
      <c r="BH6" s="59" t="s">
        <v>1511</v>
      </c>
    </row>
    <row r="7" spans="1:62" x14ac:dyDescent="0.25">
      <c r="A7" s="186" t="s">
        <v>44</v>
      </c>
      <c r="B7" s="185" t="s">
        <v>44</v>
      </c>
      <c r="D7" s="59" t="s">
        <v>280</v>
      </c>
      <c r="E7" s="210" t="s">
        <v>281</v>
      </c>
      <c r="F7" s="292" t="s">
        <v>1681</v>
      </c>
      <c r="H7" s="209" t="s">
        <v>602</v>
      </c>
      <c r="I7" s="209" t="s">
        <v>543</v>
      </c>
      <c r="K7" s="184" t="s">
        <v>780</v>
      </c>
      <c r="L7" s="184" t="s">
        <v>781</v>
      </c>
      <c r="N7" s="64"/>
      <c r="O7" s="65"/>
      <c r="T7" s="208" t="s">
        <v>543</v>
      </c>
      <c r="U7" s="208" t="s">
        <v>702</v>
      </c>
      <c r="W7" s="186" t="s">
        <v>155</v>
      </c>
      <c r="X7" s="186" t="s">
        <v>1559</v>
      </c>
      <c r="Y7" s="186" t="s">
        <v>1576</v>
      </c>
      <c r="Z7" s="186" t="s">
        <v>1603</v>
      </c>
      <c r="AA7" s="186" t="s">
        <v>2277</v>
      </c>
      <c r="AC7" s="185" t="s">
        <v>813</v>
      </c>
      <c r="AD7" s="71">
        <v>4308</v>
      </c>
      <c r="AE7" s="185" t="s">
        <v>1620</v>
      </c>
      <c r="AG7" s="186" t="s">
        <v>1810</v>
      </c>
      <c r="AH7" s="19"/>
      <c r="AI7" s="19" t="s">
        <v>1811</v>
      </c>
      <c r="AK7" s="185" t="s">
        <v>1522</v>
      </c>
      <c r="AL7" s="70" t="s">
        <v>809</v>
      </c>
      <c r="AN7" s="8" t="s">
        <v>1544</v>
      </c>
      <c r="AO7" s="185" t="s">
        <v>819</v>
      </c>
      <c r="AQ7" s="339" t="s">
        <v>39</v>
      </c>
      <c r="AR7" s="340"/>
      <c r="AS7" s="295"/>
      <c r="AU7" s="128" t="s">
        <v>702</v>
      </c>
      <c r="AV7" s="128" t="s">
        <v>543</v>
      </c>
      <c r="AX7" s="191" t="s">
        <v>879</v>
      </c>
      <c r="AY7" s="192" t="s">
        <v>809</v>
      </c>
      <c r="BA7" s="189" t="s">
        <v>1534</v>
      </c>
      <c r="BB7" s="70">
        <v>3</v>
      </c>
      <c r="BD7" s="64" t="s">
        <v>706</v>
      </c>
      <c r="BE7" s="65">
        <v>1</v>
      </c>
      <c r="BG7" s="297" t="s">
        <v>533</v>
      </c>
      <c r="BH7" s="297" t="s">
        <v>1784</v>
      </c>
      <c r="BI7"/>
      <c r="BJ7"/>
    </row>
    <row r="8" spans="1:62" x14ac:dyDescent="0.25">
      <c r="A8" s="186" t="s">
        <v>142</v>
      </c>
      <c r="B8" s="185" t="s">
        <v>607</v>
      </c>
      <c r="D8" s="59" t="s">
        <v>282</v>
      </c>
      <c r="E8" s="210" t="s">
        <v>283</v>
      </c>
      <c r="F8" s="292" t="e">
        <v>#N/A</v>
      </c>
      <c r="H8" s="186" t="s">
        <v>691</v>
      </c>
      <c r="I8" s="186" t="s">
        <v>690</v>
      </c>
      <c r="K8" s="184" t="s">
        <v>782</v>
      </c>
      <c r="L8" s="184" t="s">
        <v>783</v>
      </c>
      <c r="N8" s="64"/>
      <c r="O8" s="65"/>
      <c r="T8" s="185" t="s">
        <v>1609</v>
      </c>
      <c r="U8" s="185" t="s">
        <v>590</v>
      </c>
      <c r="W8" s="186" t="s">
        <v>156</v>
      </c>
      <c r="X8" s="186" t="s">
        <v>1560</v>
      </c>
      <c r="Y8" s="186" t="s">
        <v>1577</v>
      </c>
      <c r="Z8" s="186" t="s">
        <v>1602</v>
      </c>
      <c r="AA8" s="186" t="s">
        <v>2278</v>
      </c>
      <c r="AC8" s="185" t="s">
        <v>814</v>
      </c>
      <c r="AD8" s="71">
        <v>4309</v>
      </c>
      <c r="AE8" s="185" t="s">
        <v>1620</v>
      </c>
      <c r="AG8" s="186" t="s">
        <v>1812</v>
      </c>
      <c r="AH8" s="19"/>
      <c r="AI8" s="19" t="s">
        <v>1813</v>
      </c>
      <c r="AK8" s="185" t="s">
        <v>1523</v>
      </c>
      <c r="AL8" s="70" t="s">
        <v>810</v>
      </c>
      <c r="AQ8" s="208" t="s">
        <v>702</v>
      </c>
      <c r="AR8" s="208" t="s">
        <v>543</v>
      </c>
      <c r="AS8" s="295"/>
      <c r="AU8" s="191" t="s">
        <v>869</v>
      </c>
      <c r="AV8" s="192">
        <v>1</v>
      </c>
      <c r="AX8" s="191" t="s">
        <v>880</v>
      </c>
      <c r="AY8" s="192" t="s">
        <v>810</v>
      </c>
      <c r="BA8" s="189" t="s">
        <v>1535</v>
      </c>
      <c r="BB8" s="70">
        <v>4</v>
      </c>
      <c r="BG8" s="298" t="s">
        <v>1785</v>
      </c>
      <c r="BH8" s="298" t="s">
        <v>1786</v>
      </c>
      <c r="BI8" s="359" t="s">
        <v>1787</v>
      </c>
      <c r="BJ8" s="360"/>
    </row>
    <row r="9" spans="1:62" x14ac:dyDescent="0.25">
      <c r="A9" s="186" t="s">
        <v>140</v>
      </c>
      <c r="B9" s="185" t="s">
        <v>607</v>
      </c>
      <c r="D9" s="59" t="s">
        <v>284</v>
      </c>
      <c r="E9" s="210" t="s">
        <v>285</v>
      </c>
      <c r="F9" s="291" t="s">
        <v>1682</v>
      </c>
      <c r="H9" s="186" t="s">
        <v>693</v>
      </c>
      <c r="I9" s="186" t="s">
        <v>692</v>
      </c>
      <c r="K9" s="184" t="s">
        <v>784</v>
      </c>
      <c r="L9" s="184" t="s">
        <v>785</v>
      </c>
      <c r="T9" s="185" t="s">
        <v>1610</v>
      </c>
      <c r="U9" s="185" t="s">
        <v>1613</v>
      </c>
      <c r="W9" s="186" t="s">
        <v>154</v>
      </c>
      <c r="X9" s="186" t="s">
        <v>1561</v>
      </c>
      <c r="Y9" s="186" t="s">
        <v>1578</v>
      </c>
      <c r="Z9" s="186" t="s">
        <v>1601</v>
      </c>
      <c r="AA9" s="186" t="s">
        <v>2279</v>
      </c>
      <c r="AC9" s="185" t="s">
        <v>815</v>
      </c>
      <c r="AD9" s="71">
        <v>4321</v>
      </c>
      <c r="AE9" s="185" t="s">
        <v>1502</v>
      </c>
      <c r="AG9" s="186" t="s">
        <v>1814</v>
      </c>
      <c r="AH9" s="19"/>
      <c r="AI9" s="19" t="s">
        <v>1815</v>
      </c>
      <c r="AK9" s="348" t="s">
        <v>17</v>
      </c>
      <c r="AL9" s="349"/>
      <c r="AQ9" s="185" t="s">
        <v>1528</v>
      </c>
      <c r="AR9" s="70">
        <v>1</v>
      </c>
      <c r="AU9" s="191" t="s">
        <v>870</v>
      </c>
      <c r="AV9" s="192">
        <v>2</v>
      </c>
      <c r="AX9" s="191" t="s">
        <v>881</v>
      </c>
      <c r="AY9" s="192" t="s">
        <v>882</v>
      </c>
      <c r="BA9" s="189" t="s">
        <v>1536</v>
      </c>
      <c r="BB9" s="70">
        <v>5</v>
      </c>
      <c r="BG9" s="299" t="s">
        <v>1788</v>
      </c>
      <c r="BH9" s="300" t="s">
        <v>1789</v>
      </c>
      <c r="BI9" s="301" t="s">
        <v>150</v>
      </c>
      <c r="BJ9" s="301" t="s">
        <v>1510</v>
      </c>
    </row>
    <row r="10" spans="1:62" x14ac:dyDescent="0.25">
      <c r="A10" s="211" t="s">
        <v>160</v>
      </c>
      <c r="B10" s="60" t="s">
        <v>160</v>
      </c>
      <c r="D10" s="59" t="s">
        <v>286</v>
      </c>
      <c r="E10" s="210" t="s">
        <v>287</v>
      </c>
      <c r="F10" s="291" t="s">
        <v>1683</v>
      </c>
      <c r="H10" s="186" t="s">
        <v>694</v>
      </c>
      <c r="I10" s="186" t="s">
        <v>521</v>
      </c>
      <c r="K10" s="184" t="s">
        <v>786</v>
      </c>
      <c r="L10" s="184" t="s">
        <v>787</v>
      </c>
      <c r="T10" s="185" t="s">
        <v>1612</v>
      </c>
      <c r="U10" s="185" t="s">
        <v>590</v>
      </c>
      <c r="W10" s="186" t="s">
        <v>157</v>
      </c>
      <c r="X10" s="186" t="s">
        <v>1562</v>
      </c>
      <c r="Y10" s="186" t="s">
        <v>1579</v>
      </c>
      <c r="Z10" s="186" t="s">
        <v>1597</v>
      </c>
      <c r="AA10" s="186" t="s">
        <v>2280</v>
      </c>
      <c r="AC10" s="185" t="s">
        <v>816</v>
      </c>
      <c r="AD10" s="71">
        <v>4215</v>
      </c>
      <c r="AE10" s="185" t="s">
        <v>1502</v>
      </c>
      <c r="AG10" s="186" t="s">
        <v>1816</v>
      </c>
      <c r="AH10" s="19"/>
      <c r="AI10" s="19" t="s">
        <v>1817</v>
      </c>
      <c r="AK10" s="208" t="s">
        <v>602</v>
      </c>
      <c r="AL10" s="208" t="s">
        <v>543</v>
      </c>
      <c r="AN10" s="58" t="s">
        <v>1619</v>
      </c>
      <c r="AQ10" s="8" t="s">
        <v>1526</v>
      </c>
      <c r="AR10" s="70">
        <v>2</v>
      </c>
      <c r="AU10" s="191" t="s">
        <v>871</v>
      </c>
      <c r="AV10" s="192">
        <v>3</v>
      </c>
      <c r="AX10" s="191" t="s">
        <v>883</v>
      </c>
      <c r="AY10" s="192" t="s">
        <v>884</v>
      </c>
      <c r="BA10" s="189" t="s">
        <v>1537</v>
      </c>
      <c r="BB10" s="70">
        <v>6</v>
      </c>
      <c r="BG10" s="299" t="s">
        <v>1788</v>
      </c>
      <c r="BH10" s="300" t="s">
        <v>1790</v>
      </c>
      <c r="BI10" s="301" t="s">
        <v>150</v>
      </c>
      <c r="BJ10" s="301" t="s">
        <v>1510</v>
      </c>
    </row>
    <row r="11" spans="1:62" x14ac:dyDescent="0.25">
      <c r="A11" s="211" t="s">
        <v>158</v>
      </c>
      <c r="B11" s="60" t="s">
        <v>158</v>
      </c>
      <c r="D11" s="59" t="s">
        <v>288</v>
      </c>
      <c r="E11" s="210" t="s">
        <v>289</v>
      </c>
      <c r="F11" s="292" t="s">
        <v>1684</v>
      </c>
      <c r="H11" s="356" t="s">
        <v>73</v>
      </c>
      <c r="I11" s="356"/>
      <c r="K11" s="184" t="s">
        <v>788</v>
      </c>
      <c r="L11" s="184" t="s">
        <v>789</v>
      </c>
      <c r="T11" s="185" t="s">
        <v>1611</v>
      </c>
      <c r="U11" s="185" t="s">
        <v>1613</v>
      </c>
      <c r="W11" s="186" t="s">
        <v>122</v>
      </c>
      <c r="X11" s="186" t="s">
        <v>1563</v>
      </c>
      <c r="Y11" s="186" t="s">
        <v>1580</v>
      </c>
      <c r="Z11" s="186" t="s">
        <v>1590</v>
      </c>
      <c r="AA11" s="186" t="s">
        <v>2281</v>
      </c>
      <c r="AC11" s="185" t="s">
        <v>818</v>
      </c>
      <c r="AD11" s="71">
        <v>7136</v>
      </c>
      <c r="AE11" s="185"/>
      <c r="AG11" s="186" t="s">
        <v>1818</v>
      </c>
      <c r="AH11" s="19"/>
      <c r="AI11" s="19" t="s">
        <v>1819</v>
      </c>
      <c r="AK11" s="185" t="s">
        <v>1524</v>
      </c>
      <c r="AL11" s="70">
        <v>0</v>
      </c>
      <c r="AQ11" s="185" t="s">
        <v>1529</v>
      </c>
      <c r="AR11" s="70">
        <v>3</v>
      </c>
      <c r="AU11" s="191" t="s">
        <v>872</v>
      </c>
      <c r="AV11" s="192">
        <v>4</v>
      </c>
      <c r="AX11" s="191" t="s">
        <v>885</v>
      </c>
      <c r="AY11" s="192" t="s">
        <v>886</v>
      </c>
      <c r="BA11" s="189" t="s">
        <v>1538</v>
      </c>
      <c r="BB11" s="70">
        <v>7</v>
      </c>
      <c r="BG11" s="299" t="s">
        <v>1788</v>
      </c>
      <c r="BH11" s="300" t="s">
        <v>1792</v>
      </c>
      <c r="BI11" s="301" t="s">
        <v>161</v>
      </c>
      <c r="BJ11" s="301" t="s">
        <v>1511</v>
      </c>
    </row>
    <row r="12" spans="1:62" x14ac:dyDescent="0.25">
      <c r="A12" s="186" t="s">
        <v>26</v>
      </c>
      <c r="B12" s="186" t="s">
        <v>769</v>
      </c>
      <c r="D12" s="59" t="s">
        <v>290</v>
      </c>
      <c r="E12" s="210" t="s">
        <v>291</v>
      </c>
      <c r="F12" s="292" t="s">
        <v>1685</v>
      </c>
      <c r="H12" s="209" t="s">
        <v>602</v>
      </c>
      <c r="I12" s="209" t="s">
        <v>543</v>
      </c>
      <c r="K12" s="184" t="s">
        <v>790</v>
      </c>
      <c r="L12" s="184" t="s">
        <v>791</v>
      </c>
      <c r="W12" s="186" t="s">
        <v>123</v>
      </c>
      <c r="X12" s="186" t="s">
        <v>1564</v>
      </c>
      <c r="Y12" s="186" t="s">
        <v>1581</v>
      </c>
      <c r="Z12" s="186" t="s">
        <v>1591</v>
      </c>
      <c r="AA12" s="186" t="s">
        <v>2282</v>
      </c>
      <c r="AG12" s="186" t="s">
        <v>1820</v>
      </c>
      <c r="AH12" s="19"/>
      <c r="AI12" s="19" t="s">
        <v>1821</v>
      </c>
      <c r="AK12" s="12" t="s">
        <v>1513</v>
      </c>
      <c r="AL12" s="70">
        <v>1</v>
      </c>
      <c r="AQ12" s="339" t="s">
        <v>15</v>
      </c>
      <c r="AR12" s="340"/>
      <c r="AS12" s="295"/>
      <c r="AU12" s="191" t="s">
        <v>873</v>
      </c>
      <c r="AV12" s="192">
        <v>5</v>
      </c>
      <c r="AX12" s="191" t="s">
        <v>904</v>
      </c>
      <c r="AY12" s="192" t="s">
        <v>887</v>
      </c>
      <c r="BA12" s="189" t="s">
        <v>1539</v>
      </c>
      <c r="BB12" s="70">
        <v>8</v>
      </c>
      <c r="BG12" s="299" t="s">
        <v>1791</v>
      </c>
      <c r="BH12" s="300" t="s">
        <v>1789</v>
      </c>
      <c r="BI12" s="301" t="s">
        <v>1508</v>
      </c>
      <c r="BJ12" s="301" t="s">
        <v>1509</v>
      </c>
    </row>
    <row r="13" spans="1:62" x14ac:dyDescent="0.25">
      <c r="A13" s="186" t="s">
        <v>770</v>
      </c>
      <c r="B13" s="186" t="s">
        <v>770</v>
      </c>
      <c r="D13" s="59" t="s">
        <v>292</v>
      </c>
      <c r="E13" s="210" t="s">
        <v>293</v>
      </c>
      <c r="F13" s="292" t="s">
        <v>1686</v>
      </c>
      <c r="H13" s="186" t="s">
        <v>695</v>
      </c>
      <c r="I13" s="186" t="s">
        <v>28</v>
      </c>
      <c r="K13" s="184" t="s">
        <v>792</v>
      </c>
      <c r="L13" s="184" t="s">
        <v>793</v>
      </c>
      <c r="W13" s="186" t="s">
        <v>134</v>
      </c>
      <c r="X13" s="186" t="s">
        <v>1565</v>
      </c>
      <c r="Y13" s="186" t="s">
        <v>1582</v>
      </c>
      <c r="Z13" s="186" t="s">
        <v>1592</v>
      </c>
      <c r="AA13" s="186" t="s">
        <v>2283</v>
      </c>
      <c r="AG13" s="186" t="s">
        <v>1822</v>
      </c>
      <c r="AH13" s="19"/>
      <c r="AI13" s="19" t="s">
        <v>1823</v>
      </c>
      <c r="AK13" s="12" t="s">
        <v>1542</v>
      </c>
      <c r="AL13" s="70">
        <v>2</v>
      </c>
      <c r="AQ13" s="208" t="s">
        <v>702</v>
      </c>
      <c r="AR13" s="208" t="s">
        <v>543</v>
      </c>
      <c r="AS13" s="295"/>
      <c r="AU13" s="191" t="s">
        <v>874</v>
      </c>
      <c r="AV13" s="192">
        <v>6</v>
      </c>
      <c r="AX13" s="191" t="s">
        <v>888</v>
      </c>
      <c r="AY13" s="192" t="s">
        <v>237</v>
      </c>
      <c r="BA13" s="189" t="s">
        <v>1540</v>
      </c>
      <c r="BB13" s="70">
        <v>9</v>
      </c>
      <c r="BG13" s="299" t="s">
        <v>1791</v>
      </c>
      <c r="BH13" s="300" t="s">
        <v>1790</v>
      </c>
      <c r="BI13" s="301" t="s">
        <v>1508</v>
      </c>
      <c r="BJ13" s="301" t="s">
        <v>1509</v>
      </c>
    </row>
    <row r="14" spans="1:62" s="95" customFormat="1" x14ac:dyDescent="0.25">
      <c r="A14" s="186" t="s">
        <v>687</v>
      </c>
      <c r="B14" s="60" t="s">
        <v>687</v>
      </c>
      <c r="C14" s="58"/>
      <c r="D14" s="59" t="s">
        <v>294</v>
      </c>
      <c r="E14" s="210" t="s">
        <v>295</v>
      </c>
      <c r="F14" s="292" t="s">
        <v>1687</v>
      </c>
      <c r="G14" s="58"/>
      <c r="H14" s="186" t="s">
        <v>111</v>
      </c>
      <c r="I14" s="186" t="s">
        <v>29</v>
      </c>
      <c r="K14" s="3" t="s">
        <v>794</v>
      </c>
      <c r="L14" s="3" t="s">
        <v>795</v>
      </c>
      <c r="Q14" s="58"/>
      <c r="R14" s="58"/>
      <c r="S14" s="58"/>
      <c r="T14" s="58"/>
      <c r="U14" s="58"/>
      <c r="W14" s="186" t="s">
        <v>135</v>
      </c>
      <c r="X14" s="186" t="s">
        <v>1566</v>
      </c>
      <c r="Y14" s="186" t="s">
        <v>1583</v>
      </c>
      <c r="Z14" s="186" t="s">
        <v>1593</v>
      </c>
      <c r="AA14" s="186" t="s">
        <v>2284</v>
      </c>
      <c r="AB14" s="58"/>
      <c r="AC14" s="58"/>
      <c r="AD14" s="58"/>
      <c r="AE14" s="58"/>
      <c r="AG14" s="187" t="s">
        <v>1824</v>
      </c>
      <c r="AH14" s="19"/>
      <c r="AI14" s="19" t="s">
        <v>1825</v>
      </c>
      <c r="AK14" s="64" t="s">
        <v>1525</v>
      </c>
      <c r="AL14" s="65">
        <v>3</v>
      </c>
      <c r="AN14" s="58"/>
      <c r="AO14" s="58"/>
      <c r="AQ14" s="193" t="s">
        <v>31</v>
      </c>
      <c r="AR14" s="65" t="s">
        <v>118</v>
      </c>
      <c r="AS14" s="264"/>
      <c r="AU14" s="194" t="s">
        <v>875</v>
      </c>
      <c r="AV14" s="195">
        <v>7</v>
      </c>
      <c r="AX14" s="194" t="s">
        <v>889</v>
      </c>
      <c r="AY14" s="195" t="s">
        <v>890</v>
      </c>
      <c r="BA14" s="346" t="s">
        <v>913</v>
      </c>
      <c r="BB14" s="347"/>
      <c r="BG14" s="299" t="s">
        <v>1791</v>
      </c>
      <c r="BH14" s="300" t="s">
        <v>1792</v>
      </c>
      <c r="BI14" s="301" t="s">
        <v>161</v>
      </c>
      <c r="BJ14" s="301" t="s">
        <v>1511</v>
      </c>
    </row>
    <row r="15" spans="1:62" x14ac:dyDescent="0.25">
      <c r="A15" s="211" t="s">
        <v>159</v>
      </c>
      <c r="B15" s="60" t="s">
        <v>159</v>
      </c>
      <c r="D15" s="59" t="s">
        <v>296</v>
      </c>
      <c r="E15" s="210" t="s">
        <v>297</v>
      </c>
      <c r="F15" s="292" t="s">
        <v>1688</v>
      </c>
      <c r="H15" s="356" t="s">
        <v>821</v>
      </c>
      <c r="I15" s="356"/>
      <c r="K15" s="184" t="s">
        <v>796</v>
      </c>
      <c r="L15" s="184" t="s">
        <v>797</v>
      </c>
      <c r="W15" s="186" t="s">
        <v>125</v>
      </c>
      <c r="X15" s="186" t="s">
        <v>1607</v>
      </c>
      <c r="Y15" s="186" t="s">
        <v>1584</v>
      </c>
      <c r="Z15" s="186" t="s">
        <v>1594</v>
      </c>
      <c r="AA15" s="186" t="s">
        <v>2285</v>
      </c>
      <c r="AG15" s="186" t="s">
        <v>1826</v>
      </c>
      <c r="AH15" s="19"/>
      <c r="AI15" s="19" t="s">
        <v>1827</v>
      </c>
      <c r="AK15" s="357" t="s">
        <v>11</v>
      </c>
      <c r="AL15" s="358"/>
      <c r="AM15" s="358"/>
      <c r="AN15" s="358"/>
      <c r="AQ15" s="189" t="s">
        <v>30</v>
      </c>
      <c r="AR15" s="70" t="s">
        <v>534</v>
      </c>
      <c r="AU15" s="344" t="s">
        <v>914</v>
      </c>
      <c r="AV15" s="345"/>
      <c r="AX15" s="191" t="s">
        <v>891</v>
      </c>
      <c r="AY15" s="192" t="s">
        <v>538</v>
      </c>
      <c r="BA15" s="129" t="s">
        <v>702</v>
      </c>
      <c r="BB15" s="129" t="s">
        <v>543</v>
      </c>
      <c r="BG15" s="361" t="s">
        <v>1793</v>
      </c>
      <c r="BH15" s="361"/>
      <c r="BI15"/>
      <c r="BJ15"/>
    </row>
    <row r="16" spans="1:62" x14ac:dyDescent="0.25">
      <c r="A16" s="185" t="s">
        <v>43</v>
      </c>
      <c r="B16" s="185" t="s">
        <v>43</v>
      </c>
      <c r="D16" s="59" t="s">
        <v>298</v>
      </c>
      <c r="E16" s="210" t="s">
        <v>299</v>
      </c>
      <c r="F16" s="292" t="s">
        <v>1689</v>
      </c>
      <c r="H16" s="209" t="s">
        <v>602</v>
      </c>
      <c r="I16" s="209" t="s">
        <v>543</v>
      </c>
      <c r="K16" s="184" t="s">
        <v>798</v>
      </c>
      <c r="L16" s="184" t="s">
        <v>799</v>
      </c>
      <c r="W16" s="186" t="s">
        <v>124</v>
      </c>
      <c r="X16" s="186" t="s">
        <v>1567</v>
      </c>
      <c r="Y16" s="186" t="s">
        <v>1585</v>
      </c>
      <c r="Z16" s="186" t="s">
        <v>1595</v>
      </c>
      <c r="AA16" s="186" t="s">
        <v>2286</v>
      </c>
      <c r="AG16" s="186" t="s">
        <v>1828</v>
      </c>
      <c r="AH16" s="19"/>
      <c r="AI16" s="19" t="s">
        <v>1829</v>
      </c>
      <c r="AK16" s="208" t="s">
        <v>602</v>
      </c>
      <c r="AL16" s="208" t="s">
        <v>543</v>
      </c>
      <c r="AM16" s="209" t="s">
        <v>1639</v>
      </c>
      <c r="AN16" s="209" t="s">
        <v>1640</v>
      </c>
      <c r="AQ16" s="339" t="s">
        <v>16</v>
      </c>
      <c r="AR16" s="340"/>
      <c r="AS16" s="295"/>
      <c r="AU16" s="128" t="s">
        <v>543</v>
      </c>
      <c r="AV16" s="128" t="s">
        <v>702</v>
      </c>
      <c r="AX16" s="191" t="s">
        <v>892</v>
      </c>
      <c r="AY16" s="192" t="s">
        <v>534</v>
      </c>
      <c r="BA16" s="23" t="s">
        <v>910</v>
      </c>
      <c r="BB16" s="188" t="s">
        <v>237</v>
      </c>
      <c r="BG16" s="302" t="s">
        <v>602</v>
      </c>
      <c r="BH16" s="302" t="s">
        <v>543</v>
      </c>
    </row>
    <row r="17" spans="1:60" x14ac:dyDescent="0.25">
      <c r="A17" s="185" t="s">
        <v>41</v>
      </c>
      <c r="B17" s="185" t="s">
        <v>41</v>
      </c>
      <c r="D17" s="59" t="s">
        <v>300</v>
      </c>
      <c r="E17" s="210" t="s">
        <v>301</v>
      </c>
      <c r="F17" s="292" t="s">
        <v>1690</v>
      </c>
      <c r="H17" s="185" t="s">
        <v>822</v>
      </c>
      <c r="I17" s="185">
        <v>3</v>
      </c>
      <c r="K17" s="184" t="s">
        <v>800</v>
      </c>
      <c r="L17" s="184" t="s">
        <v>801</v>
      </c>
      <c r="W17" s="186" t="s">
        <v>136</v>
      </c>
      <c r="X17" s="186" t="s">
        <v>1568</v>
      </c>
      <c r="Y17" s="186" t="s">
        <v>1586</v>
      </c>
      <c r="Z17" s="186" t="s">
        <v>1596</v>
      </c>
      <c r="AA17" s="186" t="s">
        <v>2287</v>
      </c>
      <c r="AG17" s="186" t="s">
        <v>1830</v>
      </c>
      <c r="AH17" s="19"/>
      <c r="AI17" s="19" t="s">
        <v>1831</v>
      </c>
      <c r="AK17" s="185" t="s">
        <v>811</v>
      </c>
      <c r="AL17" s="70">
        <v>4135</v>
      </c>
      <c r="AM17" s="266" t="s">
        <v>62</v>
      </c>
      <c r="AN17" s="185" t="s">
        <v>1671</v>
      </c>
      <c r="AQ17" s="208" t="s">
        <v>702</v>
      </c>
      <c r="AR17" s="208" t="s">
        <v>543</v>
      </c>
      <c r="AS17" s="295"/>
      <c r="AU17" s="310" t="s">
        <v>1849</v>
      </c>
      <c r="AV17" s="308" t="s">
        <v>1880</v>
      </c>
      <c r="AX17" s="191" t="s">
        <v>893</v>
      </c>
      <c r="AY17" s="192">
        <v>16</v>
      </c>
      <c r="BA17" s="188" t="s">
        <v>911</v>
      </c>
      <c r="BB17" s="188" t="s">
        <v>260</v>
      </c>
      <c r="BG17" s="58" t="str">
        <f>IF(AND($BG$7=BG9,$BH$7=BH9),BI9,IF(AND($BG$7=BG10,$BH$7=BH10),BI10,IF(AND(BG7=BG11,BH7=BH11),BI11,IF(AND($BG$7=BG12,$BH$7=BH12),BI12,IF(AND($BG$7=BG13,$BH$7=BH13),BI13,IF(AND($BG$7=BG14,$BH$7=BH14),BI14,""))))))</f>
        <v/>
      </c>
      <c r="BH17" s="58" t="str">
        <f>IF(AND($BG$7=BG9,$BH$7=BH9),BJ9,IF(AND($BG$7=BG10,$BH$7=BH10),BJ10,IF(AND(BG7=BG11,BH7=BH11),BJ11,IF(AND($BG$7=BG12,$BH$7=BH12),BJ12,IF(AND($BG$7=BG13,$BH$7=BH13),BJ13,IF(AND($BG$7=BG14,$BH$7=BH14),BJ14,""))))))</f>
        <v/>
      </c>
    </row>
    <row r="18" spans="1:60" x14ac:dyDescent="0.25">
      <c r="A18" s="185" t="s">
        <v>608</v>
      </c>
      <c r="B18" s="185" t="s">
        <v>610</v>
      </c>
      <c r="D18" s="59" t="s">
        <v>302</v>
      </c>
      <c r="E18" s="210" t="s">
        <v>303</v>
      </c>
      <c r="F18" s="292" t="s">
        <v>1691</v>
      </c>
      <c r="H18" s="185" t="s">
        <v>823</v>
      </c>
      <c r="I18" s="185">
        <v>2</v>
      </c>
      <c r="K18" s="184" t="s">
        <v>81</v>
      </c>
      <c r="L18" s="184" t="s">
        <v>802</v>
      </c>
      <c r="W18" s="186" t="s">
        <v>138</v>
      </c>
      <c r="X18" s="186" t="s">
        <v>1570</v>
      </c>
      <c r="Y18" s="186" t="s">
        <v>1587</v>
      </c>
      <c r="Z18" s="186" t="s">
        <v>1604</v>
      </c>
      <c r="AA18" s="186" t="s">
        <v>2288</v>
      </c>
      <c r="AG18" s="186" t="s">
        <v>1832</v>
      </c>
      <c r="AH18" s="19"/>
      <c r="AI18" s="19" t="s">
        <v>1833</v>
      </c>
      <c r="AK18" s="185" t="s">
        <v>817</v>
      </c>
      <c r="AL18" s="70">
        <v>4147</v>
      </c>
      <c r="AM18" s="266" t="s">
        <v>29</v>
      </c>
      <c r="AN18" s="185" t="s">
        <v>1672</v>
      </c>
      <c r="AQ18" s="185" t="s">
        <v>1517</v>
      </c>
      <c r="AR18" s="196">
        <v>0</v>
      </c>
      <c r="AS18" s="296"/>
      <c r="AU18" s="310" t="s">
        <v>1850</v>
      </c>
      <c r="AV18" s="308" t="s">
        <v>1208</v>
      </c>
      <c r="AX18" s="191" t="s">
        <v>894</v>
      </c>
      <c r="AY18" s="192">
        <v>21</v>
      </c>
      <c r="BA18" s="188" t="s">
        <v>912</v>
      </c>
      <c r="BB18" s="188" t="s">
        <v>809</v>
      </c>
    </row>
    <row r="19" spans="1:60" x14ac:dyDescent="0.25">
      <c r="A19" s="185" t="s">
        <v>609</v>
      </c>
      <c r="B19" s="185" t="s">
        <v>611</v>
      </c>
      <c r="D19" s="59" t="s">
        <v>304</v>
      </c>
      <c r="E19" s="210" t="s">
        <v>305</v>
      </c>
      <c r="F19" s="292" t="s">
        <v>1692</v>
      </c>
      <c r="H19" s="185" t="s">
        <v>824</v>
      </c>
      <c r="I19" s="185">
        <v>1</v>
      </c>
      <c r="K19" s="184" t="s">
        <v>803</v>
      </c>
      <c r="L19" s="184" t="s">
        <v>804</v>
      </c>
      <c r="W19" s="186" t="s">
        <v>133</v>
      </c>
      <c r="X19" s="186" t="s">
        <v>1571</v>
      </c>
      <c r="Y19" s="186" t="s">
        <v>1588</v>
      </c>
      <c r="Z19" s="186" t="s">
        <v>1605</v>
      </c>
      <c r="AA19" s="186" t="s">
        <v>2289</v>
      </c>
      <c r="AG19" s="186" t="s">
        <v>1834</v>
      </c>
      <c r="AH19" s="19"/>
      <c r="AI19" s="19" t="s">
        <v>1835</v>
      </c>
      <c r="AK19" s="185" t="s">
        <v>812</v>
      </c>
      <c r="AL19" s="70">
        <v>4213</v>
      </c>
      <c r="AM19" s="266" t="s">
        <v>29</v>
      </c>
      <c r="AN19" s="185" t="s">
        <v>1673</v>
      </c>
      <c r="AQ19" s="185" t="s">
        <v>1545</v>
      </c>
      <c r="AR19" s="70">
        <v>1</v>
      </c>
      <c r="AU19" s="310" t="s">
        <v>1207</v>
      </c>
      <c r="AV19" s="308" t="s">
        <v>1206</v>
      </c>
      <c r="AX19" s="191" t="s">
        <v>895</v>
      </c>
      <c r="AY19" s="192">
        <v>22</v>
      </c>
      <c r="BA19" s="335" t="s">
        <v>1504</v>
      </c>
      <c r="BB19" s="336"/>
    </row>
    <row r="20" spans="1:60" x14ac:dyDescent="0.25">
      <c r="A20" s="353" t="s">
        <v>139</v>
      </c>
      <c r="B20" s="353"/>
      <c r="D20" s="59" t="s">
        <v>306</v>
      </c>
      <c r="E20" s="210" t="s">
        <v>307</v>
      </c>
      <c r="F20" s="292" t="s">
        <v>1693</v>
      </c>
      <c r="W20" s="186" t="s">
        <v>132</v>
      </c>
      <c r="X20" s="186" t="s">
        <v>1572</v>
      </c>
      <c r="Y20" s="186" t="s">
        <v>1589</v>
      </c>
      <c r="Z20" s="186" t="s">
        <v>1606</v>
      </c>
      <c r="AA20" s="186" t="s">
        <v>2290</v>
      </c>
      <c r="AG20" s="186" t="s">
        <v>1836</v>
      </c>
      <c r="AH20" s="19"/>
      <c r="AI20" s="19" t="s">
        <v>1837</v>
      </c>
      <c r="AK20" s="185" t="s">
        <v>815</v>
      </c>
      <c r="AL20" s="70">
        <v>4321</v>
      </c>
      <c r="AM20" s="266" t="s">
        <v>29</v>
      </c>
      <c r="AN20" s="185" t="s">
        <v>1673</v>
      </c>
      <c r="AQ20" s="73" t="s">
        <v>1514</v>
      </c>
      <c r="AR20" s="70">
        <v>2</v>
      </c>
      <c r="AU20" s="310" t="s">
        <v>1851</v>
      </c>
      <c r="AV20" s="308" t="s">
        <v>1881</v>
      </c>
      <c r="AX20" s="191" t="s">
        <v>896</v>
      </c>
      <c r="AY20" s="192">
        <v>55</v>
      </c>
      <c r="BA20" s="129" t="s">
        <v>702</v>
      </c>
      <c r="BB20" s="129" t="s">
        <v>543</v>
      </c>
    </row>
    <row r="21" spans="1:60" x14ac:dyDescent="0.25">
      <c r="A21" s="209" t="s">
        <v>543</v>
      </c>
      <c r="B21" s="209" t="s">
        <v>602</v>
      </c>
      <c r="D21" s="59" t="s">
        <v>308</v>
      </c>
      <c r="E21" s="210" t="s">
        <v>309</v>
      </c>
      <c r="F21" s="291" t="s">
        <v>1694</v>
      </c>
      <c r="K21" s="208" t="s">
        <v>2291</v>
      </c>
      <c r="L21" s="257">
        <f ca="1">TODAY()</f>
        <v>45383</v>
      </c>
      <c r="W21" s="186" t="s">
        <v>1546</v>
      </c>
      <c r="X21" s="186" t="s">
        <v>1547</v>
      </c>
      <c r="Y21" s="186"/>
      <c r="Z21" s="186"/>
      <c r="AA21" s="185"/>
      <c r="AG21" s="186" t="s">
        <v>1838</v>
      </c>
      <c r="AH21" s="19"/>
      <c r="AI21" s="19" t="s">
        <v>1839</v>
      </c>
      <c r="AK21" s="185" t="s">
        <v>816</v>
      </c>
      <c r="AL21" s="70">
        <v>4215</v>
      </c>
      <c r="AM21" s="266" t="s">
        <v>29</v>
      </c>
      <c r="AN21" s="185" t="s">
        <v>1674</v>
      </c>
      <c r="AQ21" s="185" t="s">
        <v>1515</v>
      </c>
      <c r="AR21" s="70">
        <v>3</v>
      </c>
      <c r="AU21" s="310" t="s">
        <v>1852</v>
      </c>
      <c r="AV21" s="308" t="s">
        <v>1882</v>
      </c>
      <c r="AX21" s="191" t="s">
        <v>897</v>
      </c>
      <c r="AY21" s="192">
        <v>56</v>
      </c>
      <c r="BA21" s="191" t="s">
        <v>251</v>
      </c>
      <c r="BB21" s="192" t="s">
        <v>252</v>
      </c>
    </row>
    <row r="22" spans="1:60" x14ac:dyDescent="0.25">
      <c r="A22" s="186" t="s">
        <v>121</v>
      </c>
      <c r="B22" s="185" t="s">
        <v>631</v>
      </c>
      <c r="D22" s="59" t="s">
        <v>310</v>
      </c>
      <c r="E22" s="210" t="s">
        <v>311</v>
      </c>
      <c r="F22" s="292" t="s">
        <v>1684</v>
      </c>
      <c r="W22" s="186" t="s">
        <v>1550</v>
      </c>
      <c r="X22" s="186" t="s">
        <v>1551</v>
      </c>
      <c r="Y22" s="186"/>
      <c r="Z22" s="186"/>
      <c r="AA22" s="185"/>
      <c r="AG22" s="186" t="s">
        <v>1840</v>
      </c>
      <c r="AH22" s="186"/>
      <c r="AI22" s="186" t="s">
        <v>1841</v>
      </c>
      <c r="AK22" s="185" t="s">
        <v>813</v>
      </c>
      <c r="AL22" s="70">
        <v>4308</v>
      </c>
      <c r="AM22" s="266" t="s">
        <v>104</v>
      </c>
      <c r="AN22" s="185" t="s">
        <v>110</v>
      </c>
      <c r="AQ22" s="185" t="s">
        <v>1516</v>
      </c>
      <c r="AR22" s="70">
        <v>4</v>
      </c>
      <c r="AU22" s="310" t="s">
        <v>1853</v>
      </c>
      <c r="AV22" s="308" t="s">
        <v>951</v>
      </c>
      <c r="AX22" s="191" t="s">
        <v>898</v>
      </c>
      <c r="AY22" s="192">
        <v>70</v>
      </c>
      <c r="BA22" s="191" t="s">
        <v>254</v>
      </c>
      <c r="BB22" s="192" t="s">
        <v>255</v>
      </c>
    </row>
    <row r="23" spans="1:60" x14ac:dyDescent="0.25">
      <c r="A23" s="185" t="s">
        <v>122</v>
      </c>
      <c r="B23" s="185" t="s">
        <v>620</v>
      </c>
      <c r="D23" s="59" t="s">
        <v>312</v>
      </c>
      <c r="E23" s="210" t="s">
        <v>313</v>
      </c>
      <c r="F23" s="292" t="s">
        <v>1695</v>
      </c>
      <c r="W23" s="186" t="s">
        <v>1548</v>
      </c>
      <c r="X23" s="186" t="s">
        <v>1549</v>
      </c>
      <c r="Y23" s="186"/>
      <c r="Z23" s="186"/>
      <c r="AA23" s="185"/>
      <c r="AG23" s="185" t="s">
        <v>1842</v>
      </c>
      <c r="AH23" s="185"/>
      <c r="AI23" s="185" t="s">
        <v>1843</v>
      </c>
      <c r="AK23" s="185" t="s">
        <v>814</v>
      </c>
      <c r="AL23" s="70">
        <v>4309</v>
      </c>
      <c r="AM23" s="266" t="s">
        <v>104</v>
      </c>
      <c r="AN23" s="185" t="s">
        <v>1675</v>
      </c>
      <c r="AR23" s="58"/>
      <c r="AS23" s="58"/>
      <c r="AU23" s="310" t="s">
        <v>1854</v>
      </c>
      <c r="AV23" s="308" t="s">
        <v>1883</v>
      </c>
      <c r="AX23" s="191" t="s">
        <v>899</v>
      </c>
      <c r="AY23" s="192">
        <v>71</v>
      </c>
      <c r="BA23" s="191" t="s">
        <v>257</v>
      </c>
      <c r="BB23" s="192" t="s">
        <v>258</v>
      </c>
    </row>
    <row r="24" spans="1:60" x14ac:dyDescent="0.25">
      <c r="A24" s="185" t="s">
        <v>123</v>
      </c>
      <c r="B24" s="185" t="s">
        <v>642</v>
      </c>
      <c r="D24" s="59" t="s">
        <v>314</v>
      </c>
      <c r="E24" s="210" t="s">
        <v>315</v>
      </c>
      <c r="F24" s="292" t="s">
        <v>1696</v>
      </c>
      <c r="W24" s="186" t="s">
        <v>1552</v>
      </c>
      <c r="X24" s="186" t="s">
        <v>1553</v>
      </c>
      <c r="Y24" s="186"/>
      <c r="Z24" s="186"/>
      <c r="AA24" s="185"/>
      <c r="AG24" s="185" t="s">
        <v>1844</v>
      </c>
      <c r="AH24" s="185"/>
      <c r="AI24" s="185" t="s">
        <v>1845</v>
      </c>
      <c r="AK24" s="185" t="s">
        <v>818</v>
      </c>
      <c r="AL24" s="70">
        <v>7136</v>
      </c>
      <c r="AM24" s="266" t="s">
        <v>107</v>
      </c>
      <c r="AN24" s="185" t="s">
        <v>1676</v>
      </c>
      <c r="AR24" s="58"/>
      <c r="AS24" s="58"/>
      <c r="AU24" s="310" t="s">
        <v>1855</v>
      </c>
      <c r="AV24" s="308" t="s">
        <v>1884</v>
      </c>
      <c r="AX24" s="191" t="s">
        <v>900</v>
      </c>
      <c r="AY24" s="192">
        <v>72</v>
      </c>
      <c r="BA24" s="191" t="s">
        <v>259</v>
      </c>
      <c r="BB24" s="192" t="s">
        <v>260</v>
      </c>
    </row>
    <row r="25" spans="1:60" x14ac:dyDescent="0.25">
      <c r="A25" s="185" t="s">
        <v>124</v>
      </c>
      <c r="B25" s="185" t="s">
        <v>624</v>
      </c>
      <c r="D25" s="59" t="s">
        <v>316</v>
      </c>
      <c r="E25" s="210" t="s">
        <v>317</v>
      </c>
      <c r="F25" s="292" t="s">
        <v>1697</v>
      </c>
      <c r="W25" s="186" t="s">
        <v>1554</v>
      </c>
      <c r="X25" s="186" t="s">
        <v>1555</v>
      </c>
      <c r="Y25" s="186"/>
      <c r="Z25" s="186"/>
      <c r="AA25" s="185"/>
      <c r="AG25" s="185" t="s">
        <v>598</v>
      </c>
      <c r="AH25" s="185"/>
      <c r="AI25" s="185" t="s">
        <v>698</v>
      </c>
      <c r="AK25" s="339" t="s">
        <v>14</v>
      </c>
      <c r="AL25" s="340"/>
      <c r="AU25" s="310" t="s">
        <v>1856</v>
      </c>
      <c r="AV25" s="308" t="s">
        <v>1205</v>
      </c>
      <c r="AX25" s="191" t="s">
        <v>901</v>
      </c>
      <c r="AY25" s="192">
        <v>73</v>
      </c>
      <c r="BA25" s="191" t="s">
        <v>6</v>
      </c>
      <c r="BB25" s="192" t="s">
        <v>262</v>
      </c>
    </row>
    <row r="26" spans="1:60" x14ac:dyDescent="0.25">
      <c r="A26" s="185" t="s">
        <v>125</v>
      </c>
      <c r="B26" s="185" t="s">
        <v>619</v>
      </c>
      <c r="D26" s="59" t="s">
        <v>318</v>
      </c>
      <c r="E26" s="210" t="s">
        <v>319</v>
      </c>
      <c r="F26" s="292" t="s">
        <v>1698</v>
      </c>
      <c r="W26" s="186" t="s">
        <v>137</v>
      </c>
      <c r="X26" s="186" t="s">
        <v>1569</v>
      </c>
      <c r="Y26" s="186"/>
      <c r="Z26" s="186"/>
      <c r="AA26" s="185"/>
      <c r="AG26" s="185" t="s">
        <v>700</v>
      </c>
      <c r="AH26" s="185"/>
      <c r="AI26" s="185" t="s">
        <v>701</v>
      </c>
      <c r="AK26" s="208" t="s">
        <v>602</v>
      </c>
      <c r="AL26" s="208" t="s">
        <v>543</v>
      </c>
      <c r="AU26" s="310" t="s">
        <v>1857</v>
      </c>
      <c r="AV26" s="308" t="s">
        <v>952</v>
      </c>
      <c r="AX26" s="191" t="s">
        <v>902</v>
      </c>
      <c r="AY26" s="192">
        <v>74</v>
      </c>
      <c r="BA26" s="191" t="s">
        <v>264</v>
      </c>
      <c r="BB26" s="192" t="s">
        <v>265</v>
      </c>
    </row>
    <row r="27" spans="1:60" x14ac:dyDescent="0.25">
      <c r="A27" s="185" t="s">
        <v>126</v>
      </c>
      <c r="B27" s="185" t="s">
        <v>628</v>
      </c>
      <c r="D27" s="59" t="s">
        <v>320</v>
      </c>
      <c r="E27" s="210" t="s">
        <v>321</v>
      </c>
      <c r="F27" s="292" t="s">
        <v>1699</v>
      </c>
      <c r="W27" s="186" t="s">
        <v>121</v>
      </c>
      <c r="X27" s="186" t="s">
        <v>1608</v>
      </c>
      <c r="Y27" s="186"/>
      <c r="Z27" s="186"/>
      <c r="AA27" s="185"/>
      <c r="AG27" s="185" t="s">
        <v>1846</v>
      </c>
      <c r="AH27" s="185"/>
      <c r="AI27" s="185" t="s">
        <v>698</v>
      </c>
      <c r="AK27" s="8" t="s">
        <v>1518</v>
      </c>
      <c r="AL27" s="185" t="s">
        <v>763</v>
      </c>
      <c r="AU27" s="310" t="s">
        <v>1858</v>
      </c>
      <c r="AV27" s="308" t="s">
        <v>1334</v>
      </c>
      <c r="AX27" s="191" t="s">
        <v>903</v>
      </c>
      <c r="AY27" s="192">
        <v>75</v>
      </c>
      <c r="BA27" s="335" t="s">
        <v>1505</v>
      </c>
      <c r="BB27" s="336"/>
    </row>
    <row r="28" spans="1:60" ht="15" customHeight="1" x14ac:dyDescent="0.25">
      <c r="A28" s="185" t="s">
        <v>127</v>
      </c>
      <c r="B28" s="185" t="s">
        <v>617</v>
      </c>
      <c r="D28" s="59" t="s">
        <v>322</v>
      </c>
      <c r="E28" s="210" t="s">
        <v>323</v>
      </c>
      <c r="F28" s="292" t="s">
        <v>1700</v>
      </c>
      <c r="AG28" s="185" t="s">
        <v>599</v>
      </c>
      <c r="AH28" s="185"/>
      <c r="AI28" s="185" t="s">
        <v>698</v>
      </c>
      <c r="AK28" s="185" t="s">
        <v>1519</v>
      </c>
      <c r="AL28" s="185" t="s">
        <v>764</v>
      </c>
      <c r="AU28" s="310" t="s">
        <v>1859</v>
      </c>
      <c r="AV28" s="308" t="s">
        <v>1885</v>
      </c>
      <c r="AX28" s="197"/>
      <c r="BA28" s="129" t="s">
        <v>702</v>
      </c>
      <c r="BB28" s="129" t="s">
        <v>543</v>
      </c>
    </row>
    <row r="29" spans="1:60" x14ac:dyDescent="0.25">
      <c r="A29" s="185" t="s">
        <v>128</v>
      </c>
      <c r="B29" s="185" t="s">
        <v>621</v>
      </c>
      <c r="D29" s="59" t="s">
        <v>2384</v>
      </c>
      <c r="E29" s="210" t="s">
        <v>324</v>
      </c>
      <c r="F29" s="292" t="s">
        <v>1701</v>
      </c>
      <c r="AG29" s="185" t="s">
        <v>1847</v>
      </c>
      <c r="AH29" s="185"/>
      <c r="AI29" s="185" t="s">
        <v>1848</v>
      </c>
      <c r="AK29" s="339" t="s">
        <v>13</v>
      </c>
      <c r="AL29" s="340"/>
      <c r="AU29" s="310" t="s">
        <v>1860</v>
      </c>
      <c r="AV29" s="308" t="s">
        <v>1886</v>
      </c>
      <c r="AX29" s="197"/>
      <c r="BA29" s="191" t="s">
        <v>250</v>
      </c>
      <c r="BB29" s="192">
        <v>6</v>
      </c>
    </row>
    <row r="30" spans="1:60" x14ac:dyDescent="0.25">
      <c r="A30" s="185" t="s">
        <v>129</v>
      </c>
      <c r="B30" s="185" t="s">
        <v>622</v>
      </c>
      <c r="D30" s="59" t="s">
        <v>325</v>
      </c>
      <c r="E30" s="210" t="s">
        <v>326</v>
      </c>
      <c r="F30" s="292" t="s">
        <v>1702</v>
      </c>
      <c r="AG30" s="185" t="s">
        <v>600</v>
      </c>
      <c r="AH30" s="185"/>
      <c r="AI30" s="185" t="s">
        <v>699</v>
      </c>
      <c r="AK30" s="208" t="s">
        <v>602</v>
      </c>
      <c r="AL30" s="208" t="s">
        <v>543</v>
      </c>
      <c r="AU30" s="310" t="s">
        <v>1861</v>
      </c>
      <c r="AV30" s="308" t="s">
        <v>985</v>
      </c>
      <c r="AX30" s="197"/>
      <c r="BA30" s="191" t="s">
        <v>253</v>
      </c>
      <c r="BB30" s="192">
        <v>7</v>
      </c>
    </row>
    <row r="31" spans="1:60" x14ac:dyDescent="0.25">
      <c r="A31" s="185" t="s">
        <v>130</v>
      </c>
      <c r="B31" s="185" t="s">
        <v>626</v>
      </c>
      <c r="D31" s="59" t="s">
        <v>327</v>
      </c>
      <c r="E31" s="210" t="s">
        <v>328</v>
      </c>
      <c r="F31" s="292" t="s">
        <v>1704</v>
      </c>
      <c r="AG31" s="185" t="s">
        <v>2382</v>
      </c>
      <c r="AH31" s="185"/>
      <c r="AI31" s="185" t="s">
        <v>2383</v>
      </c>
      <c r="AK31" s="8" t="s">
        <v>1543</v>
      </c>
      <c r="AL31" s="185" t="s">
        <v>519</v>
      </c>
      <c r="AU31" s="310" t="s">
        <v>1862</v>
      </c>
      <c r="AV31" s="308" t="s">
        <v>1217</v>
      </c>
      <c r="AX31" s="197"/>
      <c r="BA31" s="191" t="s">
        <v>256</v>
      </c>
      <c r="BB31" s="192">
        <v>8</v>
      </c>
    </row>
    <row r="32" spans="1:60" x14ac:dyDescent="0.25">
      <c r="A32" s="185" t="s">
        <v>131</v>
      </c>
      <c r="B32" s="185" t="s">
        <v>640</v>
      </c>
      <c r="D32" s="59" t="s">
        <v>329</v>
      </c>
      <c r="E32" s="210" t="s">
        <v>330</v>
      </c>
      <c r="F32" s="292" t="s">
        <v>1706</v>
      </c>
      <c r="AG32" s="185"/>
      <c r="AH32" s="185"/>
      <c r="AI32" s="185"/>
      <c r="AK32" s="185" t="s">
        <v>515</v>
      </c>
      <c r="AL32" s="185" t="s">
        <v>520</v>
      </c>
      <c r="AU32" s="310" t="s">
        <v>1863</v>
      </c>
      <c r="AV32" s="308" t="s">
        <v>1163</v>
      </c>
      <c r="AX32" s="197"/>
      <c r="BA32" s="191" t="s">
        <v>259</v>
      </c>
      <c r="BB32" s="192">
        <v>9</v>
      </c>
    </row>
    <row r="33" spans="1:54" x14ac:dyDescent="0.25">
      <c r="A33" s="185" t="s">
        <v>132</v>
      </c>
      <c r="B33" s="185" t="s">
        <v>639</v>
      </c>
      <c r="D33" s="59" t="s">
        <v>331</v>
      </c>
      <c r="E33" s="210" t="s">
        <v>332</v>
      </c>
      <c r="F33" s="292" t="s">
        <v>1794</v>
      </c>
      <c r="AG33" s="185"/>
      <c r="AH33" s="185"/>
      <c r="AI33" s="185"/>
      <c r="AK33" s="185" t="s">
        <v>517</v>
      </c>
      <c r="AL33" s="185" t="s">
        <v>765</v>
      </c>
      <c r="AU33" s="310" t="s">
        <v>1864</v>
      </c>
      <c r="AV33" s="308" t="s">
        <v>1887</v>
      </c>
      <c r="AX33" s="197"/>
      <c r="BA33" s="191" t="s">
        <v>261</v>
      </c>
      <c r="BB33" s="192">
        <v>1</v>
      </c>
    </row>
    <row r="34" spans="1:54" x14ac:dyDescent="0.25">
      <c r="A34" s="185" t="s">
        <v>133</v>
      </c>
      <c r="B34" s="185" t="s">
        <v>629</v>
      </c>
      <c r="D34" s="59" t="s">
        <v>333</v>
      </c>
      <c r="E34" s="210" t="s">
        <v>334</v>
      </c>
      <c r="F34" s="292" t="s">
        <v>1705</v>
      </c>
      <c r="AG34" s="185"/>
      <c r="AH34" s="185"/>
      <c r="AI34" s="185"/>
      <c r="AK34" s="8" t="s">
        <v>1544</v>
      </c>
      <c r="AL34" s="185" t="s">
        <v>819</v>
      </c>
      <c r="AU34" s="310" t="s">
        <v>1865</v>
      </c>
      <c r="AV34" s="308" t="s">
        <v>1219</v>
      </c>
      <c r="AX34" s="197"/>
      <c r="BA34" s="191" t="s">
        <v>263</v>
      </c>
      <c r="BB34" s="192">
        <v>2</v>
      </c>
    </row>
    <row r="35" spans="1:54" x14ac:dyDescent="0.25">
      <c r="A35" s="185" t="s">
        <v>134</v>
      </c>
      <c r="B35" s="185" t="s">
        <v>623</v>
      </c>
      <c r="D35" s="59" t="s">
        <v>335</v>
      </c>
      <c r="E35" s="210" t="s">
        <v>336</v>
      </c>
      <c r="F35" s="292" t="s">
        <v>1707</v>
      </c>
      <c r="AG35" s="185"/>
      <c r="AH35" s="185"/>
      <c r="AI35" s="185"/>
      <c r="AK35" s="339" t="s">
        <v>760</v>
      </c>
      <c r="AL35" s="340"/>
      <c r="AU35" s="310" t="s">
        <v>1866</v>
      </c>
      <c r="AV35" s="308" t="s">
        <v>1218</v>
      </c>
      <c r="AX35" s="197"/>
      <c r="BA35" s="191" t="s">
        <v>25</v>
      </c>
      <c r="BB35" s="192">
        <v>3</v>
      </c>
    </row>
    <row r="36" spans="1:54" x14ac:dyDescent="0.25">
      <c r="A36" s="185" t="s">
        <v>135</v>
      </c>
      <c r="B36" s="185" t="s">
        <v>643</v>
      </c>
      <c r="D36" s="59" t="s">
        <v>337</v>
      </c>
      <c r="E36" s="210" t="s">
        <v>338</v>
      </c>
      <c r="F36" s="292" t="s">
        <v>1708</v>
      </c>
      <c r="AG36" s="185"/>
      <c r="AH36" s="185"/>
      <c r="AI36" s="185"/>
      <c r="AK36" s="208" t="s">
        <v>602</v>
      </c>
      <c r="AL36" s="208" t="s">
        <v>543</v>
      </c>
      <c r="AU36" s="310" t="s">
        <v>1867</v>
      </c>
      <c r="AV36" s="308" t="s">
        <v>986</v>
      </c>
      <c r="AX36" s="197"/>
      <c r="BA36" s="191" t="s">
        <v>266</v>
      </c>
      <c r="BB36" s="192">
        <v>4</v>
      </c>
    </row>
    <row r="37" spans="1:54" x14ac:dyDescent="0.25">
      <c r="A37" s="185" t="s">
        <v>136</v>
      </c>
      <c r="B37" s="185" t="s">
        <v>625</v>
      </c>
      <c r="D37" s="59" t="s">
        <v>339</v>
      </c>
      <c r="E37" s="59" t="s">
        <v>340</v>
      </c>
      <c r="F37" s="292" t="s">
        <v>1709</v>
      </c>
      <c r="AG37" s="185"/>
      <c r="AH37" s="185"/>
      <c r="AI37" s="185"/>
      <c r="AK37" s="185" t="s">
        <v>32</v>
      </c>
      <c r="AL37" s="185" t="s">
        <v>766</v>
      </c>
      <c r="AU37" s="310" t="s">
        <v>1868</v>
      </c>
      <c r="AV37" s="308" t="s">
        <v>1888</v>
      </c>
      <c r="AX37" s="197"/>
      <c r="BA37" s="191" t="s">
        <v>267</v>
      </c>
      <c r="BB37" s="192">
        <v>5</v>
      </c>
    </row>
    <row r="38" spans="1:54" x14ac:dyDescent="0.25">
      <c r="A38" s="185" t="s">
        <v>137</v>
      </c>
      <c r="B38" s="185" t="s">
        <v>646</v>
      </c>
      <c r="D38" s="59" t="s">
        <v>341</v>
      </c>
      <c r="E38" s="59" t="s">
        <v>342</v>
      </c>
      <c r="F38" s="292" t="s">
        <v>1710</v>
      </c>
      <c r="AG38" s="185"/>
      <c r="AH38" s="185"/>
      <c r="AI38" s="185"/>
      <c r="AK38" s="185" t="s">
        <v>33</v>
      </c>
      <c r="AL38" s="185" t="s">
        <v>767</v>
      </c>
      <c r="AU38" s="310" t="s">
        <v>1869</v>
      </c>
      <c r="AV38" s="308" t="s">
        <v>1246</v>
      </c>
      <c r="AX38" s="197"/>
    </row>
    <row r="39" spans="1:54" x14ac:dyDescent="0.25">
      <c r="A39" s="185" t="s">
        <v>138</v>
      </c>
      <c r="B39" s="185" t="s">
        <v>635</v>
      </c>
      <c r="D39" s="59" t="s">
        <v>343</v>
      </c>
      <c r="E39" s="59" t="s">
        <v>344</v>
      </c>
      <c r="F39" s="292" t="s">
        <v>1711</v>
      </c>
      <c r="AG39" s="185"/>
      <c r="AH39" s="185"/>
      <c r="AI39" s="185"/>
      <c r="AK39" s="185" t="s">
        <v>34</v>
      </c>
      <c r="AL39" s="185" t="s">
        <v>768</v>
      </c>
      <c r="AU39" s="310" t="s">
        <v>1870</v>
      </c>
      <c r="AV39" s="308" t="s">
        <v>1889</v>
      </c>
      <c r="AX39" s="197"/>
    </row>
    <row r="40" spans="1:54" x14ac:dyDescent="0.25">
      <c r="A40" s="185" t="s">
        <v>151</v>
      </c>
      <c r="B40" s="185" t="s">
        <v>652</v>
      </c>
      <c r="D40" s="59" t="s">
        <v>345</v>
      </c>
      <c r="E40" s="59" t="s">
        <v>346</v>
      </c>
      <c r="F40" s="292" t="s">
        <v>1795</v>
      </c>
      <c r="AG40" s="185"/>
      <c r="AH40" s="185"/>
      <c r="AI40" s="185"/>
      <c r="AK40" s="3" t="s">
        <v>1530</v>
      </c>
      <c r="AL40" s="185" t="s">
        <v>118</v>
      </c>
      <c r="AU40" s="310" t="s">
        <v>1871</v>
      </c>
      <c r="AV40" s="308" t="s">
        <v>1890</v>
      </c>
      <c r="AX40" s="197"/>
    </row>
    <row r="41" spans="1:54" x14ac:dyDescent="0.25">
      <c r="A41" s="185" t="s">
        <v>152</v>
      </c>
      <c r="B41" s="185" t="s">
        <v>653</v>
      </c>
      <c r="D41" s="59" t="s">
        <v>347</v>
      </c>
      <c r="E41" s="59" t="s">
        <v>348</v>
      </c>
      <c r="F41" s="292" t="s">
        <v>1712</v>
      </c>
      <c r="AU41" s="310" t="s">
        <v>1872</v>
      </c>
      <c r="AV41" s="308" t="s">
        <v>1891</v>
      </c>
      <c r="AX41" s="197"/>
    </row>
    <row r="42" spans="1:54" x14ac:dyDescent="0.25">
      <c r="A42" s="185" t="s">
        <v>153</v>
      </c>
      <c r="B42" s="185" t="s">
        <v>654</v>
      </c>
      <c r="D42" s="59" t="s">
        <v>349</v>
      </c>
      <c r="E42" s="59" t="s">
        <v>350</v>
      </c>
      <c r="F42" s="292" t="s">
        <v>1713</v>
      </c>
      <c r="AK42" s="58" t="e">
        <f>DAYS360('SF DATA'!$C$18,'SF DATA'!$C$19,30)</f>
        <v>#VALUE!</v>
      </c>
      <c r="AU42" s="310" t="s">
        <v>1873</v>
      </c>
      <c r="AV42" s="308" t="s">
        <v>1137</v>
      </c>
      <c r="AX42" s="197"/>
    </row>
    <row r="43" spans="1:54" x14ac:dyDescent="0.25">
      <c r="A43" s="185" t="s">
        <v>154</v>
      </c>
      <c r="B43" s="185" t="s">
        <v>661</v>
      </c>
      <c r="D43" s="59" t="s">
        <v>351</v>
      </c>
      <c r="E43" s="59" t="s">
        <v>352</v>
      </c>
      <c r="F43" s="292" t="s">
        <v>1714</v>
      </c>
      <c r="AU43" s="310" t="s">
        <v>1421</v>
      </c>
      <c r="AV43" s="308" t="s">
        <v>1892</v>
      </c>
      <c r="AX43" s="197"/>
    </row>
    <row r="44" spans="1:54" x14ac:dyDescent="0.25">
      <c r="A44" s="185" t="s">
        <v>155</v>
      </c>
      <c r="B44" s="185" t="s">
        <v>663</v>
      </c>
      <c r="D44" s="59" t="s">
        <v>353</v>
      </c>
      <c r="E44" s="59" t="s">
        <v>354</v>
      </c>
      <c r="F44" s="292" t="s">
        <v>1715</v>
      </c>
      <c r="AU44" s="310" t="s">
        <v>1874</v>
      </c>
      <c r="AV44" s="308" t="s">
        <v>984</v>
      </c>
      <c r="AX44" s="197"/>
    </row>
    <row r="45" spans="1:54" x14ac:dyDescent="0.25">
      <c r="A45" s="185" t="s">
        <v>156</v>
      </c>
      <c r="B45" s="185" t="s">
        <v>662</v>
      </c>
      <c r="D45" s="59" t="s">
        <v>355</v>
      </c>
      <c r="E45" s="59" t="s">
        <v>356</v>
      </c>
      <c r="F45" s="292" t="s">
        <v>1716</v>
      </c>
      <c r="AU45" s="310" t="s">
        <v>1077</v>
      </c>
      <c r="AV45" s="308" t="s">
        <v>1893</v>
      </c>
    </row>
    <row r="46" spans="1:54" x14ac:dyDescent="0.25">
      <c r="A46" s="185" t="s">
        <v>157</v>
      </c>
      <c r="B46" s="185" t="s">
        <v>665</v>
      </c>
      <c r="D46" s="59" t="s">
        <v>357</v>
      </c>
      <c r="E46" s="59" t="s">
        <v>358</v>
      </c>
      <c r="F46" s="292" t="s">
        <v>1717</v>
      </c>
      <c r="AU46" s="310" t="s">
        <v>1875</v>
      </c>
      <c r="AV46" s="308" t="s">
        <v>1076</v>
      </c>
    </row>
    <row r="47" spans="1:54" x14ac:dyDescent="0.25">
      <c r="A47" s="212" t="s">
        <v>614</v>
      </c>
      <c r="B47" s="185" t="s">
        <v>648</v>
      </c>
      <c r="D47" s="59" t="s">
        <v>359</v>
      </c>
      <c r="E47" s="59" t="s">
        <v>360</v>
      </c>
      <c r="F47" s="292" t="s">
        <v>1718</v>
      </c>
      <c r="AU47" s="310" t="s">
        <v>1876</v>
      </c>
      <c r="AV47" s="308" t="s">
        <v>1894</v>
      </c>
    </row>
    <row r="48" spans="1:54" x14ac:dyDescent="0.25">
      <c r="A48" s="212" t="s">
        <v>681</v>
      </c>
      <c r="B48" s="185" t="s">
        <v>649</v>
      </c>
      <c r="D48" s="59" t="s">
        <v>361</v>
      </c>
      <c r="E48" s="59" t="s">
        <v>362</v>
      </c>
      <c r="F48" s="292" t="s">
        <v>1719</v>
      </c>
      <c r="AU48" s="310" t="s">
        <v>1877</v>
      </c>
      <c r="AV48" s="308" t="s">
        <v>1160</v>
      </c>
    </row>
    <row r="49" spans="1:48" x14ac:dyDescent="0.25">
      <c r="A49" s="212" t="s">
        <v>682</v>
      </c>
      <c r="B49" s="185" t="s">
        <v>650</v>
      </c>
      <c r="D49" s="59" t="s">
        <v>363</v>
      </c>
      <c r="E49" s="59" t="s">
        <v>364</v>
      </c>
      <c r="F49" s="292" t="s">
        <v>1720</v>
      </c>
      <c r="AU49" s="310" t="s">
        <v>1878</v>
      </c>
      <c r="AV49" s="308" t="s">
        <v>960</v>
      </c>
    </row>
    <row r="50" spans="1:48" x14ac:dyDescent="0.25">
      <c r="A50" s="212" t="s">
        <v>677</v>
      </c>
      <c r="B50" s="185" t="s">
        <v>651</v>
      </c>
      <c r="D50" s="59" t="s">
        <v>365</v>
      </c>
      <c r="E50" s="59" t="s">
        <v>366</v>
      </c>
      <c r="F50" s="292" t="s">
        <v>1721</v>
      </c>
      <c r="AU50" s="310" t="s">
        <v>1308</v>
      </c>
      <c r="AV50" s="308" t="s">
        <v>1895</v>
      </c>
    </row>
    <row r="51" spans="1:48" x14ac:dyDescent="0.25">
      <c r="A51" s="212" t="s">
        <v>678</v>
      </c>
      <c r="B51" s="185" t="s">
        <v>655</v>
      </c>
      <c r="D51" s="59" t="s">
        <v>367</v>
      </c>
      <c r="E51" s="59" t="s">
        <v>368</v>
      </c>
      <c r="F51" s="291" t="s">
        <v>1722</v>
      </c>
      <c r="AU51" s="310" t="s">
        <v>1307</v>
      </c>
      <c r="AV51" s="308" t="s">
        <v>1896</v>
      </c>
    </row>
    <row r="52" spans="1:48" x14ac:dyDescent="0.25">
      <c r="A52" s="212" t="s">
        <v>615</v>
      </c>
      <c r="B52" s="185" t="s">
        <v>656</v>
      </c>
      <c r="D52" s="59" t="s">
        <v>369</v>
      </c>
      <c r="E52" s="59" t="s">
        <v>370</v>
      </c>
      <c r="F52" s="292" t="s">
        <v>1796</v>
      </c>
      <c r="AU52" s="310" t="s">
        <v>1306</v>
      </c>
      <c r="AV52" s="308" t="s">
        <v>1897</v>
      </c>
    </row>
    <row r="53" spans="1:48" x14ac:dyDescent="0.25">
      <c r="A53" s="212" t="s">
        <v>616</v>
      </c>
      <c r="B53" s="185" t="s">
        <v>657</v>
      </c>
      <c r="D53" s="59" t="s">
        <v>371</v>
      </c>
      <c r="E53" s="59" t="s">
        <v>372</v>
      </c>
      <c r="F53" s="291" t="s">
        <v>1723</v>
      </c>
      <c r="AU53" s="310" t="s">
        <v>1362</v>
      </c>
      <c r="AV53" s="308" t="s">
        <v>1361</v>
      </c>
    </row>
    <row r="54" spans="1:48" x14ac:dyDescent="0.25">
      <c r="A54" s="212" t="s">
        <v>683</v>
      </c>
      <c r="B54" s="185" t="s">
        <v>658</v>
      </c>
      <c r="D54" s="59" t="s">
        <v>373</v>
      </c>
      <c r="E54" s="59" t="s">
        <v>374</v>
      </c>
      <c r="F54" s="292" t="s">
        <v>1724</v>
      </c>
      <c r="AU54" s="310" t="s">
        <v>1360</v>
      </c>
      <c r="AV54" s="308" t="s">
        <v>1359</v>
      </c>
    </row>
    <row r="55" spans="1:48" x14ac:dyDescent="0.25">
      <c r="A55" s="212" t="s">
        <v>684</v>
      </c>
      <c r="B55" s="185" t="s">
        <v>659</v>
      </c>
      <c r="D55" s="59" t="s">
        <v>375</v>
      </c>
      <c r="E55" s="59" t="s">
        <v>376</v>
      </c>
      <c r="F55" s="292" t="s">
        <v>1725</v>
      </c>
      <c r="AU55" s="310" t="s">
        <v>1358</v>
      </c>
      <c r="AV55" s="308" t="s">
        <v>1898</v>
      </c>
    </row>
    <row r="56" spans="1:48" x14ac:dyDescent="0.25">
      <c r="A56" s="212" t="s">
        <v>679</v>
      </c>
      <c r="B56" s="185" t="s">
        <v>660</v>
      </c>
      <c r="D56" s="59" t="s">
        <v>377</v>
      </c>
      <c r="E56" s="59" t="s">
        <v>378</v>
      </c>
      <c r="F56" s="292" t="s">
        <v>1726</v>
      </c>
      <c r="AU56" s="310" t="s">
        <v>1270</v>
      </c>
      <c r="AV56" s="308" t="s">
        <v>1899</v>
      </c>
    </row>
    <row r="57" spans="1:48" x14ac:dyDescent="0.25">
      <c r="A57" s="212" t="s">
        <v>680</v>
      </c>
      <c r="B57" s="185" t="s">
        <v>664</v>
      </c>
      <c r="D57" s="59" t="s">
        <v>379</v>
      </c>
      <c r="E57" s="59" t="s">
        <v>380</v>
      </c>
      <c r="F57" s="292" t="s">
        <v>494</v>
      </c>
      <c r="AU57" s="310" t="s">
        <v>1121</v>
      </c>
      <c r="AV57" s="308" t="s">
        <v>1900</v>
      </c>
    </row>
    <row r="58" spans="1:48" x14ac:dyDescent="0.25">
      <c r="A58" s="212" t="s">
        <v>666</v>
      </c>
      <c r="B58" s="185" t="s">
        <v>618</v>
      </c>
      <c r="D58" s="59" t="s">
        <v>381</v>
      </c>
      <c r="E58" s="59" t="s">
        <v>382</v>
      </c>
      <c r="F58" s="292" t="s">
        <v>1727</v>
      </c>
      <c r="AU58" s="310" t="s">
        <v>1119</v>
      </c>
      <c r="AV58" s="308" t="s">
        <v>1901</v>
      </c>
    </row>
    <row r="59" spans="1:48" x14ac:dyDescent="0.25">
      <c r="A59" s="212" t="s">
        <v>685</v>
      </c>
      <c r="B59" s="185" t="s">
        <v>686</v>
      </c>
      <c r="D59" s="59" t="s">
        <v>383</v>
      </c>
      <c r="E59" s="59" t="s">
        <v>384</v>
      </c>
      <c r="F59" s="292" t="s">
        <v>1728</v>
      </c>
      <c r="AU59" s="310" t="s">
        <v>1118</v>
      </c>
      <c r="AV59" s="308" t="s">
        <v>1902</v>
      </c>
    </row>
    <row r="60" spans="1:48" x14ac:dyDescent="0.25">
      <c r="A60" s="212" t="s">
        <v>667</v>
      </c>
      <c r="B60" s="185" t="s">
        <v>627</v>
      </c>
      <c r="D60" s="59" t="s">
        <v>385</v>
      </c>
      <c r="E60" s="59" t="s">
        <v>386</v>
      </c>
      <c r="F60" s="292" t="s">
        <v>1729</v>
      </c>
      <c r="AU60" s="310" t="s">
        <v>1112</v>
      </c>
      <c r="AV60" s="308" t="s">
        <v>1903</v>
      </c>
    </row>
    <row r="61" spans="1:48" x14ac:dyDescent="0.25">
      <c r="A61" s="212" t="s">
        <v>668</v>
      </c>
      <c r="B61" s="185" t="s">
        <v>630</v>
      </c>
      <c r="D61" s="59" t="s">
        <v>387</v>
      </c>
      <c r="E61" s="59" t="s">
        <v>388</v>
      </c>
      <c r="F61" s="291" t="s">
        <v>1730</v>
      </c>
      <c r="AU61" s="310" t="s">
        <v>1117</v>
      </c>
      <c r="AV61" s="308" t="s">
        <v>1116</v>
      </c>
    </row>
    <row r="62" spans="1:48" x14ac:dyDescent="0.25">
      <c r="A62" s="212" t="s">
        <v>669</v>
      </c>
      <c r="B62" s="185" t="s">
        <v>632</v>
      </c>
      <c r="D62" s="59" t="s">
        <v>389</v>
      </c>
      <c r="E62" s="59" t="s">
        <v>390</v>
      </c>
      <c r="F62" s="292" t="s">
        <v>1731</v>
      </c>
      <c r="AU62" s="310" t="s">
        <v>1114</v>
      </c>
      <c r="AV62" s="308" t="s">
        <v>1904</v>
      </c>
    </row>
    <row r="63" spans="1:48" x14ac:dyDescent="0.25">
      <c r="A63" s="212" t="s">
        <v>670</v>
      </c>
      <c r="B63" s="185" t="s">
        <v>633</v>
      </c>
      <c r="D63" s="59" t="s">
        <v>391</v>
      </c>
      <c r="E63" s="59" t="s">
        <v>392</v>
      </c>
      <c r="F63" s="291" t="s">
        <v>1732</v>
      </c>
      <c r="AU63" s="310" t="s">
        <v>1113</v>
      </c>
      <c r="AV63" s="308" t="s">
        <v>1905</v>
      </c>
    </row>
    <row r="64" spans="1:48" x14ac:dyDescent="0.25">
      <c r="A64" s="212" t="s">
        <v>612</v>
      </c>
      <c r="B64" s="185" t="s">
        <v>634</v>
      </c>
      <c r="D64" s="59" t="s">
        <v>393</v>
      </c>
      <c r="E64" s="59" t="s">
        <v>394</v>
      </c>
      <c r="F64" s="292" t="s">
        <v>1733</v>
      </c>
      <c r="AU64" s="310" t="s">
        <v>1293</v>
      </c>
      <c r="AV64" s="308" t="s">
        <v>1906</v>
      </c>
    </row>
    <row r="65" spans="1:48" x14ac:dyDescent="0.25">
      <c r="A65" s="212" t="s">
        <v>613</v>
      </c>
      <c r="B65" s="185" t="s">
        <v>636</v>
      </c>
      <c r="D65" s="59" t="s">
        <v>395</v>
      </c>
      <c r="E65" s="59" t="s">
        <v>396</v>
      </c>
      <c r="F65" s="292" t="s">
        <v>1734</v>
      </c>
      <c r="AU65" s="310" t="s">
        <v>1292</v>
      </c>
      <c r="AV65" s="308" t="s">
        <v>1907</v>
      </c>
    </row>
    <row r="66" spans="1:48" x14ac:dyDescent="0.25">
      <c r="A66" s="212" t="s">
        <v>671</v>
      </c>
      <c r="B66" s="185" t="s">
        <v>637</v>
      </c>
      <c r="D66" s="59" t="s">
        <v>397</v>
      </c>
      <c r="E66" s="59" t="s">
        <v>398</v>
      </c>
      <c r="F66" s="292" t="s">
        <v>1735</v>
      </c>
      <c r="AU66" s="310" t="s">
        <v>1438</v>
      </c>
      <c r="AV66" s="308" t="s">
        <v>1908</v>
      </c>
    </row>
    <row r="67" spans="1:48" x14ac:dyDescent="0.25">
      <c r="A67" s="212" t="s">
        <v>672</v>
      </c>
      <c r="B67" s="185" t="s">
        <v>638</v>
      </c>
      <c r="D67" s="59" t="s">
        <v>399</v>
      </c>
      <c r="E67" s="59" t="s">
        <v>400</v>
      </c>
      <c r="F67" s="291" t="s">
        <v>1736</v>
      </c>
      <c r="AU67" s="310" t="s">
        <v>1115</v>
      </c>
      <c r="AV67" s="308" t="s">
        <v>1909</v>
      </c>
    </row>
    <row r="68" spans="1:48" x14ac:dyDescent="0.25">
      <c r="A68" s="212" t="s">
        <v>673</v>
      </c>
      <c r="B68" s="185" t="s">
        <v>641</v>
      </c>
      <c r="D68" s="59" t="s">
        <v>401</v>
      </c>
      <c r="E68" s="59" t="s">
        <v>402</v>
      </c>
      <c r="F68" s="292" t="s">
        <v>1737</v>
      </c>
      <c r="AU68" s="310" t="s">
        <v>1099</v>
      </c>
      <c r="AV68" s="308" t="s">
        <v>1098</v>
      </c>
    </row>
    <row r="69" spans="1:48" x14ac:dyDescent="0.25">
      <c r="A69" s="212" t="s">
        <v>674</v>
      </c>
      <c r="B69" s="185" t="s">
        <v>644</v>
      </c>
      <c r="D69" s="59" t="s">
        <v>403</v>
      </c>
      <c r="E69" s="59" t="s">
        <v>404</v>
      </c>
      <c r="F69" s="292" t="s">
        <v>1797</v>
      </c>
      <c r="AU69" s="310" t="s">
        <v>1407</v>
      </c>
      <c r="AV69" s="308" t="s">
        <v>1910</v>
      </c>
    </row>
    <row r="70" spans="1:48" x14ac:dyDescent="0.25">
      <c r="A70" s="212" t="s">
        <v>675</v>
      </c>
      <c r="B70" s="185" t="s">
        <v>645</v>
      </c>
      <c r="D70" s="59" t="s">
        <v>405</v>
      </c>
      <c r="E70" s="59" t="s">
        <v>406</v>
      </c>
      <c r="F70" s="291" t="s">
        <v>1738</v>
      </c>
      <c r="AU70" s="310">
        <v>6029</v>
      </c>
      <c r="AV70" s="308" t="s">
        <v>944</v>
      </c>
    </row>
    <row r="71" spans="1:48" x14ac:dyDescent="0.25">
      <c r="A71" s="212" t="s">
        <v>676</v>
      </c>
      <c r="B71" s="185" t="s">
        <v>647</v>
      </c>
      <c r="D71" s="59" t="s">
        <v>407</v>
      </c>
      <c r="E71" s="59" t="s">
        <v>408</v>
      </c>
      <c r="F71" s="292" t="s">
        <v>1739</v>
      </c>
      <c r="AU71" s="310" t="s">
        <v>925</v>
      </c>
      <c r="AV71" s="308" t="s">
        <v>1911</v>
      </c>
    </row>
    <row r="72" spans="1:48" x14ac:dyDescent="0.25">
      <c r="D72" s="59" t="s">
        <v>409</v>
      </c>
      <c r="E72" s="59" t="s">
        <v>410</v>
      </c>
      <c r="F72" s="292" t="s">
        <v>1740</v>
      </c>
      <c r="AU72" s="310" t="s">
        <v>1210</v>
      </c>
      <c r="AV72" s="308" t="s">
        <v>1912</v>
      </c>
    </row>
    <row r="73" spans="1:48" x14ac:dyDescent="0.25">
      <c r="D73" s="59" t="s">
        <v>411</v>
      </c>
      <c r="E73" s="59" t="s">
        <v>412</v>
      </c>
      <c r="F73" s="292" t="s">
        <v>1509</v>
      </c>
      <c r="AU73" s="310" t="s">
        <v>1136</v>
      </c>
      <c r="AV73" s="308" t="s">
        <v>1913</v>
      </c>
    </row>
    <row r="74" spans="1:48" x14ac:dyDescent="0.25">
      <c r="D74" s="59" t="s">
        <v>413</v>
      </c>
      <c r="E74" s="59" t="s">
        <v>414</v>
      </c>
      <c r="F74" s="292" t="s">
        <v>1741</v>
      </c>
      <c r="AU74" s="310" t="s">
        <v>1079</v>
      </c>
      <c r="AV74" s="308" t="s">
        <v>1078</v>
      </c>
    </row>
    <row r="75" spans="1:48" x14ac:dyDescent="0.25">
      <c r="D75" s="59" t="s">
        <v>415</v>
      </c>
      <c r="E75" s="59" t="s">
        <v>416</v>
      </c>
      <c r="F75" s="292" t="s">
        <v>1742</v>
      </c>
      <c r="AU75" s="310" t="s">
        <v>933</v>
      </c>
      <c r="AV75" s="308" t="s">
        <v>1914</v>
      </c>
    </row>
    <row r="76" spans="1:48" x14ac:dyDescent="0.25">
      <c r="D76" s="59" t="s">
        <v>417</v>
      </c>
      <c r="E76" s="59" t="s">
        <v>418</v>
      </c>
      <c r="F76" s="292" t="s">
        <v>1743</v>
      </c>
      <c r="AU76" s="310" t="s">
        <v>1080</v>
      </c>
      <c r="AV76" s="308" t="s">
        <v>1915</v>
      </c>
    </row>
    <row r="77" spans="1:48" x14ac:dyDescent="0.25">
      <c r="D77" s="59" t="s">
        <v>419</v>
      </c>
      <c r="E77" s="59" t="s">
        <v>420</v>
      </c>
      <c r="F77" s="292" t="s">
        <v>1744</v>
      </c>
      <c r="AU77" s="310" t="s">
        <v>932</v>
      </c>
      <c r="AV77" s="308" t="s">
        <v>931</v>
      </c>
    </row>
    <row r="78" spans="1:48" x14ac:dyDescent="0.25">
      <c r="D78" s="59" t="s">
        <v>421</v>
      </c>
      <c r="E78" s="59" t="s">
        <v>422</v>
      </c>
      <c r="F78" s="292" t="s">
        <v>1745</v>
      </c>
      <c r="AU78" s="310" t="s">
        <v>924</v>
      </c>
      <c r="AV78" s="308" t="s">
        <v>923</v>
      </c>
    </row>
    <row r="79" spans="1:48" x14ac:dyDescent="0.25">
      <c r="D79" s="59" t="s">
        <v>423</v>
      </c>
      <c r="E79" s="59" t="s">
        <v>424</v>
      </c>
      <c r="F79" s="291" t="s">
        <v>1746</v>
      </c>
      <c r="AU79" s="310" t="s">
        <v>1221</v>
      </c>
      <c r="AV79" s="308" t="s">
        <v>1916</v>
      </c>
    </row>
    <row r="80" spans="1:48" x14ac:dyDescent="0.25">
      <c r="D80" s="59" t="s">
        <v>425</v>
      </c>
      <c r="E80" s="59" t="s">
        <v>426</v>
      </c>
      <c r="F80" s="292" t="s">
        <v>1747</v>
      </c>
      <c r="AU80" s="310">
        <v>6513</v>
      </c>
      <c r="AV80" s="308" t="s">
        <v>1917</v>
      </c>
    </row>
    <row r="81" spans="4:48" x14ac:dyDescent="0.25">
      <c r="D81" s="59" t="s">
        <v>427</v>
      </c>
      <c r="E81" s="59" t="s">
        <v>428</v>
      </c>
      <c r="F81" s="292" t="s">
        <v>1748</v>
      </c>
      <c r="AU81" s="310" t="s">
        <v>1322</v>
      </c>
      <c r="AV81" s="308" t="s">
        <v>1321</v>
      </c>
    </row>
    <row r="82" spans="4:48" x14ac:dyDescent="0.25">
      <c r="D82" s="59" t="s">
        <v>429</v>
      </c>
      <c r="E82" s="59" t="s">
        <v>430</v>
      </c>
      <c r="F82" s="291" t="s">
        <v>1749</v>
      </c>
      <c r="AU82" s="310" t="s">
        <v>930</v>
      </c>
      <c r="AV82" s="308" t="s">
        <v>1918</v>
      </c>
    </row>
    <row r="83" spans="4:48" x14ac:dyDescent="0.25">
      <c r="D83" s="59" t="s">
        <v>431</v>
      </c>
      <c r="E83" s="59" t="s">
        <v>432</v>
      </c>
      <c r="F83" s="291" t="s">
        <v>1750</v>
      </c>
      <c r="AU83" s="310" t="s">
        <v>1082</v>
      </c>
      <c r="AV83" s="308" t="s">
        <v>1081</v>
      </c>
    </row>
    <row r="84" spans="4:48" x14ac:dyDescent="0.25">
      <c r="D84" s="59" t="s">
        <v>433</v>
      </c>
      <c r="E84" s="59" t="s">
        <v>434</v>
      </c>
      <c r="F84" s="292" t="s">
        <v>1751</v>
      </c>
      <c r="AU84" s="310" t="s">
        <v>1124</v>
      </c>
      <c r="AV84" s="308" t="s">
        <v>1919</v>
      </c>
    </row>
    <row r="85" spans="4:48" x14ac:dyDescent="0.25">
      <c r="D85" s="59" t="s">
        <v>435</v>
      </c>
      <c r="E85" s="59" t="s">
        <v>436</v>
      </c>
      <c r="F85" s="292" t="s">
        <v>1798</v>
      </c>
      <c r="AU85" s="310" t="s">
        <v>929</v>
      </c>
      <c r="AV85" s="308" t="s">
        <v>1920</v>
      </c>
    </row>
    <row r="86" spans="4:48" x14ac:dyDescent="0.25">
      <c r="D86" s="59" t="s">
        <v>437</v>
      </c>
      <c r="E86" s="59" t="s">
        <v>438</v>
      </c>
      <c r="F86" s="291" t="s">
        <v>1799</v>
      </c>
      <c r="AU86" s="310" t="s">
        <v>1083</v>
      </c>
      <c r="AV86" s="308" t="s">
        <v>1921</v>
      </c>
    </row>
    <row r="87" spans="4:48" x14ac:dyDescent="0.25">
      <c r="D87" s="59" t="s">
        <v>439</v>
      </c>
      <c r="E87" s="59" t="s">
        <v>440</v>
      </c>
      <c r="F87" s="291" t="s">
        <v>1752</v>
      </c>
      <c r="AU87" s="310">
        <v>6282</v>
      </c>
      <c r="AV87" s="308" t="s">
        <v>1922</v>
      </c>
    </row>
    <row r="88" spans="4:48" x14ac:dyDescent="0.25">
      <c r="D88" s="59" t="s">
        <v>441</v>
      </c>
      <c r="E88" s="59" t="s">
        <v>442</v>
      </c>
      <c r="F88" s="291" t="s">
        <v>1753</v>
      </c>
      <c r="AU88" s="310" t="s">
        <v>934</v>
      </c>
      <c r="AV88" s="308" t="s">
        <v>1923</v>
      </c>
    </row>
    <row r="89" spans="4:48" x14ac:dyDescent="0.25">
      <c r="D89" s="59" t="s">
        <v>443</v>
      </c>
      <c r="E89" s="59" t="s">
        <v>444</v>
      </c>
      <c r="F89" s="292" t="s">
        <v>1754</v>
      </c>
      <c r="AU89" s="310" t="s">
        <v>1236</v>
      </c>
      <c r="AV89" s="308" t="s">
        <v>1924</v>
      </c>
    </row>
    <row r="90" spans="4:48" x14ac:dyDescent="0.25">
      <c r="D90" s="59" t="s">
        <v>445</v>
      </c>
      <c r="E90" s="59" t="s">
        <v>446</v>
      </c>
      <c r="F90" s="291" t="s">
        <v>1755</v>
      </c>
      <c r="AU90" s="310" t="s">
        <v>967</v>
      </c>
      <c r="AV90" s="308" t="s">
        <v>966</v>
      </c>
    </row>
    <row r="91" spans="4:48" x14ac:dyDescent="0.25">
      <c r="D91" s="59" t="s">
        <v>447</v>
      </c>
      <c r="E91" s="59" t="s">
        <v>448</v>
      </c>
      <c r="F91" s="292" t="s">
        <v>1756</v>
      </c>
      <c r="AU91" s="310" t="s">
        <v>1357</v>
      </c>
      <c r="AV91" s="308" t="s">
        <v>1356</v>
      </c>
    </row>
    <row r="92" spans="4:48" x14ac:dyDescent="0.25">
      <c r="D92" s="59" t="s">
        <v>449</v>
      </c>
      <c r="E92" s="59" t="s">
        <v>450</v>
      </c>
      <c r="F92" s="292" t="s">
        <v>1757</v>
      </c>
      <c r="AU92" s="310" t="s">
        <v>965</v>
      </c>
      <c r="AV92" s="308" t="s">
        <v>1925</v>
      </c>
    </row>
    <row r="93" spans="4:48" x14ac:dyDescent="0.25">
      <c r="D93" s="59" t="s">
        <v>451</v>
      </c>
      <c r="E93" s="59" t="s">
        <v>452</v>
      </c>
      <c r="F93" s="291" t="s">
        <v>1758</v>
      </c>
      <c r="AU93" s="310" t="s">
        <v>1355</v>
      </c>
      <c r="AV93" s="308" t="s">
        <v>1354</v>
      </c>
    </row>
    <row r="94" spans="4:48" x14ac:dyDescent="0.25">
      <c r="D94" s="59" t="s">
        <v>453</v>
      </c>
      <c r="E94" s="59" t="s">
        <v>454</v>
      </c>
      <c r="F94" s="292" t="s">
        <v>1759</v>
      </c>
      <c r="AU94" s="310" t="s">
        <v>1253</v>
      </c>
      <c r="AV94" s="308" t="s">
        <v>1252</v>
      </c>
    </row>
    <row r="95" spans="4:48" x14ac:dyDescent="0.25">
      <c r="D95" s="59" t="s">
        <v>455</v>
      </c>
      <c r="E95" s="59" t="s">
        <v>456</v>
      </c>
      <c r="F95" s="291" t="s">
        <v>1760</v>
      </c>
      <c r="AU95" s="310" t="s">
        <v>1353</v>
      </c>
      <c r="AV95" s="308" t="s">
        <v>1926</v>
      </c>
    </row>
    <row r="96" spans="4:48" x14ac:dyDescent="0.25">
      <c r="D96" s="59" t="s">
        <v>457</v>
      </c>
      <c r="E96" s="59" t="s">
        <v>458</v>
      </c>
      <c r="F96" s="291" t="s">
        <v>1761</v>
      </c>
      <c r="AU96" s="310" t="s">
        <v>1251</v>
      </c>
      <c r="AV96" s="308" t="s">
        <v>1927</v>
      </c>
    </row>
    <row r="97" spans="4:48" x14ac:dyDescent="0.25">
      <c r="D97" s="59" t="s">
        <v>459</v>
      </c>
      <c r="E97" s="59" t="s">
        <v>460</v>
      </c>
      <c r="F97" s="291" t="s">
        <v>1762</v>
      </c>
      <c r="AU97" s="310" t="s">
        <v>971</v>
      </c>
      <c r="AV97" s="308" t="s">
        <v>1928</v>
      </c>
    </row>
    <row r="98" spans="4:48" x14ac:dyDescent="0.25">
      <c r="D98" s="59" t="s">
        <v>461</v>
      </c>
      <c r="E98" s="59" t="s">
        <v>462</v>
      </c>
      <c r="F98" s="292" t="s">
        <v>1763</v>
      </c>
      <c r="AU98" s="310" t="s">
        <v>969</v>
      </c>
      <c r="AV98" s="308" t="s">
        <v>968</v>
      </c>
    </row>
    <row r="99" spans="4:48" x14ac:dyDescent="0.25">
      <c r="D99" s="59" t="s">
        <v>463</v>
      </c>
      <c r="E99" s="59">
        <v>226</v>
      </c>
      <c r="F99" s="292" t="s">
        <v>1485</v>
      </c>
      <c r="AU99" s="310" t="s">
        <v>970</v>
      </c>
      <c r="AV99" s="308" t="s">
        <v>1929</v>
      </c>
    </row>
    <row r="100" spans="4:48" x14ac:dyDescent="0.25">
      <c r="D100" s="59" t="s">
        <v>464</v>
      </c>
      <c r="E100" s="59" t="s">
        <v>465</v>
      </c>
      <c r="F100" s="292" t="s">
        <v>1764</v>
      </c>
      <c r="AU100" s="310" t="s">
        <v>1155</v>
      </c>
      <c r="AV100" s="308" t="s">
        <v>1930</v>
      </c>
    </row>
    <row r="101" spans="4:48" x14ac:dyDescent="0.25">
      <c r="D101" s="59" t="s">
        <v>466</v>
      </c>
      <c r="E101" s="59" t="s">
        <v>467</v>
      </c>
      <c r="F101" s="292" t="s">
        <v>1800</v>
      </c>
      <c r="AU101" s="310" t="s">
        <v>1412</v>
      </c>
      <c r="AV101" s="308" t="s">
        <v>1411</v>
      </c>
    </row>
    <row r="102" spans="4:48" x14ac:dyDescent="0.25">
      <c r="D102" s="59" t="s">
        <v>468</v>
      </c>
      <c r="E102" s="59" t="s">
        <v>469</v>
      </c>
      <c r="F102" s="291" t="s">
        <v>1765</v>
      </c>
      <c r="AU102" s="310" t="s">
        <v>1157</v>
      </c>
      <c r="AV102" s="308" t="s">
        <v>1156</v>
      </c>
    </row>
    <row r="103" spans="4:48" x14ac:dyDescent="0.25">
      <c r="D103" s="59" t="s">
        <v>470</v>
      </c>
      <c r="E103" s="59" t="s">
        <v>471</v>
      </c>
      <c r="F103" s="291" t="s">
        <v>1766</v>
      </c>
      <c r="AU103" s="310" t="s">
        <v>1434</v>
      </c>
      <c r="AV103" s="308" t="s">
        <v>1433</v>
      </c>
    </row>
    <row r="104" spans="4:48" x14ac:dyDescent="0.25">
      <c r="D104" s="59" t="s">
        <v>472</v>
      </c>
      <c r="E104" s="59" t="s">
        <v>473</v>
      </c>
      <c r="F104" s="292" t="s">
        <v>1767</v>
      </c>
      <c r="AU104" s="310" t="s">
        <v>1064</v>
      </c>
      <c r="AV104" s="308" t="s">
        <v>1931</v>
      </c>
    </row>
    <row r="105" spans="4:48" x14ac:dyDescent="0.25">
      <c r="D105" s="59" t="s">
        <v>474</v>
      </c>
      <c r="E105" s="59" t="s">
        <v>475</v>
      </c>
      <c r="F105" s="291" t="s">
        <v>674</v>
      </c>
      <c r="AU105" s="310" t="s">
        <v>1417</v>
      </c>
      <c r="AV105" s="308" t="s">
        <v>1416</v>
      </c>
    </row>
    <row r="106" spans="4:48" x14ac:dyDescent="0.25">
      <c r="D106" s="59" t="s">
        <v>476</v>
      </c>
      <c r="E106" s="59" t="s">
        <v>477</v>
      </c>
      <c r="F106" s="291" t="s">
        <v>1768</v>
      </c>
      <c r="AU106" s="310" t="s">
        <v>1297</v>
      </c>
      <c r="AV106" s="308" t="s">
        <v>1932</v>
      </c>
    </row>
    <row r="107" spans="4:48" x14ac:dyDescent="0.25">
      <c r="D107" s="59" t="s">
        <v>478</v>
      </c>
      <c r="E107" s="59" t="s">
        <v>479</v>
      </c>
      <c r="F107" s="291" t="s">
        <v>1769</v>
      </c>
      <c r="AU107" s="310" t="s">
        <v>1296</v>
      </c>
      <c r="AV107" s="308" t="s">
        <v>1933</v>
      </c>
    </row>
    <row r="108" spans="4:48" x14ac:dyDescent="0.25">
      <c r="D108" s="59" t="s">
        <v>480</v>
      </c>
      <c r="E108" s="59" t="s">
        <v>481</v>
      </c>
      <c r="F108" s="291" t="s">
        <v>1801</v>
      </c>
      <c r="AU108" s="310" t="s">
        <v>1295</v>
      </c>
      <c r="AV108" s="308" t="s">
        <v>1294</v>
      </c>
    </row>
    <row r="109" spans="4:48" x14ac:dyDescent="0.25">
      <c r="D109" s="59" t="s">
        <v>482</v>
      </c>
      <c r="E109" s="59" t="s">
        <v>483</v>
      </c>
      <c r="F109" s="292" t="s">
        <v>1770</v>
      </c>
      <c r="AU109" s="310" t="s">
        <v>1415</v>
      </c>
      <c r="AV109" s="308" t="s">
        <v>1414</v>
      </c>
    </row>
    <row r="110" spans="4:48" x14ac:dyDescent="0.25">
      <c r="D110" s="59" t="s">
        <v>484</v>
      </c>
      <c r="E110" s="59" t="s">
        <v>485</v>
      </c>
      <c r="F110" s="292" t="s">
        <v>1771</v>
      </c>
      <c r="AU110" s="310" t="s">
        <v>1410</v>
      </c>
      <c r="AV110" s="308" t="s">
        <v>1934</v>
      </c>
    </row>
    <row r="111" spans="4:48" x14ac:dyDescent="0.25">
      <c r="D111" s="59" t="s">
        <v>486</v>
      </c>
      <c r="E111" s="59" t="s">
        <v>487</v>
      </c>
      <c r="F111" s="291" t="s">
        <v>1772</v>
      </c>
      <c r="AU111" s="310" t="s">
        <v>1409</v>
      </c>
      <c r="AV111" s="308" t="s">
        <v>1408</v>
      </c>
    </row>
    <row r="112" spans="4:48" x14ac:dyDescent="0.25">
      <c r="D112" s="59" t="s">
        <v>488</v>
      </c>
      <c r="E112" s="59" t="s">
        <v>489</v>
      </c>
      <c r="F112" s="291" t="s">
        <v>1773</v>
      </c>
      <c r="AU112" s="310" t="s">
        <v>1132</v>
      </c>
      <c r="AV112" s="308" t="s">
        <v>1131</v>
      </c>
    </row>
    <row r="113" spans="4:48" x14ac:dyDescent="0.25">
      <c r="D113" s="59" t="s">
        <v>490</v>
      </c>
      <c r="E113" s="59" t="s">
        <v>491</v>
      </c>
      <c r="F113" s="292" t="s">
        <v>1774</v>
      </c>
      <c r="AU113" s="310" t="s">
        <v>916</v>
      </c>
      <c r="AV113" s="308" t="s">
        <v>915</v>
      </c>
    </row>
    <row r="114" spans="4:48" x14ac:dyDescent="0.25">
      <c r="D114" s="59" t="s">
        <v>492</v>
      </c>
      <c r="E114" s="59" t="s">
        <v>493</v>
      </c>
      <c r="F114" s="291" t="s">
        <v>1775</v>
      </c>
      <c r="AU114" s="310" t="s">
        <v>1130</v>
      </c>
      <c r="AV114" s="308" t="s">
        <v>1129</v>
      </c>
    </row>
    <row r="115" spans="4:48" x14ac:dyDescent="0.25">
      <c r="D115" s="59" t="s">
        <v>494</v>
      </c>
      <c r="E115" s="59" t="s">
        <v>495</v>
      </c>
      <c r="F115" s="292" t="s">
        <v>494</v>
      </c>
      <c r="AU115" s="310" t="s">
        <v>1128</v>
      </c>
      <c r="AV115" s="308" t="s">
        <v>1127</v>
      </c>
    </row>
    <row r="116" spans="4:48" x14ac:dyDescent="0.25">
      <c r="D116" s="59" t="s">
        <v>496</v>
      </c>
      <c r="E116" s="59" t="s">
        <v>497</v>
      </c>
      <c r="F116" s="291" t="s">
        <v>1776</v>
      </c>
      <c r="AU116" s="310" t="s">
        <v>1413</v>
      </c>
      <c r="AV116" s="308" t="s">
        <v>1935</v>
      </c>
    </row>
    <row r="117" spans="4:48" x14ac:dyDescent="0.25">
      <c r="D117" s="59" t="s">
        <v>498</v>
      </c>
      <c r="E117" s="59" t="s">
        <v>499</v>
      </c>
      <c r="F117" s="291" t="s">
        <v>1777</v>
      </c>
      <c r="AU117" s="310" t="s">
        <v>1242</v>
      </c>
      <c r="AV117" s="308" t="s">
        <v>1936</v>
      </c>
    </row>
    <row r="118" spans="4:48" x14ac:dyDescent="0.25">
      <c r="D118" s="59" t="s">
        <v>500</v>
      </c>
      <c r="E118" s="59" t="s">
        <v>501</v>
      </c>
      <c r="F118" s="291" t="s">
        <v>500</v>
      </c>
      <c r="AU118" s="310" t="s">
        <v>1019</v>
      </c>
      <c r="AV118" s="308" t="s">
        <v>1018</v>
      </c>
    </row>
    <row r="119" spans="4:48" x14ac:dyDescent="0.25">
      <c r="D119" s="59" t="s">
        <v>502</v>
      </c>
      <c r="E119" s="59" t="s">
        <v>503</v>
      </c>
      <c r="F119" s="292" t="s">
        <v>1778</v>
      </c>
      <c r="AU119" s="310" t="s">
        <v>1015</v>
      </c>
      <c r="AV119" s="308" t="s">
        <v>1014</v>
      </c>
    </row>
    <row r="120" spans="4:48" x14ac:dyDescent="0.25">
      <c r="D120" s="59" t="s">
        <v>504</v>
      </c>
      <c r="E120" s="59" t="s">
        <v>505</v>
      </c>
      <c r="F120" s="292" t="s">
        <v>1779</v>
      </c>
      <c r="AU120" s="310" t="s">
        <v>999</v>
      </c>
      <c r="AV120" s="308" t="s">
        <v>998</v>
      </c>
    </row>
    <row r="121" spans="4:48" x14ac:dyDescent="0.25">
      <c r="D121" s="59" t="s">
        <v>506</v>
      </c>
      <c r="E121" s="59" t="s">
        <v>507</v>
      </c>
      <c r="F121" s="291" t="s">
        <v>1780</v>
      </c>
      <c r="AU121" s="310" t="s">
        <v>1341</v>
      </c>
      <c r="AV121" s="308" t="s">
        <v>1937</v>
      </c>
    </row>
    <row r="122" spans="4:48" x14ac:dyDescent="0.25">
      <c r="D122" s="59" t="s">
        <v>508</v>
      </c>
      <c r="E122" s="59" t="s">
        <v>509</v>
      </c>
      <c r="F122" s="292" t="s">
        <v>1781</v>
      </c>
      <c r="AU122" s="310" t="s">
        <v>1216</v>
      </c>
      <c r="AV122" s="308" t="s">
        <v>1215</v>
      </c>
    </row>
    <row r="123" spans="4:48" x14ac:dyDescent="0.25">
      <c r="D123" s="59" t="s">
        <v>510</v>
      </c>
      <c r="E123" s="59" t="s">
        <v>511</v>
      </c>
      <c r="F123" s="292" t="s">
        <v>1782</v>
      </c>
      <c r="AU123" s="310" t="s">
        <v>997</v>
      </c>
      <c r="AV123" s="308" t="s">
        <v>1938</v>
      </c>
    </row>
    <row r="124" spans="4:48" x14ac:dyDescent="0.25">
      <c r="D124" s="59" t="s">
        <v>512</v>
      </c>
      <c r="E124" s="59" t="s">
        <v>513</v>
      </c>
      <c r="F124" s="292" t="s">
        <v>1783</v>
      </c>
      <c r="AU124" s="310" t="s">
        <v>1017</v>
      </c>
      <c r="AV124" s="308" t="s">
        <v>1016</v>
      </c>
    </row>
    <row r="125" spans="4:48" x14ac:dyDescent="0.25">
      <c r="D125" s="59"/>
      <c r="E125" s="59"/>
      <c r="F125" s="292" t="e">
        <v>#N/A</v>
      </c>
      <c r="AU125" s="310" t="s">
        <v>1303</v>
      </c>
      <c r="AV125" s="308" t="s">
        <v>1939</v>
      </c>
    </row>
    <row r="126" spans="4:48" x14ac:dyDescent="0.25">
      <c r="D126" s="59"/>
      <c r="E126" s="59"/>
      <c r="F126" s="292" t="e">
        <v>#N/A</v>
      </c>
      <c r="AU126" s="310" t="s">
        <v>1000</v>
      </c>
      <c r="AV126" s="308" t="s">
        <v>1940</v>
      </c>
    </row>
    <row r="127" spans="4:48" x14ac:dyDescent="0.25">
      <c r="D127" s="59"/>
      <c r="E127" s="59"/>
      <c r="F127" s="292" t="e">
        <v>#N/A</v>
      </c>
      <c r="AU127" s="310" t="s">
        <v>1214</v>
      </c>
      <c r="AV127" s="308" t="s">
        <v>1213</v>
      </c>
    </row>
    <row r="128" spans="4:48" x14ac:dyDescent="0.25">
      <c r="D128" s="59"/>
      <c r="E128" s="59"/>
      <c r="F128" s="292" t="e">
        <v>#N/A</v>
      </c>
      <c r="AU128" s="310" t="s">
        <v>1342</v>
      </c>
      <c r="AV128" s="308" t="s">
        <v>1941</v>
      </c>
    </row>
    <row r="129" spans="4:48" x14ac:dyDescent="0.25">
      <c r="D129" s="59"/>
      <c r="E129" s="59"/>
      <c r="F129" s="291" t="e">
        <v>#N/A</v>
      </c>
      <c r="AU129" s="310" t="s">
        <v>1041</v>
      </c>
      <c r="AV129" s="308" t="s">
        <v>1040</v>
      </c>
    </row>
    <row r="130" spans="4:48" x14ac:dyDescent="0.25">
      <c r="D130" s="59"/>
      <c r="E130" s="59"/>
      <c r="F130" s="291" t="e">
        <v>#N/A</v>
      </c>
      <c r="AU130" s="310" t="s">
        <v>1044</v>
      </c>
      <c r="AV130" s="308" t="s">
        <v>1942</v>
      </c>
    </row>
    <row r="131" spans="4:48" x14ac:dyDescent="0.25">
      <c r="D131" s="59"/>
      <c r="E131" s="59"/>
      <c r="F131" s="292" t="e">
        <v>#N/A</v>
      </c>
      <c r="AU131" s="310" t="s">
        <v>1240</v>
      </c>
      <c r="AV131" s="308" t="s">
        <v>1943</v>
      </c>
    </row>
    <row r="132" spans="4:48" x14ac:dyDescent="0.25">
      <c r="D132" s="59"/>
      <c r="E132" s="59"/>
      <c r="F132" s="292" t="e">
        <v>#N/A</v>
      </c>
      <c r="AU132" s="310" t="s">
        <v>1430</v>
      </c>
      <c r="AV132" s="308" t="s">
        <v>1944</v>
      </c>
    </row>
    <row r="133" spans="4:48" x14ac:dyDescent="0.25">
      <c r="D133" s="59"/>
      <c r="E133" s="59"/>
      <c r="F133" s="292" t="e">
        <v>#N/A</v>
      </c>
      <c r="AU133" s="310" t="s">
        <v>1037</v>
      </c>
      <c r="AV133" s="308" t="s">
        <v>1945</v>
      </c>
    </row>
    <row r="134" spans="4:48" x14ac:dyDescent="0.25">
      <c r="D134" s="59"/>
      <c r="E134" s="59"/>
      <c r="F134" s="292" t="e">
        <v>#N/A</v>
      </c>
      <c r="AU134" s="310" t="s">
        <v>1047</v>
      </c>
      <c r="AV134" s="308" t="s">
        <v>1946</v>
      </c>
    </row>
    <row r="135" spans="4:48" x14ac:dyDescent="0.25">
      <c r="D135" s="59"/>
      <c r="E135" s="59"/>
      <c r="F135" s="292" t="e">
        <v>#N/A</v>
      </c>
      <c r="AU135" s="310" t="s">
        <v>1050</v>
      </c>
      <c r="AV135" s="308" t="s">
        <v>1947</v>
      </c>
    </row>
    <row r="136" spans="4:48" x14ac:dyDescent="0.25">
      <c r="D136" s="59"/>
      <c r="E136" s="59"/>
      <c r="F136" s="292" t="e">
        <v>#N/A</v>
      </c>
      <c r="AU136" s="310" t="s">
        <v>1043</v>
      </c>
      <c r="AV136" s="308" t="s">
        <v>1042</v>
      </c>
    </row>
    <row r="137" spans="4:48" x14ac:dyDescent="0.25">
      <c r="D137" s="59"/>
      <c r="E137" s="59"/>
      <c r="F137" s="292" t="e">
        <v>#N/A</v>
      </c>
      <c r="AU137" s="310" t="s">
        <v>1241</v>
      </c>
      <c r="AV137" s="308" t="s">
        <v>1948</v>
      </c>
    </row>
    <row r="138" spans="4:48" x14ac:dyDescent="0.25">
      <c r="D138" s="59"/>
      <c r="E138" s="59"/>
      <c r="F138" s="292" t="e">
        <v>#N/A</v>
      </c>
      <c r="AU138" s="310" t="s">
        <v>1385</v>
      </c>
      <c r="AV138" s="308" t="s">
        <v>1949</v>
      </c>
    </row>
    <row r="139" spans="4:48" x14ac:dyDescent="0.25">
      <c r="D139" s="59"/>
      <c r="E139" s="59"/>
      <c r="F139" s="292" t="e">
        <v>#N/A</v>
      </c>
      <c r="AU139" s="310" t="s">
        <v>1046</v>
      </c>
      <c r="AV139" s="308" t="s">
        <v>1045</v>
      </c>
    </row>
    <row r="140" spans="4:48" x14ac:dyDescent="0.25">
      <c r="D140" s="59"/>
      <c r="E140" s="59"/>
      <c r="F140" s="292" t="e">
        <v>#N/A</v>
      </c>
      <c r="AU140" s="310" t="s">
        <v>1049</v>
      </c>
      <c r="AV140" s="308" t="s">
        <v>1048</v>
      </c>
    </row>
    <row r="141" spans="4:48" x14ac:dyDescent="0.25">
      <c r="D141" s="59"/>
      <c r="E141" s="59"/>
      <c r="F141" s="292" t="e">
        <v>#N/A</v>
      </c>
      <c r="AU141" s="310" t="s">
        <v>1384</v>
      </c>
      <c r="AV141" s="308" t="s">
        <v>1950</v>
      </c>
    </row>
    <row r="142" spans="4:48" x14ac:dyDescent="0.25">
      <c r="D142" s="59"/>
      <c r="E142" s="59"/>
      <c r="F142" s="291" t="e">
        <v>#N/A</v>
      </c>
      <c r="AU142" s="310" t="s">
        <v>1039</v>
      </c>
      <c r="AV142" s="308" t="s">
        <v>1038</v>
      </c>
    </row>
    <row r="143" spans="4:48" x14ac:dyDescent="0.25">
      <c r="D143" s="59"/>
      <c r="E143" s="59"/>
      <c r="F143" s="292" t="e">
        <v>#N/A</v>
      </c>
      <c r="AU143" s="310" t="s">
        <v>1073</v>
      </c>
      <c r="AV143" s="308" t="s">
        <v>1951</v>
      </c>
    </row>
    <row r="144" spans="4:48" x14ac:dyDescent="0.25">
      <c r="D144" s="59"/>
      <c r="E144" s="59"/>
      <c r="F144" s="291" t="e">
        <v>#N/A</v>
      </c>
      <c r="AU144" s="310" t="s">
        <v>1269</v>
      </c>
      <c r="AV144" s="308" t="s">
        <v>1952</v>
      </c>
    </row>
    <row r="145" spans="4:48" x14ac:dyDescent="0.25">
      <c r="D145" s="59"/>
      <c r="E145" s="59"/>
      <c r="F145" s="291" t="e">
        <v>#N/A</v>
      </c>
      <c r="AU145" s="310" t="s">
        <v>1290</v>
      </c>
      <c r="AV145" s="308" t="s">
        <v>1953</v>
      </c>
    </row>
    <row r="146" spans="4:48" x14ac:dyDescent="0.25">
      <c r="D146" s="59"/>
      <c r="E146" s="59"/>
      <c r="F146" s="292" t="e">
        <v>#N/A</v>
      </c>
      <c r="AU146" s="310" t="s">
        <v>1330</v>
      </c>
      <c r="AV146" s="308" t="s">
        <v>1954</v>
      </c>
    </row>
    <row r="147" spans="4:48" x14ac:dyDescent="0.25">
      <c r="D147" s="59"/>
      <c r="E147" s="59"/>
      <c r="F147" s="292" t="e">
        <v>#N/A</v>
      </c>
      <c r="AU147" s="310" t="s">
        <v>1289</v>
      </c>
      <c r="AV147" s="308" t="s">
        <v>1955</v>
      </c>
    </row>
    <row r="148" spans="4:48" x14ac:dyDescent="0.25">
      <c r="D148" s="59"/>
      <c r="E148" s="59"/>
      <c r="F148" s="291" t="e">
        <v>#N/A</v>
      </c>
      <c r="AU148" s="310" t="s">
        <v>1268</v>
      </c>
      <c r="AV148" s="308" t="s">
        <v>1956</v>
      </c>
    </row>
    <row r="149" spans="4:48" x14ac:dyDescent="0.25">
      <c r="D149" s="59"/>
      <c r="E149" s="59"/>
      <c r="F149" s="291" t="e">
        <v>#N/A</v>
      </c>
      <c r="AU149" s="310" t="s">
        <v>977</v>
      </c>
      <c r="AV149" s="308" t="s">
        <v>1957</v>
      </c>
    </row>
    <row r="150" spans="4:48" x14ac:dyDescent="0.25">
      <c r="D150" s="59"/>
      <c r="E150" s="59"/>
      <c r="F150" s="292" t="e">
        <v>#N/A</v>
      </c>
      <c r="AU150" s="310" t="s">
        <v>1209</v>
      </c>
      <c r="AV150" s="308" t="s">
        <v>1958</v>
      </c>
    </row>
    <row r="151" spans="4:48" x14ac:dyDescent="0.25">
      <c r="D151" s="59"/>
      <c r="E151" s="59"/>
      <c r="F151" s="292" t="e">
        <v>#N/A</v>
      </c>
      <c r="AU151" s="310" t="s">
        <v>1267</v>
      </c>
      <c r="AV151" s="308" t="s">
        <v>1959</v>
      </c>
    </row>
    <row r="152" spans="4:48" x14ac:dyDescent="0.25">
      <c r="D152" s="59"/>
      <c r="E152" s="59"/>
      <c r="F152" s="291" t="e">
        <v>#N/A</v>
      </c>
      <c r="AU152" s="310" t="s">
        <v>1266</v>
      </c>
      <c r="AV152" s="308" t="s">
        <v>1960</v>
      </c>
    </row>
    <row r="153" spans="4:48" x14ac:dyDescent="0.25">
      <c r="D153" s="59"/>
      <c r="E153" s="59"/>
      <c r="F153" s="292" t="e">
        <v>#N/A</v>
      </c>
      <c r="AU153" s="310" t="s">
        <v>1288</v>
      </c>
      <c r="AV153" s="308" t="s">
        <v>1287</v>
      </c>
    </row>
    <row r="154" spans="4:48" x14ac:dyDescent="0.25">
      <c r="D154" s="59"/>
      <c r="E154" s="59"/>
      <c r="F154" s="292" t="e">
        <v>#N/A</v>
      </c>
      <c r="AU154" s="310" t="s">
        <v>1286</v>
      </c>
      <c r="AV154" s="308" t="s">
        <v>1961</v>
      </c>
    </row>
    <row r="155" spans="4:48" x14ac:dyDescent="0.25">
      <c r="D155" s="59"/>
      <c r="E155" s="59"/>
      <c r="F155" s="291" t="e">
        <v>#N/A</v>
      </c>
      <c r="AU155" s="310" t="s">
        <v>1122</v>
      </c>
      <c r="AV155" s="308" t="s">
        <v>1962</v>
      </c>
    </row>
    <row r="156" spans="4:48" x14ac:dyDescent="0.25">
      <c r="D156" s="59"/>
      <c r="E156" s="59"/>
      <c r="F156" s="292" t="e">
        <v>#N/A</v>
      </c>
      <c r="AU156" s="310" t="s">
        <v>1387</v>
      </c>
      <c r="AV156" s="308" t="s">
        <v>1386</v>
      </c>
    </row>
    <row r="157" spans="4:48" x14ac:dyDescent="0.25">
      <c r="D157" s="59"/>
      <c r="E157" s="59"/>
      <c r="F157" s="292" t="e">
        <v>#N/A</v>
      </c>
      <c r="AU157" s="310" t="s">
        <v>1285</v>
      </c>
      <c r="AV157" s="308" t="s">
        <v>1963</v>
      </c>
    </row>
    <row r="158" spans="4:48" x14ac:dyDescent="0.25">
      <c r="D158" s="59"/>
      <c r="E158" s="59"/>
      <c r="F158" s="292" t="e">
        <v>#N/A</v>
      </c>
      <c r="AU158" s="310" t="s">
        <v>1284</v>
      </c>
      <c r="AV158" s="308" t="s">
        <v>1964</v>
      </c>
    </row>
    <row r="159" spans="4:48" x14ac:dyDescent="0.25">
      <c r="D159" s="59"/>
      <c r="E159" s="59"/>
      <c r="F159" s="292" t="e">
        <v>#N/A</v>
      </c>
      <c r="AU159" s="310" t="s">
        <v>1232</v>
      </c>
      <c r="AV159" s="308" t="s">
        <v>1965</v>
      </c>
    </row>
    <row r="160" spans="4:48" x14ac:dyDescent="0.25">
      <c r="D160" s="59"/>
      <c r="E160" s="59"/>
      <c r="F160" s="292" t="e">
        <v>#N/A</v>
      </c>
      <c r="AU160" s="310" t="s">
        <v>1437</v>
      </c>
      <c r="AV160" s="308" t="s">
        <v>1966</v>
      </c>
    </row>
    <row r="161" spans="4:48" x14ac:dyDescent="0.25">
      <c r="D161" s="59"/>
      <c r="E161" s="59"/>
      <c r="F161" s="292" t="e">
        <v>#N/A</v>
      </c>
      <c r="AU161" s="310" t="s">
        <v>1235</v>
      </c>
      <c r="AV161" s="308" t="s">
        <v>1967</v>
      </c>
    </row>
    <row r="162" spans="4:48" x14ac:dyDescent="0.25">
      <c r="D162" s="59"/>
      <c r="E162" s="59"/>
      <c r="F162" s="292" t="e">
        <v>#N/A</v>
      </c>
      <c r="AU162" s="310" t="s">
        <v>1234</v>
      </c>
      <c r="AV162" s="308" t="s">
        <v>1968</v>
      </c>
    </row>
    <row r="163" spans="4:48" x14ac:dyDescent="0.25">
      <c r="D163" s="59"/>
      <c r="E163" s="59"/>
      <c r="F163" s="292" t="e">
        <v>#N/A</v>
      </c>
      <c r="AU163" s="310" t="s">
        <v>1233</v>
      </c>
      <c r="AV163" s="308" t="s">
        <v>1969</v>
      </c>
    </row>
    <row r="164" spans="4:48" x14ac:dyDescent="0.25">
      <c r="D164" s="59"/>
      <c r="E164" s="59"/>
      <c r="F164" s="292" t="e">
        <v>#N/A</v>
      </c>
      <c r="AU164" s="310" t="s">
        <v>1392</v>
      </c>
      <c r="AV164" s="308" t="s">
        <v>1970</v>
      </c>
    </row>
    <row r="165" spans="4:48" x14ac:dyDescent="0.25">
      <c r="D165" s="59"/>
      <c r="E165" s="59"/>
      <c r="F165" s="292" t="e">
        <v>#N/A</v>
      </c>
      <c r="AU165" s="310" t="s">
        <v>1391</v>
      </c>
      <c r="AV165" s="308" t="s">
        <v>1390</v>
      </c>
    </row>
    <row r="166" spans="4:48" x14ac:dyDescent="0.25">
      <c r="D166" s="59"/>
      <c r="E166" s="59"/>
      <c r="F166" s="292" t="e">
        <v>#N/A</v>
      </c>
      <c r="AU166" s="310" t="s">
        <v>1291</v>
      </c>
      <c r="AV166" s="308" t="s">
        <v>1971</v>
      </c>
    </row>
    <row r="167" spans="4:48" x14ac:dyDescent="0.25">
      <c r="D167" s="59"/>
      <c r="E167" s="59"/>
      <c r="F167" s="291" t="e">
        <v>#N/A</v>
      </c>
      <c r="AU167" s="310" t="s">
        <v>976</v>
      </c>
      <c r="AV167" s="308" t="s">
        <v>975</v>
      </c>
    </row>
    <row r="168" spans="4:48" x14ac:dyDescent="0.25">
      <c r="D168" s="59"/>
      <c r="E168" s="59"/>
      <c r="F168" s="292" t="e">
        <v>#N/A</v>
      </c>
      <c r="AU168" s="310" t="s">
        <v>1425</v>
      </c>
      <c r="AV168" s="308" t="s">
        <v>1424</v>
      </c>
    </row>
    <row r="169" spans="4:48" x14ac:dyDescent="0.25">
      <c r="D169" s="59"/>
      <c r="E169" s="59"/>
      <c r="F169" s="291" t="e">
        <v>#N/A</v>
      </c>
      <c r="AU169" s="310" t="s">
        <v>1283</v>
      </c>
      <c r="AV169" s="308" t="s">
        <v>1282</v>
      </c>
    </row>
    <row r="170" spans="4:48" x14ac:dyDescent="0.25">
      <c r="D170" s="59"/>
      <c r="E170" s="59"/>
      <c r="F170" s="292" t="e">
        <v>#N/A</v>
      </c>
      <c r="AU170" s="310" t="s">
        <v>1389</v>
      </c>
      <c r="AV170" s="308" t="s">
        <v>1388</v>
      </c>
    </row>
    <row r="171" spans="4:48" x14ac:dyDescent="0.25">
      <c r="D171" s="59"/>
      <c r="E171" s="59"/>
      <c r="F171" s="292" t="e">
        <v>#N/A</v>
      </c>
      <c r="AU171" s="310" t="s">
        <v>974</v>
      </c>
      <c r="AV171" s="308" t="s">
        <v>1972</v>
      </c>
    </row>
    <row r="172" spans="4:48" x14ac:dyDescent="0.25">
      <c r="D172" s="59"/>
      <c r="E172" s="59"/>
      <c r="F172" s="292" t="e">
        <v>#N/A</v>
      </c>
      <c r="AU172" s="310" t="s">
        <v>1281</v>
      </c>
      <c r="AV172" s="308" t="s">
        <v>1973</v>
      </c>
    </row>
    <row r="173" spans="4:48" x14ac:dyDescent="0.25">
      <c r="D173" s="59"/>
      <c r="E173" s="59"/>
      <c r="F173" s="291" t="e">
        <v>#N/A</v>
      </c>
      <c r="AU173" s="310" t="s">
        <v>953</v>
      </c>
      <c r="AV173" s="308" t="s">
        <v>1974</v>
      </c>
    </row>
    <row r="174" spans="4:48" x14ac:dyDescent="0.25">
      <c r="D174" s="59"/>
      <c r="E174" s="59"/>
      <c r="F174" s="291" t="e">
        <v>#N/A</v>
      </c>
      <c r="AU174" s="310" t="s">
        <v>962</v>
      </c>
      <c r="AV174" s="308" t="s">
        <v>1975</v>
      </c>
    </row>
    <row r="175" spans="4:48" x14ac:dyDescent="0.25">
      <c r="D175" s="59"/>
      <c r="E175" s="59"/>
      <c r="F175" s="291" t="e">
        <v>#N/A</v>
      </c>
      <c r="AU175" s="310" t="s">
        <v>1279</v>
      </c>
      <c r="AV175" s="308" t="s">
        <v>1976</v>
      </c>
    </row>
    <row r="176" spans="4:48" x14ac:dyDescent="0.25">
      <c r="D176" s="59"/>
      <c r="E176" s="59"/>
      <c r="F176" s="291" t="e">
        <v>#N/A</v>
      </c>
      <c r="AU176" s="310" t="s">
        <v>961</v>
      </c>
      <c r="AV176" s="308" t="s">
        <v>1977</v>
      </c>
    </row>
    <row r="177" spans="4:48" x14ac:dyDescent="0.25">
      <c r="D177" s="59"/>
      <c r="E177" s="59"/>
      <c r="F177" s="292" t="e">
        <v>#N/A</v>
      </c>
      <c r="AU177" s="310" t="s">
        <v>990</v>
      </c>
      <c r="AV177" s="308" t="s">
        <v>989</v>
      </c>
    </row>
    <row r="178" spans="4:48" x14ac:dyDescent="0.25">
      <c r="D178" s="59"/>
      <c r="E178" s="59"/>
      <c r="F178" s="292" t="e">
        <v>#N/A</v>
      </c>
      <c r="AU178" s="310" t="s">
        <v>1150</v>
      </c>
      <c r="AV178" s="308" t="s">
        <v>1978</v>
      </c>
    </row>
    <row r="179" spans="4:48" x14ac:dyDescent="0.25">
      <c r="D179" s="59"/>
      <c r="E179" s="59"/>
      <c r="F179" s="292" t="e">
        <v>#N/A</v>
      </c>
      <c r="AU179" s="310" t="s">
        <v>1067</v>
      </c>
      <c r="AV179" s="308" t="s">
        <v>1066</v>
      </c>
    </row>
    <row r="180" spans="4:48" x14ac:dyDescent="0.25">
      <c r="D180" s="59"/>
      <c r="E180" s="59"/>
      <c r="F180" s="291" t="e">
        <v>#N/A</v>
      </c>
      <c r="AU180" s="310" t="s">
        <v>1032</v>
      </c>
      <c r="AV180" s="308" t="s">
        <v>1979</v>
      </c>
    </row>
    <row r="181" spans="4:48" x14ac:dyDescent="0.25">
      <c r="D181" s="59"/>
      <c r="E181" s="59"/>
      <c r="F181" s="292" t="e">
        <v>#N/A</v>
      </c>
      <c r="AU181" s="310" t="s">
        <v>1337</v>
      </c>
      <c r="AV181" s="308" t="s">
        <v>1980</v>
      </c>
    </row>
    <row r="182" spans="4:48" x14ac:dyDescent="0.25">
      <c r="D182" s="59"/>
      <c r="E182" s="59"/>
      <c r="F182" s="292" t="e">
        <v>#N/A</v>
      </c>
      <c r="AU182" s="310" t="s">
        <v>1001</v>
      </c>
      <c r="AV182" s="308" t="s">
        <v>1981</v>
      </c>
    </row>
    <row r="183" spans="4:48" x14ac:dyDescent="0.25">
      <c r="D183" s="59"/>
      <c r="E183" s="59"/>
      <c r="F183" s="292" t="e">
        <v>#N/A</v>
      </c>
      <c r="AU183" s="310" t="s">
        <v>1010</v>
      </c>
      <c r="AV183" s="308" t="s">
        <v>1982</v>
      </c>
    </row>
    <row r="184" spans="4:48" x14ac:dyDescent="0.25">
      <c r="D184" s="59"/>
      <c r="E184" s="59"/>
      <c r="F184" s="291" t="e">
        <v>#N/A</v>
      </c>
      <c r="AU184" s="310" t="s">
        <v>1031</v>
      </c>
      <c r="AV184" s="308" t="s">
        <v>1030</v>
      </c>
    </row>
    <row r="185" spans="4:48" x14ac:dyDescent="0.25">
      <c r="D185" s="59"/>
      <c r="E185" s="59"/>
      <c r="F185" s="292" t="e">
        <v>#N/A</v>
      </c>
      <c r="AU185" s="310" t="s">
        <v>1036</v>
      </c>
      <c r="AV185" s="308" t="s">
        <v>1983</v>
      </c>
    </row>
    <row r="186" spans="4:48" x14ac:dyDescent="0.25">
      <c r="D186" s="59"/>
      <c r="E186" s="59"/>
      <c r="F186" s="292" t="e">
        <v>#N/A</v>
      </c>
      <c r="AU186" s="310" t="s">
        <v>1035</v>
      </c>
      <c r="AV186" s="308" t="s">
        <v>1984</v>
      </c>
    </row>
    <row r="187" spans="4:48" x14ac:dyDescent="0.25">
      <c r="D187" s="59"/>
      <c r="E187" s="59"/>
      <c r="F187" s="292" t="e">
        <v>#N/A</v>
      </c>
      <c r="AU187" s="310" t="s">
        <v>1009</v>
      </c>
      <c r="AV187" s="308" t="s">
        <v>1985</v>
      </c>
    </row>
    <row r="188" spans="4:48" x14ac:dyDescent="0.25">
      <c r="D188" s="59"/>
      <c r="E188" s="59"/>
      <c r="F188" s="292" t="e">
        <v>#N/A</v>
      </c>
      <c r="AU188" s="310" t="s">
        <v>1034</v>
      </c>
      <c r="AV188" s="308" t="s">
        <v>1033</v>
      </c>
    </row>
    <row r="189" spans="4:48" x14ac:dyDescent="0.25">
      <c r="D189" s="59"/>
      <c r="E189" s="59"/>
      <c r="F189" s="291" t="e">
        <v>#N/A</v>
      </c>
      <c r="AU189" s="310" t="s">
        <v>1011</v>
      </c>
      <c r="AV189" s="308" t="s">
        <v>1986</v>
      </c>
    </row>
    <row r="190" spans="4:48" x14ac:dyDescent="0.25">
      <c r="D190" s="59"/>
      <c r="E190" s="59"/>
      <c r="F190" s="292" t="e">
        <v>#N/A</v>
      </c>
      <c r="AU190" s="310" t="s">
        <v>991</v>
      </c>
      <c r="AV190" s="308" t="s">
        <v>1987</v>
      </c>
    </row>
    <row r="191" spans="4:48" x14ac:dyDescent="0.25">
      <c r="D191" s="59"/>
      <c r="E191" s="59"/>
      <c r="F191" s="291" t="e">
        <v>#N/A</v>
      </c>
      <c r="AU191" s="310" t="s">
        <v>1003</v>
      </c>
      <c r="AV191" s="308" t="s">
        <v>1988</v>
      </c>
    </row>
    <row r="192" spans="4:48" x14ac:dyDescent="0.25">
      <c r="D192" s="59"/>
      <c r="E192" s="59"/>
      <c r="F192" s="292" t="e">
        <v>#N/A</v>
      </c>
      <c r="AU192" s="310" t="s">
        <v>1002</v>
      </c>
      <c r="AV192" s="308" t="s">
        <v>1989</v>
      </c>
    </row>
    <row r="193" spans="4:48" x14ac:dyDescent="0.25">
      <c r="D193" s="59"/>
      <c r="E193" s="59"/>
      <c r="F193" s="292" t="e">
        <v>#N/A</v>
      </c>
      <c r="AU193" s="310" t="s">
        <v>1338</v>
      </c>
      <c r="AV193" s="308" t="s">
        <v>1990</v>
      </c>
    </row>
    <row r="194" spans="4:48" x14ac:dyDescent="0.25">
      <c r="D194" s="59"/>
      <c r="E194" s="59"/>
      <c r="F194" s="292" t="e">
        <v>#N/A</v>
      </c>
      <c r="AU194" s="310" t="s">
        <v>1429</v>
      </c>
      <c r="AV194" s="308" t="s">
        <v>1991</v>
      </c>
    </row>
    <row r="195" spans="4:48" x14ac:dyDescent="0.25">
      <c r="D195" s="59"/>
      <c r="E195" s="59"/>
      <c r="F195" s="291" t="e">
        <v>#N/A</v>
      </c>
      <c r="AU195" s="310" t="s">
        <v>1004</v>
      </c>
      <c r="AV195" s="308" t="s">
        <v>1992</v>
      </c>
    </row>
    <row r="196" spans="4:48" x14ac:dyDescent="0.25">
      <c r="D196" s="59"/>
      <c r="E196" s="59"/>
      <c r="F196" s="292" t="e">
        <v>#N/A</v>
      </c>
      <c r="AU196" s="310" t="s">
        <v>988</v>
      </c>
      <c r="AV196" s="308" t="s">
        <v>1993</v>
      </c>
    </row>
    <row r="197" spans="4:48" x14ac:dyDescent="0.25">
      <c r="D197" s="59"/>
      <c r="E197" s="59"/>
      <c r="F197" s="292" t="e">
        <v>#N/A</v>
      </c>
      <c r="AU197" s="310" t="s">
        <v>1336</v>
      </c>
      <c r="AV197" s="308" t="s">
        <v>1994</v>
      </c>
    </row>
    <row r="198" spans="4:48" x14ac:dyDescent="0.25">
      <c r="D198" s="59"/>
      <c r="E198" s="59"/>
      <c r="F198" s="292" t="e">
        <v>#N/A</v>
      </c>
      <c r="AU198" s="310" t="s">
        <v>1106</v>
      </c>
      <c r="AV198" s="308" t="s">
        <v>1105</v>
      </c>
    </row>
    <row r="199" spans="4:48" x14ac:dyDescent="0.25">
      <c r="D199" s="59"/>
      <c r="E199" s="59"/>
      <c r="F199" s="292" t="e">
        <v>#N/A</v>
      </c>
      <c r="AU199" s="310" t="s">
        <v>1107</v>
      </c>
      <c r="AV199" s="308" t="s">
        <v>1995</v>
      </c>
    </row>
    <row r="200" spans="4:48" x14ac:dyDescent="0.25">
      <c r="D200" s="59"/>
      <c r="E200" s="59"/>
      <c r="F200" s="292" t="e">
        <v>#N/A</v>
      </c>
      <c r="AU200" s="310" t="s">
        <v>1189</v>
      </c>
      <c r="AV200" s="308" t="s">
        <v>1996</v>
      </c>
    </row>
    <row r="201" spans="4:48" x14ac:dyDescent="0.25">
      <c r="D201" s="59"/>
      <c r="E201" s="59"/>
      <c r="F201" s="292" t="e">
        <v>#N/A</v>
      </c>
      <c r="AU201" s="310" t="s">
        <v>1332</v>
      </c>
      <c r="AV201" s="308" t="s">
        <v>1997</v>
      </c>
    </row>
    <row r="202" spans="4:48" x14ac:dyDescent="0.25">
      <c r="D202" s="59"/>
      <c r="E202" s="59"/>
      <c r="F202" s="292" t="e">
        <v>#N/A</v>
      </c>
      <c r="AU202" s="310" t="s">
        <v>1174</v>
      </c>
      <c r="AV202" s="308" t="s">
        <v>1998</v>
      </c>
    </row>
    <row r="203" spans="4:48" x14ac:dyDescent="0.25">
      <c r="D203" s="59"/>
      <c r="E203" s="59"/>
      <c r="F203" s="292" t="e">
        <v>#N/A</v>
      </c>
      <c r="AU203" s="310" t="s">
        <v>1331</v>
      </c>
      <c r="AV203" s="308" t="s">
        <v>1999</v>
      </c>
    </row>
    <row r="204" spans="4:48" x14ac:dyDescent="0.25">
      <c r="D204" s="59"/>
      <c r="E204" s="59"/>
      <c r="F204" s="292" t="e">
        <v>#N/A</v>
      </c>
      <c r="AU204" s="310" t="s">
        <v>964</v>
      </c>
      <c r="AV204" s="308" t="s">
        <v>2000</v>
      </c>
    </row>
    <row r="205" spans="4:48" x14ac:dyDescent="0.25">
      <c r="D205" s="59"/>
      <c r="E205" s="59"/>
      <c r="F205" s="292" t="e">
        <v>#N/A</v>
      </c>
      <c r="AU205" s="310" t="s">
        <v>963</v>
      </c>
      <c r="AV205" s="308" t="s">
        <v>2001</v>
      </c>
    </row>
    <row r="206" spans="4:48" x14ac:dyDescent="0.25">
      <c r="D206" s="59"/>
      <c r="E206" s="59"/>
      <c r="F206" s="292" t="e">
        <v>#N/A</v>
      </c>
      <c r="AU206" s="310" t="s">
        <v>1435</v>
      </c>
      <c r="AV206" s="308" t="s">
        <v>2001</v>
      </c>
    </row>
    <row r="207" spans="4:48" x14ac:dyDescent="0.25">
      <c r="D207" s="59"/>
      <c r="E207" s="59"/>
      <c r="F207" s="291" t="e">
        <v>#N/A</v>
      </c>
      <c r="AU207" s="310" t="s">
        <v>1008</v>
      </c>
      <c r="AV207" s="308" t="s">
        <v>1007</v>
      </c>
    </row>
    <row r="208" spans="4:48" x14ac:dyDescent="0.25">
      <c r="D208" s="59"/>
      <c r="E208" s="59"/>
      <c r="F208" s="292" t="e">
        <v>#N/A</v>
      </c>
      <c r="AU208" s="310" t="s">
        <v>1406</v>
      </c>
      <c r="AV208" s="308" t="s">
        <v>1405</v>
      </c>
    </row>
    <row r="209" spans="4:48" x14ac:dyDescent="0.25">
      <c r="D209" s="59"/>
      <c r="E209" s="59"/>
      <c r="F209" s="292" t="e">
        <v>#N/A</v>
      </c>
      <c r="AU209" s="310" t="s">
        <v>1029</v>
      </c>
      <c r="AV209" s="308" t="s">
        <v>1028</v>
      </c>
    </row>
    <row r="210" spans="4:48" x14ac:dyDescent="0.25">
      <c r="D210" s="59"/>
      <c r="E210" s="59"/>
      <c r="F210" s="292" t="e">
        <v>#N/A</v>
      </c>
      <c r="AU210" s="310" t="s">
        <v>1006</v>
      </c>
      <c r="AV210" s="308" t="s">
        <v>2002</v>
      </c>
    </row>
    <row r="211" spans="4:48" x14ac:dyDescent="0.25">
      <c r="D211" s="59"/>
      <c r="E211" s="59"/>
      <c r="AU211" s="310" t="s">
        <v>1005</v>
      </c>
      <c r="AV211" s="308" t="s">
        <v>2003</v>
      </c>
    </row>
    <row r="212" spans="4:48" x14ac:dyDescent="0.25">
      <c r="D212" s="59"/>
      <c r="E212" s="59"/>
      <c r="AU212" s="310" t="s">
        <v>1352</v>
      </c>
      <c r="AV212" s="308" t="s">
        <v>2004</v>
      </c>
    </row>
    <row r="213" spans="4:48" x14ac:dyDescent="0.25">
      <c r="AU213" s="310" t="s">
        <v>1351</v>
      </c>
      <c r="AV213" s="308" t="s">
        <v>1350</v>
      </c>
    </row>
    <row r="214" spans="4:48" x14ac:dyDescent="0.25">
      <c r="AU214" s="310" t="s">
        <v>1027</v>
      </c>
      <c r="AV214" s="308" t="s">
        <v>2005</v>
      </c>
    </row>
    <row r="215" spans="4:48" x14ac:dyDescent="0.25">
      <c r="AU215" s="310" t="s">
        <v>1349</v>
      </c>
      <c r="AV215" s="308" t="s">
        <v>2006</v>
      </c>
    </row>
    <row r="216" spans="4:48" x14ac:dyDescent="0.25">
      <c r="AU216" s="310" t="s">
        <v>1239</v>
      </c>
      <c r="AV216" s="308" t="s">
        <v>2007</v>
      </c>
    </row>
    <row r="217" spans="4:48" x14ac:dyDescent="0.25">
      <c r="AU217" s="310" t="s">
        <v>1238</v>
      </c>
      <c r="AV217" s="308" t="s">
        <v>2008</v>
      </c>
    </row>
    <row r="218" spans="4:48" x14ac:dyDescent="0.25">
      <c r="AU218" s="310" t="s">
        <v>1299</v>
      </c>
      <c r="AV218" s="308" t="s">
        <v>1298</v>
      </c>
    </row>
    <row r="219" spans="4:48" x14ac:dyDescent="0.25">
      <c r="AU219" s="310" t="s">
        <v>918</v>
      </c>
      <c r="AV219" s="308" t="s">
        <v>2009</v>
      </c>
    </row>
    <row r="220" spans="4:48" x14ac:dyDescent="0.25">
      <c r="AU220" s="310" t="s">
        <v>1169</v>
      </c>
      <c r="AV220" s="308" t="s">
        <v>2010</v>
      </c>
    </row>
    <row r="221" spans="4:48" x14ac:dyDescent="0.25">
      <c r="AU221" s="310" t="s">
        <v>1173</v>
      </c>
      <c r="AV221" s="308" t="s">
        <v>2011</v>
      </c>
    </row>
    <row r="222" spans="4:48" x14ac:dyDescent="0.25">
      <c r="AU222" s="310" t="s">
        <v>1172</v>
      </c>
      <c r="AV222" s="308" t="s">
        <v>2012</v>
      </c>
    </row>
    <row r="223" spans="4:48" x14ac:dyDescent="0.25">
      <c r="AU223" s="310" t="s">
        <v>1170</v>
      </c>
      <c r="AV223" s="308" t="s">
        <v>2013</v>
      </c>
    </row>
    <row r="224" spans="4:48" x14ac:dyDescent="0.25">
      <c r="AU224" s="310" t="s">
        <v>917</v>
      </c>
      <c r="AV224" s="308" t="s">
        <v>2014</v>
      </c>
    </row>
    <row r="225" spans="47:48" x14ac:dyDescent="0.25">
      <c r="AU225" s="310" t="s">
        <v>1171</v>
      </c>
      <c r="AV225" s="308" t="s">
        <v>2015</v>
      </c>
    </row>
    <row r="226" spans="47:48" x14ac:dyDescent="0.25">
      <c r="AU226" s="310" t="s">
        <v>1062</v>
      </c>
      <c r="AV226" s="308" t="s">
        <v>2015</v>
      </c>
    </row>
    <row r="227" spans="47:48" x14ac:dyDescent="0.25">
      <c r="AU227" s="310" t="s">
        <v>1063</v>
      </c>
      <c r="AV227" s="308" t="s">
        <v>2016</v>
      </c>
    </row>
    <row r="228" spans="47:48" x14ac:dyDescent="0.25">
      <c r="AU228" s="310" t="s">
        <v>1057</v>
      </c>
      <c r="AV228" s="308" t="s">
        <v>2017</v>
      </c>
    </row>
    <row r="229" spans="47:48" x14ac:dyDescent="0.25">
      <c r="AU229" s="310" t="s">
        <v>1104</v>
      </c>
      <c r="AV229" s="308" t="s">
        <v>2018</v>
      </c>
    </row>
    <row r="230" spans="47:48" x14ac:dyDescent="0.25">
      <c r="AU230" s="310" t="s">
        <v>1103</v>
      </c>
      <c r="AV230" s="308" t="s">
        <v>1102</v>
      </c>
    </row>
    <row r="231" spans="47:48" x14ac:dyDescent="0.25">
      <c r="AU231" s="310" t="s">
        <v>1383</v>
      </c>
      <c r="AV231" s="308" t="s">
        <v>2019</v>
      </c>
    </row>
    <row r="232" spans="47:48" x14ac:dyDescent="0.25">
      <c r="AU232" s="310" t="s">
        <v>1058</v>
      </c>
      <c r="AV232" s="308" t="s">
        <v>2020</v>
      </c>
    </row>
    <row r="233" spans="47:48" x14ac:dyDescent="0.25">
      <c r="AU233" s="310" t="s">
        <v>1085</v>
      </c>
      <c r="AV233" s="308" t="s">
        <v>2021</v>
      </c>
    </row>
    <row r="234" spans="47:48" x14ac:dyDescent="0.25">
      <c r="AU234" s="310" t="s">
        <v>1084</v>
      </c>
      <c r="AV234" s="308" t="s">
        <v>2022</v>
      </c>
    </row>
    <row r="235" spans="47:48" x14ac:dyDescent="0.25">
      <c r="AU235" s="310" t="s">
        <v>1059</v>
      </c>
      <c r="AV235" s="308" t="s">
        <v>2023</v>
      </c>
    </row>
    <row r="236" spans="47:48" x14ac:dyDescent="0.25">
      <c r="AU236" s="310" t="s">
        <v>1061</v>
      </c>
      <c r="AV236" s="308" t="s">
        <v>2024</v>
      </c>
    </row>
    <row r="237" spans="47:48" x14ac:dyDescent="0.25">
      <c r="AU237" s="310" t="s">
        <v>1052</v>
      </c>
      <c r="AV237" s="308" t="s">
        <v>1051</v>
      </c>
    </row>
    <row r="238" spans="47:48" x14ac:dyDescent="0.25">
      <c r="AU238" s="310" t="s">
        <v>1381</v>
      </c>
      <c r="AV238" s="308" t="s">
        <v>2025</v>
      </c>
    </row>
    <row r="239" spans="47:48" x14ac:dyDescent="0.25">
      <c r="AU239" s="310" t="s">
        <v>1380</v>
      </c>
      <c r="AV239" s="308" t="s">
        <v>2026</v>
      </c>
    </row>
    <row r="240" spans="47:48" x14ac:dyDescent="0.25">
      <c r="AU240" s="310" t="s">
        <v>1379</v>
      </c>
      <c r="AV240" s="308" t="s">
        <v>1378</v>
      </c>
    </row>
    <row r="241" spans="47:48" x14ac:dyDescent="0.25">
      <c r="AU241" s="310" t="s">
        <v>1377</v>
      </c>
      <c r="AV241" s="308" t="s">
        <v>1376</v>
      </c>
    </row>
    <row r="242" spans="47:48" x14ac:dyDescent="0.25">
      <c r="AU242" s="310" t="s">
        <v>1375</v>
      </c>
      <c r="AV242" s="308" t="s">
        <v>2027</v>
      </c>
    </row>
    <row r="243" spans="47:48" x14ac:dyDescent="0.25">
      <c r="AU243" s="310" t="s">
        <v>1374</v>
      </c>
      <c r="AV243" s="308" t="s">
        <v>2028</v>
      </c>
    </row>
    <row r="244" spans="47:48" x14ac:dyDescent="0.25">
      <c r="AU244" s="310" t="s">
        <v>1166</v>
      </c>
      <c r="AV244" s="308" t="s">
        <v>1165</v>
      </c>
    </row>
    <row r="245" spans="47:48" x14ac:dyDescent="0.25">
      <c r="AU245" s="310" t="s">
        <v>1260</v>
      </c>
      <c r="AV245" s="308" t="s">
        <v>2029</v>
      </c>
    </row>
    <row r="246" spans="47:48" x14ac:dyDescent="0.25">
      <c r="AU246" s="310" t="s">
        <v>1257</v>
      </c>
      <c r="AV246" s="308" t="s">
        <v>1256</v>
      </c>
    </row>
    <row r="247" spans="47:48" x14ac:dyDescent="0.25">
      <c r="AU247" s="310" t="s">
        <v>1168</v>
      </c>
      <c r="AV247" s="308" t="s">
        <v>2030</v>
      </c>
    </row>
    <row r="248" spans="47:48" x14ac:dyDescent="0.25">
      <c r="AU248" s="310" t="s">
        <v>1167</v>
      </c>
      <c r="AV248" s="308" t="s">
        <v>2031</v>
      </c>
    </row>
    <row r="249" spans="47:48" x14ac:dyDescent="0.25">
      <c r="AU249" s="310" t="s">
        <v>1164</v>
      </c>
      <c r="AV249" s="308" t="s">
        <v>2032</v>
      </c>
    </row>
    <row r="250" spans="47:48" x14ac:dyDescent="0.25">
      <c r="AU250" s="310" t="s">
        <v>1402</v>
      </c>
      <c r="AV250" s="308" t="s">
        <v>2033</v>
      </c>
    </row>
    <row r="251" spans="47:48" x14ac:dyDescent="0.25">
      <c r="AU251" s="310" t="s">
        <v>1259</v>
      </c>
      <c r="AV251" s="308" t="s">
        <v>1258</v>
      </c>
    </row>
    <row r="252" spans="47:48" x14ac:dyDescent="0.25">
      <c r="AU252" s="310" t="s">
        <v>1403</v>
      </c>
      <c r="AV252" s="308" t="s">
        <v>2034</v>
      </c>
    </row>
    <row r="253" spans="47:48" x14ac:dyDescent="0.25">
      <c r="AU253" s="310" t="s">
        <v>1255</v>
      </c>
      <c r="AV253" s="308" t="s">
        <v>2035</v>
      </c>
    </row>
    <row r="254" spans="47:48" x14ac:dyDescent="0.25">
      <c r="AU254" s="310" t="s">
        <v>1053</v>
      </c>
      <c r="AV254" s="308" t="s">
        <v>2036</v>
      </c>
    </row>
    <row r="255" spans="47:48" x14ac:dyDescent="0.25">
      <c r="AU255" s="310" t="s">
        <v>1223</v>
      </c>
      <c r="AV255" s="308" t="s">
        <v>2037</v>
      </c>
    </row>
    <row r="256" spans="47:48" x14ac:dyDescent="0.25">
      <c r="AU256" s="310" t="s">
        <v>1056</v>
      </c>
      <c r="AV256" s="308" t="s">
        <v>2038</v>
      </c>
    </row>
    <row r="257" spans="47:48" x14ac:dyDescent="0.25">
      <c r="AU257" s="310" t="s">
        <v>1222</v>
      </c>
      <c r="AV257" s="308" t="s">
        <v>2039</v>
      </c>
    </row>
    <row r="258" spans="47:48" x14ac:dyDescent="0.25">
      <c r="AU258" s="310" t="s">
        <v>1143</v>
      </c>
      <c r="AV258" s="308" t="s">
        <v>2040</v>
      </c>
    </row>
    <row r="259" spans="47:48" x14ac:dyDescent="0.25">
      <c r="AU259" s="310" t="s">
        <v>1142</v>
      </c>
      <c r="AV259" s="308" t="s">
        <v>2041</v>
      </c>
    </row>
    <row r="260" spans="47:48" x14ac:dyDescent="0.25">
      <c r="AU260" s="310" t="s">
        <v>1060</v>
      </c>
      <c r="AV260" s="308" t="s">
        <v>2042</v>
      </c>
    </row>
    <row r="261" spans="47:48" x14ac:dyDescent="0.25">
      <c r="AU261" s="310" t="s">
        <v>1055</v>
      </c>
      <c r="AV261" s="308" t="s">
        <v>1054</v>
      </c>
    </row>
    <row r="262" spans="47:48" x14ac:dyDescent="0.25">
      <c r="AU262" s="310" t="s">
        <v>1319</v>
      </c>
      <c r="AV262" s="308" t="s">
        <v>2043</v>
      </c>
    </row>
    <row r="263" spans="47:48" x14ac:dyDescent="0.25">
      <c r="AU263" s="310" t="s">
        <v>973</v>
      </c>
      <c r="AV263" s="308" t="s">
        <v>2044</v>
      </c>
    </row>
    <row r="264" spans="47:48" x14ac:dyDescent="0.25">
      <c r="AU264" s="310" t="s">
        <v>1320</v>
      </c>
      <c r="AV264" s="308" t="s">
        <v>2045</v>
      </c>
    </row>
    <row r="265" spans="47:48" x14ac:dyDescent="0.25">
      <c r="AU265" s="310" t="s">
        <v>1318</v>
      </c>
      <c r="AV265" s="308" t="s">
        <v>1317</v>
      </c>
    </row>
    <row r="266" spans="47:48" x14ac:dyDescent="0.25">
      <c r="AU266" s="310" t="s">
        <v>972</v>
      </c>
      <c r="AV266" s="308" t="s">
        <v>2046</v>
      </c>
    </row>
    <row r="267" spans="47:48" x14ac:dyDescent="0.25">
      <c r="AU267" s="310" t="s">
        <v>1436</v>
      </c>
      <c r="AV267" s="308" t="s">
        <v>2047</v>
      </c>
    </row>
    <row r="268" spans="47:48" x14ac:dyDescent="0.25">
      <c r="AU268" s="310" t="s">
        <v>1075</v>
      </c>
      <c r="AV268" s="308" t="s">
        <v>2048</v>
      </c>
    </row>
    <row r="269" spans="47:48" x14ac:dyDescent="0.25">
      <c r="AU269" s="310" t="s">
        <v>1199</v>
      </c>
      <c r="AV269" s="308" t="s">
        <v>2049</v>
      </c>
    </row>
    <row r="270" spans="47:48" x14ac:dyDescent="0.25">
      <c r="AU270" s="310" t="s">
        <v>1226</v>
      </c>
      <c r="AV270" s="308" t="s">
        <v>2050</v>
      </c>
    </row>
    <row r="271" spans="47:48" x14ac:dyDescent="0.25">
      <c r="AU271" s="310" t="s">
        <v>1401</v>
      </c>
      <c r="AV271" s="308" t="s">
        <v>2051</v>
      </c>
    </row>
    <row r="272" spans="47:48" x14ac:dyDescent="0.25">
      <c r="AU272" s="310" t="s">
        <v>1212</v>
      </c>
      <c r="AV272" s="308" t="s">
        <v>2052</v>
      </c>
    </row>
    <row r="273" spans="47:48" x14ac:dyDescent="0.25">
      <c r="AU273" s="310" t="s">
        <v>1013</v>
      </c>
      <c r="AV273" s="308" t="s">
        <v>2053</v>
      </c>
    </row>
    <row r="274" spans="47:48" x14ac:dyDescent="0.25">
      <c r="AU274" s="310" t="s">
        <v>1012</v>
      </c>
      <c r="AV274" s="308" t="s">
        <v>2054</v>
      </c>
    </row>
    <row r="275" spans="47:48" x14ac:dyDescent="0.25">
      <c r="AU275" s="310">
        <v>1241</v>
      </c>
      <c r="AV275" s="308" t="s">
        <v>2055</v>
      </c>
    </row>
    <row r="276" spans="47:48" x14ac:dyDescent="0.25">
      <c r="AU276" s="310" t="s">
        <v>959</v>
      </c>
      <c r="AV276" s="308" t="s">
        <v>2056</v>
      </c>
    </row>
    <row r="277" spans="47:48" x14ac:dyDescent="0.25">
      <c r="AU277" s="310" t="s">
        <v>957</v>
      </c>
      <c r="AV277" s="308" t="s">
        <v>956</v>
      </c>
    </row>
    <row r="278" spans="47:48" x14ac:dyDescent="0.25">
      <c r="AU278" s="310">
        <v>1011</v>
      </c>
      <c r="AV278" s="308" t="s">
        <v>2057</v>
      </c>
    </row>
    <row r="279" spans="47:48" x14ac:dyDescent="0.25">
      <c r="AU279" s="310" t="s">
        <v>958</v>
      </c>
      <c r="AV279" s="308" t="s">
        <v>2058</v>
      </c>
    </row>
    <row r="280" spans="47:48" x14ac:dyDescent="0.25">
      <c r="AU280" s="310" t="s">
        <v>1440</v>
      </c>
      <c r="AV280" s="308" t="s">
        <v>2059</v>
      </c>
    </row>
    <row r="281" spans="47:48" x14ac:dyDescent="0.25">
      <c r="AU281" s="310" t="s">
        <v>954</v>
      </c>
      <c r="AV281" s="308" t="s">
        <v>2060</v>
      </c>
    </row>
    <row r="282" spans="47:48" x14ac:dyDescent="0.25">
      <c r="AU282" s="310" t="s">
        <v>1365</v>
      </c>
      <c r="AV282" s="308" t="s">
        <v>2061</v>
      </c>
    </row>
    <row r="283" spans="47:48" x14ac:dyDescent="0.25">
      <c r="AU283" s="310" t="s">
        <v>955</v>
      </c>
      <c r="AV283" s="308" t="s">
        <v>2062</v>
      </c>
    </row>
    <row r="284" spans="47:48" x14ac:dyDescent="0.25">
      <c r="AU284" s="310" t="s">
        <v>1439</v>
      </c>
      <c r="AV284" s="308" t="s">
        <v>2063</v>
      </c>
    </row>
    <row r="285" spans="47:48" x14ac:dyDescent="0.25">
      <c r="AU285" s="310" t="s">
        <v>982</v>
      </c>
      <c r="AV285" s="308" t="s">
        <v>981</v>
      </c>
    </row>
    <row r="286" spans="47:48" x14ac:dyDescent="0.25">
      <c r="AU286" s="310" t="s">
        <v>1364</v>
      </c>
      <c r="AV286" s="308" t="s">
        <v>1363</v>
      </c>
    </row>
    <row r="287" spans="47:48" x14ac:dyDescent="0.25">
      <c r="AU287" s="310" t="s">
        <v>1126</v>
      </c>
      <c r="AV287" s="308" t="s">
        <v>2064</v>
      </c>
    </row>
    <row r="288" spans="47:48" x14ac:dyDescent="0.25">
      <c r="AU288" s="310" t="s">
        <v>978</v>
      </c>
      <c r="AV288" s="308" t="s">
        <v>2065</v>
      </c>
    </row>
    <row r="289" spans="47:48" x14ac:dyDescent="0.25">
      <c r="AU289" s="310" t="s">
        <v>980</v>
      </c>
      <c r="AV289" s="308" t="s">
        <v>979</v>
      </c>
    </row>
    <row r="290" spans="47:48" x14ac:dyDescent="0.25">
      <c r="AU290" s="310" t="s">
        <v>1348</v>
      </c>
      <c r="AV290" s="308" t="s">
        <v>2066</v>
      </c>
    </row>
    <row r="291" spans="47:48" x14ac:dyDescent="0.25">
      <c r="AU291" s="310" t="s">
        <v>1398</v>
      </c>
      <c r="AV291" s="308" t="s">
        <v>2067</v>
      </c>
    </row>
    <row r="292" spans="47:48" x14ac:dyDescent="0.25">
      <c r="AU292" s="310" t="s">
        <v>1326</v>
      </c>
      <c r="AV292" s="308" t="s">
        <v>1325</v>
      </c>
    </row>
    <row r="293" spans="47:48" x14ac:dyDescent="0.25">
      <c r="AU293" s="310" t="s">
        <v>1323</v>
      </c>
      <c r="AV293" s="308" t="s">
        <v>2068</v>
      </c>
    </row>
    <row r="294" spans="47:48" x14ac:dyDescent="0.25">
      <c r="AU294" s="310" t="s">
        <v>1324</v>
      </c>
      <c r="AV294" s="308" t="s">
        <v>2069</v>
      </c>
    </row>
    <row r="295" spans="47:48" x14ac:dyDescent="0.25">
      <c r="AU295" s="310" t="s">
        <v>983</v>
      </c>
      <c r="AV295" s="308" t="s">
        <v>2070</v>
      </c>
    </row>
    <row r="296" spans="47:48" x14ac:dyDescent="0.25">
      <c r="AU296" s="310" t="s">
        <v>987</v>
      </c>
      <c r="AV296" s="308" t="s">
        <v>2071</v>
      </c>
    </row>
    <row r="297" spans="47:48" x14ac:dyDescent="0.25">
      <c r="AU297" s="310" t="s">
        <v>935</v>
      </c>
      <c r="AV297" s="308" t="s">
        <v>2072</v>
      </c>
    </row>
    <row r="298" spans="47:48" x14ac:dyDescent="0.25">
      <c r="AU298" s="310" t="s">
        <v>937</v>
      </c>
      <c r="AV298" s="308" t="s">
        <v>2073</v>
      </c>
    </row>
    <row r="299" spans="47:48" x14ac:dyDescent="0.25">
      <c r="AU299" s="310" t="s">
        <v>938</v>
      </c>
      <c r="AV299" s="308" t="s">
        <v>2074</v>
      </c>
    </row>
    <row r="300" spans="47:48" x14ac:dyDescent="0.25">
      <c r="AU300" s="310" t="s">
        <v>936</v>
      </c>
      <c r="AV300" s="308" t="s">
        <v>2075</v>
      </c>
    </row>
    <row r="301" spans="47:48" x14ac:dyDescent="0.25">
      <c r="AU301" s="310" t="s">
        <v>919</v>
      </c>
      <c r="AV301" s="308" t="s">
        <v>2076</v>
      </c>
    </row>
    <row r="302" spans="47:48" x14ac:dyDescent="0.25">
      <c r="AU302" s="310" t="s">
        <v>922</v>
      </c>
      <c r="AV302" s="308" t="s">
        <v>2077</v>
      </c>
    </row>
    <row r="303" spans="47:48" x14ac:dyDescent="0.25">
      <c r="AU303" s="310" t="s">
        <v>921</v>
      </c>
      <c r="AV303" s="308" t="s">
        <v>920</v>
      </c>
    </row>
    <row r="304" spans="47:48" x14ac:dyDescent="0.25">
      <c r="AU304" s="310" t="s">
        <v>1224</v>
      </c>
      <c r="AV304" s="308" t="s">
        <v>2078</v>
      </c>
    </row>
    <row r="305" spans="47:48" x14ac:dyDescent="0.25">
      <c r="AU305" s="310" t="s">
        <v>1441</v>
      </c>
      <c r="AV305" s="308" t="s">
        <v>2079</v>
      </c>
    </row>
    <row r="306" spans="47:48" x14ac:dyDescent="0.25">
      <c r="AU306" s="310" t="s">
        <v>1339</v>
      </c>
      <c r="AV306" s="308" t="s">
        <v>2080</v>
      </c>
    </row>
    <row r="307" spans="47:48" x14ac:dyDescent="0.25">
      <c r="AU307" s="310" t="s">
        <v>947</v>
      </c>
      <c r="AV307" s="308" t="s">
        <v>2081</v>
      </c>
    </row>
    <row r="308" spans="47:48" x14ac:dyDescent="0.25">
      <c r="AU308" s="310" t="s">
        <v>948</v>
      </c>
      <c r="AV308" s="308" t="s">
        <v>2082</v>
      </c>
    </row>
    <row r="309" spans="47:48" x14ac:dyDescent="0.25">
      <c r="AU309" s="310" t="s">
        <v>1250</v>
      </c>
      <c r="AV309" s="308" t="s">
        <v>1249</v>
      </c>
    </row>
    <row r="310" spans="47:48" x14ac:dyDescent="0.25">
      <c r="AU310" s="310" t="s">
        <v>1248</v>
      </c>
      <c r="AV310" s="308" t="s">
        <v>1247</v>
      </c>
    </row>
    <row r="311" spans="47:48" x14ac:dyDescent="0.25">
      <c r="AU311" s="310" t="s">
        <v>1254</v>
      </c>
      <c r="AV311" s="308" t="s">
        <v>2083</v>
      </c>
    </row>
    <row r="312" spans="47:48" x14ac:dyDescent="0.25">
      <c r="AU312" s="310" t="s">
        <v>1194</v>
      </c>
      <c r="AV312" s="308" t="s">
        <v>2084</v>
      </c>
    </row>
    <row r="313" spans="47:48" x14ac:dyDescent="0.25">
      <c r="AU313" s="310" t="s">
        <v>1245</v>
      </c>
      <c r="AV313" s="308" t="s">
        <v>2085</v>
      </c>
    </row>
    <row r="314" spans="47:48" x14ac:dyDescent="0.25">
      <c r="AU314" s="310" t="s">
        <v>1195</v>
      </c>
      <c r="AV314" s="308" t="s">
        <v>2086</v>
      </c>
    </row>
    <row r="315" spans="47:48" x14ac:dyDescent="0.25">
      <c r="AU315" s="310" t="s">
        <v>1193</v>
      </c>
      <c r="AV315" s="308" t="s">
        <v>2087</v>
      </c>
    </row>
    <row r="316" spans="47:48" x14ac:dyDescent="0.25">
      <c r="AU316" s="310" t="s">
        <v>1346</v>
      </c>
      <c r="AV316" s="308" t="s">
        <v>2088</v>
      </c>
    </row>
    <row r="317" spans="47:48" x14ac:dyDescent="0.25">
      <c r="AU317" s="310" t="s">
        <v>1072</v>
      </c>
      <c r="AV317" s="308" t="s">
        <v>2089</v>
      </c>
    </row>
    <row r="318" spans="47:48" x14ac:dyDescent="0.25">
      <c r="AU318" s="310" t="s">
        <v>1333</v>
      </c>
      <c r="AV318" s="308" t="s">
        <v>2090</v>
      </c>
    </row>
    <row r="319" spans="47:48" x14ac:dyDescent="0.25">
      <c r="AU319" s="310" t="s">
        <v>1340</v>
      </c>
      <c r="AV319" s="308" t="s">
        <v>2091</v>
      </c>
    </row>
    <row r="320" spans="47:48" x14ac:dyDescent="0.25">
      <c r="AU320" s="310" t="s">
        <v>1159</v>
      </c>
      <c r="AV320" s="308" t="s">
        <v>2092</v>
      </c>
    </row>
    <row r="321" spans="47:48" x14ac:dyDescent="0.25">
      <c r="AU321" s="310" t="s">
        <v>1158</v>
      </c>
      <c r="AV321" s="308" t="s">
        <v>2093</v>
      </c>
    </row>
    <row r="322" spans="47:48" x14ac:dyDescent="0.25">
      <c r="AU322" s="310" t="s">
        <v>949</v>
      </c>
      <c r="AV322" s="308" t="s">
        <v>2094</v>
      </c>
    </row>
    <row r="323" spans="47:48" x14ac:dyDescent="0.25">
      <c r="AU323" s="310" t="s">
        <v>1280</v>
      </c>
      <c r="AV323" s="308" t="s">
        <v>2095</v>
      </c>
    </row>
    <row r="324" spans="47:48" x14ac:dyDescent="0.25">
      <c r="AU324" s="310" t="s">
        <v>1347</v>
      </c>
      <c r="AV324" s="308" t="s">
        <v>2096</v>
      </c>
    </row>
    <row r="325" spans="47:48" x14ac:dyDescent="0.25">
      <c r="AU325" s="310" t="s">
        <v>1162</v>
      </c>
      <c r="AV325" s="308" t="s">
        <v>2097</v>
      </c>
    </row>
    <row r="326" spans="47:48" x14ac:dyDescent="0.25">
      <c r="AU326" s="310" t="s">
        <v>1161</v>
      </c>
      <c r="AV326" s="308" t="s">
        <v>2098</v>
      </c>
    </row>
    <row r="327" spans="47:48" x14ac:dyDescent="0.25">
      <c r="AU327" s="310" t="s">
        <v>1111</v>
      </c>
      <c r="AV327" s="308" t="s">
        <v>2099</v>
      </c>
    </row>
    <row r="328" spans="47:48" x14ac:dyDescent="0.25">
      <c r="AU328" s="310" t="s">
        <v>1225</v>
      </c>
      <c r="AV328" s="308" t="s">
        <v>2100</v>
      </c>
    </row>
    <row r="329" spans="47:48" x14ac:dyDescent="0.25">
      <c r="AU329" s="310" t="s">
        <v>1302</v>
      </c>
      <c r="AV329" s="308" t="s">
        <v>2101</v>
      </c>
    </row>
    <row r="330" spans="47:48" x14ac:dyDescent="0.25">
      <c r="AU330" s="310" t="s">
        <v>1202</v>
      </c>
      <c r="AV330" s="308" t="s">
        <v>2102</v>
      </c>
    </row>
    <row r="331" spans="47:48" x14ac:dyDescent="0.25">
      <c r="AU331" s="310" t="s">
        <v>1200</v>
      </c>
      <c r="AV331" s="308" t="s">
        <v>2103</v>
      </c>
    </row>
    <row r="332" spans="47:48" x14ac:dyDescent="0.25">
      <c r="AU332" s="310" t="s">
        <v>946</v>
      </c>
      <c r="AV332" s="308" t="s">
        <v>2104</v>
      </c>
    </row>
    <row r="333" spans="47:48" x14ac:dyDescent="0.25">
      <c r="AU333" s="310" t="s">
        <v>1201</v>
      </c>
      <c r="AV333" s="308" t="s">
        <v>2105</v>
      </c>
    </row>
    <row r="334" spans="47:48" x14ac:dyDescent="0.25">
      <c r="AU334" s="310" t="s">
        <v>1369</v>
      </c>
      <c r="AV334" s="308" t="s">
        <v>2106</v>
      </c>
    </row>
    <row r="335" spans="47:48" x14ac:dyDescent="0.25">
      <c r="AU335" s="310" t="s">
        <v>1368</v>
      </c>
      <c r="AV335" s="308" t="s">
        <v>2107</v>
      </c>
    </row>
    <row r="336" spans="47:48" x14ac:dyDescent="0.25">
      <c r="AU336" s="310" t="s">
        <v>1315</v>
      </c>
      <c r="AV336" s="308" t="s">
        <v>2108</v>
      </c>
    </row>
    <row r="337" spans="47:48" x14ac:dyDescent="0.25">
      <c r="AU337" s="310" t="s">
        <v>945</v>
      </c>
      <c r="AV337" s="308" t="s">
        <v>2109</v>
      </c>
    </row>
    <row r="338" spans="47:48" x14ac:dyDescent="0.25">
      <c r="AU338" s="310" t="s">
        <v>1367</v>
      </c>
      <c r="AV338" s="308" t="s">
        <v>1366</v>
      </c>
    </row>
    <row r="339" spans="47:48" x14ac:dyDescent="0.25">
      <c r="AU339" s="310" t="s">
        <v>1278</v>
      </c>
      <c r="AV339" s="308" t="s">
        <v>2110</v>
      </c>
    </row>
    <row r="340" spans="47:48" x14ac:dyDescent="0.25">
      <c r="AU340" s="310" t="s">
        <v>1277</v>
      </c>
      <c r="AV340" s="308" t="s">
        <v>2111</v>
      </c>
    </row>
    <row r="341" spans="47:48" x14ac:dyDescent="0.25">
      <c r="AU341" s="310" t="s">
        <v>1276</v>
      </c>
      <c r="AV341" s="308" t="s">
        <v>2112</v>
      </c>
    </row>
    <row r="342" spans="47:48" x14ac:dyDescent="0.25">
      <c r="AU342" s="310" t="s">
        <v>1274</v>
      </c>
      <c r="AV342" s="308" t="s">
        <v>1273</v>
      </c>
    </row>
    <row r="343" spans="47:48" x14ac:dyDescent="0.25">
      <c r="AU343" s="310" t="s">
        <v>1275</v>
      </c>
      <c r="AV343" s="308" t="s">
        <v>2113</v>
      </c>
    </row>
    <row r="344" spans="47:48" x14ac:dyDescent="0.25">
      <c r="AU344" s="310" t="s">
        <v>1309</v>
      </c>
      <c r="AV344" s="308" t="s">
        <v>2114</v>
      </c>
    </row>
    <row r="345" spans="47:48" x14ac:dyDescent="0.25">
      <c r="AU345" s="310" t="s">
        <v>1110</v>
      </c>
      <c r="AV345" s="308" t="s">
        <v>2115</v>
      </c>
    </row>
    <row r="346" spans="47:48" x14ac:dyDescent="0.25">
      <c r="AU346" s="310" t="s">
        <v>1109</v>
      </c>
      <c r="AV346" s="308" t="s">
        <v>2116</v>
      </c>
    </row>
    <row r="347" spans="47:48" x14ac:dyDescent="0.25">
      <c r="AU347" s="310" t="s">
        <v>1108</v>
      </c>
      <c r="AV347" s="308" t="s">
        <v>2117</v>
      </c>
    </row>
    <row r="348" spans="47:48" x14ac:dyDescent="0.25">
      <c r="AU348" s="310" t="s">
        <v>1310</v>
      </c>
      <c r="AV348" s="308" t="s">
        <v>2118</v>
      </c>
    </row>
    <row r="349" spans="47:48" x14ac:dyDescent="0.25">
      <c r="AU349" s="310">
        <v>7999</v>
      </c>
      <c r="AV349" s="308" t="s">
        <v>2119</v>
      </c>
    </row>
    <row r="350" spans="47:48" x14ac:dyDescent="0.25">
      <c r="AU350" s="310" t="s">
        <v>1186</v>
      </c>
      <c r="AV350" s="308" t="s">
        <v>2120</v>
      </c>
    </row>
    <row r="351" spans="47:48" x14ac:dyDescent="0.25">
      <c r="AU351" s="310" t="s">
        <v>1185</v>
      </c>
      <c r="AV351" s="308" t="s">
        <v>2121</v>
      </c>
    </row>
    <row r="352" spans="47:48" x14ac:dyDescent="0.25">
      <c r="AU352" s="310" t="s">
        <v>1182</v>
      </c>
      <c r="AV352" s="308" t="s">
        <v>2122</v>
      </c>
    </row>
    <row r="353" spans="47:48" x14ac:dyDescent="0.25">
      <c r="AU353" s="310" t="s">
        <v>1184</v>
      </c>
      <c r="AV353" s="308" t="s">
        <v>2123</v>
      </c>
    </row>
    <row r="354" spans="47:48" x14ac:dyDescent="0.25">
      <c r="AU354" s="310" t="s">
        <v>942</v>
      </c>
      <c r="AV354" s="308" t="s">
        <v>2124</v>
      </c>
    </row>
    <row r="355" spans="47:48" x14ac:dyDescent="0.25">
      <c r="AU355" s="310" t="s">
        <v>943</v>
      </c>
      <c r="AV355" s="308" t="s">
        <v>2125</v>
      </c>
    </row>
    <row r="356" spans="47:48" x14ac:dyDescent="0.25">
      <c r="AU356" s="310" t="s">
        <v>1183</v>
      </c>
      <c r="AV356" s="308" t="s">
        <v>2126</v>
      </c>
    </row>
    <row r="357" spans="47:48" x14ac:dyDescent="0.25">
      <c r="AU357" s="310" t="s">
        <v>1345</v>
      </c>
      <c r="AV357" s="308" t="s">
        <v>2127</v>
      </c>
    </row>
    <row r="358" spans="47:48" x14ac:dyDescent="0.25">
      <c r="AU358" s="310" t="s">
        <v>1344</v>
      </c>
      <c r="AV358" s="308" t="s">
        <v>927</v>
      </c>
    </row>
    <row r="359" spans="47:48" x14ac:dyDescent="0.25">
      <c r="AU359" s="310" t="s">
        <v>1343</v>
      </c>
      <c r="AV359" s="308" t="s">
        <v>2128</v>
      </c>
    </row>
    <row r="360" spans="47:48" x14ac:dyDescent="0.25">
      <c r="AU360" s="310" t="s">
        <v>1154</v>
      </c>
      <c r="AV360" s="308" t="s">
        <v>2129</v>
      </c>
    </row>
    <row r="361" spans="47:48" x14ac:dyDescent="0.25">
      <c r="AU361" s="310" t="s">
        <v>1153</v>
      </c>
      <c r="AV361" s="308" t="s">
        <v>2130</v>
      </c>
    </row>
    <row r="362" spans="47:48" x14ac:dyDescent="0.25">
      <c r="AU362" s="310">
        <v>7534</v>
      </c>
      <c r="AV362" s="308" t="s">
        <v>1152</v>
      </c>
    </row>
    <row r="363" spans="47:48" x14ac:dyDescent="0.25">
      <c r="AU363" s="310" t="s">
        <v>1149</v>
      </c>
      <c r="AV363" s="308" t="s">
        <v>2131</v>
      </c>
    </row>
    <row r="364" spans="47:48" x14ac:dyDescent="0.25">
      <c r="AU364" s="310" t="s">
        <v>1190</v>
      </c>
      <c r="AV364" s="308" t="s">
        <v>2132</v>
      </c>
    </row>
    <row r="365" spans="47:48" x14ac:dyDescent="0.25">
      <c r="AU365" s="310" t="s">
        <v>1192</v>
      </c>
      <c r="AV365" s="308" t="s">
        <v>2133</v>
      </c>
    </row>
    <row r="366" spans="47:48" x14ac:dyDescent="0.25">
      <c r="AU366" s="310" t="s">
        <v>1191</v>
      </c>
      <c r="AV366" s="308" t="s">
        <v>2134</v>
      </c>
    </row>
    <row r="367" spans="47:48" x14ac:dyDescent="0.25">
      <c r="AU367" s="310" t="s">
        <v>1301</v>
      </c>
      <c r="AV367" s="308" t="s">
        <v>2135</v>
      </c>
    </row>
    <row r="368" spans="47:48" x14ac:dyDescent="0.25">
      <c r="AU368" s="310" t="s">
        <v>1329</v>
      </c>
      <c r="AV368" s="308" t="s">
        <v>2136</v>
      </c>
    </row>
    <row r="369" spans="47:48" x14ac:dyDescent="0.25">
      <c r="AU369" s="310" t="s">
        <v>1151</v>
      </c>
      <c r="AV369" s="308" t="s">
        <v>2137</v>
      </c>
    </row>
    <row r="370" spans="47:48" x14ac:dyDescent="0.25">
      <c r="AU370" s="310" t="s">
        <v>1328</v>
      </c>
      <c r="AV370" s="308" t="s">
        <v>1327</v>
      </c>
    </row>
    <row r="371" spans="47:48" x14ac:dyDescent="0.25">
      <c r="AU371" s="310" t="s">
        <v>1419</v>
      </c>
      <c r="AV371" s="308" t="s">
        <v>2138</v>
      </c>
    </row>
    <row r="372" spans="47:48" x14ac:dyDescent="0.25">
      <c r="AU372" s="310" t="s">
        <v>1373</v>
      </c>
      <c r="AV372" s="308" t="s">
        <v>2139</v>
      </c>
    </row>
    <row r="373" spans="47:48" x14ac:dyDescent="0.25">
      <c r="AU373" s="310" t="s">
        <v>1071</v>
      </c>
      <c r="AV373" s="308" t="s">
        <v>2140</v>
      </c>
    </row>
    <row r="374" spans="47:48" x14ac:dyDescent="0.25">
      <c r="AU374" s="310" t="s">
        <v>1300</v>
      </c>
      <c r="AV374" s="308" t="s">
        <v>2141</v>
      </c>
    </row>
    <row r="375" spans="47:48" x14ac:dyDescent="0.25">
      <c r="AU375" s="310" t="s">
        <v>1372</v>
      </c>
      <c r="AV375" s="308" t="s">
        <v>2142</v>
      </c>
    </row>
    <row r="376" spans="47:48" x14ac:dyDescent="0.25">
      <c r="AU376" s="310" t="s">
        <v>1371</v>
      </c>
      <c r="AV376" s="308" t="s">
        <v>2143</v>
      </c>
    </row>
    <row r="377" spans="47:48" x14ac:dyDescent="0.25">
      <c r="AU377" s="310" t="s">
        <v>1070</v>
      </c>
      <c r="AV377" s="308" t="s">
        <v>2144</v>
      </c>
    </row>
    <row r="378" spans="47:48" x14ac:dyDescent="0.25">
      <c r="AU378" s="310" t="s">
        <v>928</v>
      </c>
      <c r="AV378" s="308" t="s">
        <v>2145</v>
      </c>
    </row>
    <row r="379" spans="47:48" x14ac:dyDescent="0.25">
      <c r="AU379" s="310" t="s">
        <v>1418</v>
      </c>
      <c r="AV379" s="308" t="s">
        <v>2146</v>
      </c>
    </row>
    <row r="380" spans="47:48" x14ac:dyDescent="0.25">
      <c r="AU380" s="310" t="s">
        <v>1261</v>
      </c>
      <c r="AV380" s="308" t="s">
        <v>2147</v>
      </c>
    </row>
    <row r="381" spans="47:48" x14ac:dyDescent="0.25">
      <c r="AU381" s="310" t="s">
        <v>1262</v>
      </c>
      <c r="AV381" s="308" t="s">
        <v>2148</v>
      </c>
    </row>
    <row r="382" spans="47:48" x14ac:dyDescent="0.25">
      <c r="AU382" s="310" t="s">
        <v>1237</v>
      </c>
      <c r="AV382" s="308" t="s">
        <v>2149</v>
      </c>
    </row>
    <row r="383" spans="47:48" x14ac:dyDescent="0.25">
      <c r="AU383" s="310" t="s">
        <v>941</v>
      </c>
      <c r="AV383" s="308" t="s">
        <v>2150</v>
      </c>
    </row>
    <row r="384" spans="47:48" x14ac:dyDescent="0.25">
      <c r="AU384" s="310" t="s">
        <v>1086</v>
      </c>
      <c r="AV384" s="308" t="s">
        <v>2151</v>
      </c>
    </row>
    <row r="385" spans="47:48" x14ac:dyDescent="0.25">
      <c r="AU385" s="310" t="s">
        <v>1397</v>
      </c>
      <c r="AV385" s="308" t="s">
        <v>2152</v>
      </c>
    </row>
    <row r="386" spans="47:48" x14ac:dyDescent="0.25">
      <c r="AU386" s="310" t="s">
        <v>1138</v>
      </c>
      <c r="AV386" s="308" t="s">
        <v>2153</v>
      </c>
    </row>
    <row r="387" spans="47:48" x14ac:dyDescent="0.25">
      <c r="AU387" s="310" t="s">
        <v>1139</v>
      </c>
      <c r="AV387" s="308" t="s">
        <v>2154</v>
      </c>
    </row>
    <row r="388" spans="47:48" x14ac:dyDescent="0.25">
      <c r="AU388" s="310" t="s">
        <v>1395</v>
      </c>
      <c r="AV388" s="308" t="s">
        <v>2155</v>
      </c>
    </row>
    <row r="389" spans="47:48" x14ac:dyDescent="0.25">
      <c r="AU389" s="310" t="s">
        <v>1393</v>
      </c>
      <c r="AV389" s="308" t="s">
        <v>2156</v>
      </c>
    </row>
    <row r="390" spans="47:48" x14ac:dyDescent="0.25">
      <c r="AU390" s="310" t="s">
        <v>1396</v>
      </c>
      <c r="AV390" s="308" t="s">
        <v>2157</v>
      </c>
    </row>
    <row r="391" spans="47:48" x14ac:dyDescent="0.25">
      <c r="AU391" s="310" t="s">
        <v>1120</v>
      </c>
      <c r="AV391" s="308" t="s">
        <v>2158</v>
      </c>
    </row>
    <row r="392" spans="47:48" x14ac:dyDescent="0.25">
      <c r="AU392" s="310" t="s">
        <v>1394</v>
      </c>
      <c r="AV392" s="308" t="s">
        <v>2159</v>
      </c>
    </row>
    <row r="393" spans="47:48" x14ac:dyDescent="0.25">
      <c r="AU393" s="310" t="s">
        <v>1089</v>
      </c>
      <c r="AV393" s="308" t="s">
        <v>2160</v>
      </c>
    </row>
    <row r="394" spans="47:48" x14ac:dyDescent="0.25">
      <c r="AU394" s="310" t="s">
        <v>1423</v>
      </c>
      <c r="AV394" s="308" t="s">
        <v>2161</v>
      </c>
    </row>
    <row r="395" spans="47:48" x14ac:dyDescent="0.25">
      <c r="AU395" s="310" t="s">
        <v>1422</v>
      </c>
      <c r="AV395" s="308" t="s">
        <v>2162</v>
      </c>
    </row>
    <row r="396" spans="47:48" x14ac:dyDescent="0.25">
      <c r="AU396" s="310" t="s">
        <v>1100</v>
      </c>
      <c r="AV396" s="308" t="s">
        <v>2163</v>
      </c>
    </row>
    <row r="397" spans="47:48" x14ac:dyDescent="0.25">
      <c r="AU397" s="310" t="s">
        <v>1313</v>
      </c>
      <c r="AV397" s="308" t="s">
        <v>2164</v>
      </c>
    </row>
    <row r="398" spans="47:48" x14ac:dyDescent="0.25">
      <c r="AU398" s="310" t="s">
        <v>1068</v>
      </c>
      <c r="AV398" s="308" t="s">
        <v>2165</v>
      </c>
    </row>
    <row r="399" spans="47:48" x14ac:dyDescent="0.25">
      <c r="AU399" s="310" t="s">
        <v>1404</v>
      </c>
      <c r="AV399" s="308" t="s">
        <v>2166</v>
      </c>
    </row>
    <row r="400" spans="47:48" x14ac:dyDescent="0.25">
      <c r="AU400" s="310" t="s">
        <v>1311</v>
      </c>
      <c r="AV400" s="308" t="s">
        <v>2167</v>
      </c>
    </row>
    <row r="401" spans="47:48" x14ac:dyDescent="0.25">
      <c r="AU401" s="310" t="s">
        <v>1314</v>
      </c>
      <c r="AV401" s="308" t="s">
        <v>2168</v>
      </c>
    </row>
    <row r="402" spans="47:48" x14ac:dyDescent="0.25">
      <c r="AU402" s="310" t="s">
        <v>1069</v>
      </c>
      <c r="AV402" s="308" t="s">
        <v>2169</v>
      </c>
    </row>
    <row r="403" spans="47:48" x14ac:dyDescent="0.25">
      <c r="AU403" s="310" t="s">
        <v>1312</v>
      </c>
      <c r="AV403" s="308" t="s">
        <v>2170</v>
      </c>
    </row>
    <row r="404" spans="47:48" x14ac:dyDescent="0.25">
      <c r="AU404" s="310" t="s">
        <v>1146</v>
      </c>
      <c r="AV404" s="308" t="s">
        <v>2171</v>
      </c>
    </row>
    <row r="405" spans="47:48" x14ac:dyDescent="0.25">
      <c r="AU405" s="310" t="s">
        <v>1145</v>
      </c>
      <c r="AV405" s="308" t="s">
        <v>2172</v>
      </c>
    </row>
    <row r="406" spans="47:48" x14ac:dyDescent="0.25">
      <c r="AU406" s="310" t="s">
        <v>1188</v>
      </c>
      <c r="AV406" s="308" t="s">
        <v>2173</v>
      </c>
    </row>
    <row r="407" spans="47:48" x14ac:dyDescent="0.25">
      <c r="AU407" s="310" t="s">
        <v>940</v>
      </c>
      <c r="AV407" s="308" t="s">
        <v>2174</v>
      </c>
    </row>
    <row r="408" spans="47:48" x14ac:dyDescent="0.25">
      <c r="AU408" s="310" t="s">
        <v>1231</v>
      </c>
      <c r="AV408" s="308" t="s">
        <v>1230</v>
      </c>
    </row>
    <row r="409" spans="47:48" x14ac:dyDescent="0.25">
      <c r="AU409" s="310" t="s">
        <v>1229</v>
      </c>
      <c r="AV409" s="308" t="s">
        <v>2175</v>
      </c>
    </row>
    <row r="410" spans="47:48" x14ac:dyDescent="0.25">
      <c r="AU410" s="310" t="s">
        <v>939</v>
      </c>
      <c r="AV410" s="308" t="s">
        <v>2176</v>
      </c>
    </row>
    <row r="411" spans="47:48" x14ac:dyDescent="0.25">
      <c r="AU411" s="310" t="s">
        <v>1228</v>
      </c>
      <c r="AV411" s="308" t="s">
        <v>2177</v>
      </c>
    </row>
    <row r="412" spans="47:48" x14ac:dyDescent="0.25">
      <c r="AU412" s="310" t="s">
        <v>926</v>
      </c>
      <c r="AV412" s="308" t="s">
        <v>2178</v>
      </c>
    </row>
    <row r="413" spans="47:48" x14ac:dyDescent="0.25">
      <c r="AU413" s="310" t="s">
        <v>1370</v>
      </c>
      <c r="AV413" s="308" t="s">
        <v>2179</v>
      </c>
    </row>
    <row r="414" spans="47:48" x14ac:dyDescent="0.25">
      <c r="AU414" s="310" t="s">
        <v>1220</v>
      </c>
      <c r="AV414" s="308" t="s">
        <v>2180</v>
      </c>
    </row>
    <row r="415" spans="47:48" x14ac:dyDescent="0.25">
      <c r="AU415" s="310" t="s">
        <v>1227</v>
      </c>
      <c r="AV415" s="308" t="s">
        <v>2181</v>
      </c>
    </row>
    <row r="416" spans="47:48" x14ac:dyDescent="0.25">
      <c r="AU416" s="310" t="s">
        <v>1074</v>
      </c>
      <c r="AV416" s="308" t="s">
        <v>2182</v>
      </c>
    </row>
    <row r="417" spans="47:48" x14ac:dyDescent="0.25">
      <c r="AU417" s="310" t="s">
        <v>1400</v>
      </c>
      <c r="AV417" s="308" t="s">
        <v>2183</v>
      </c>
    </row>
    <row r="418" spans="47:48" x14ac:dyDescent="0.25">
      <c r="AU418" s="310" t="s">
        <v>1181</v>
      </c>
      <c r="AV418" s="308" t="s">
        <v>2184</v>
      </c>
    </row>
    <row r="419" spans="47:48" x14ac:dyDescent="0.25">
      <c r="AU419" s="310" t="s">
        <v>1180</v>
      </c>
      <c r="AV419" s="308" t="s">
        <v>2185</v>
      </c>
    </row>
    <row r="420" spans="47:48" x14ac:dyDescent="0.25">
      <c r="AU420" s="310" t="s">
        <v>1204</v>
      </c>
      <c r="AV420" s="308" t="s">
        <v>2186</v>
      </c>
    </row>
    <row r="421" spans="47:48" x14ac:dyDescent="0.25">
      <c r="AU421" s="310" t="s">
        <v>1203</v>
      </c>
      <c r="AV421" s="308" t="s">
        <v>2187</v>
      </c>
    </row>
    <row r="422" spans="47:48" x14ac:dyDescent="0.25">
      <c r="AU422" s="310" t="s">
        <v>1097</v>
      </c>
      <c r="AV422" s="308" t="s">
        <v>2188</v>
      </c>
    </row>
    <row r="423" spans="47:48" x14ac:dyDescent="0.25">
      <c r="AU423" s="310" t="s">
        <v>1096</v>
      </c>
      <c r="AV423" s="308" t="s">
        <v>1095</v>
      </c>
    </row>
    <row r="424" spans="47:48" x14ac:dyDescent="0.25">
      <c r="AU424" s="310" t="s">
        <v>1088</v>
      </c>
      <c r="AV424" s="308" t="s">
        <v>1087</v>
      </c>
    </row>
    <row r="425" spans="47:48" x14ac:dyDescent="0.25">
      <c r="AU425" s="310" t="s">
        <v>1101</v>
      </c>
      <c r="AV425" s="308" t="s">
        <v>2189</v>
      </c>
    </row>
    <row r="426" spans="47:48" x14ac:dyDescent="0.25">
      <c r="AU426" s="310" t="s">
        <v>1148</v>
      </c>
      <c r="AV426" s="308" t="s">
        <v>2190</v>
      </c>
    </row>
    <row r="427" spans="47:48" x14ac:dyDescent="0.25">
      <c r="AU427" s="310" t="s">
        <v>1147</v>
      </c>
      <c r="AV427" s="308" t="s">
        <v>2191</v>
      </c>
    </row>
    <row r="428" spans="47:48" x14ac:dyDescent="0.25">
      <c r="AU428" s="310" t="s">
        <v>1135</v>
      </c>
      <c r="AV428" s="308" t="s">
        <v>1134</v>
      </c>
    </row>
    <row r="429" spans="47:48" x14ac:dyDescent="0.25">
      <c r="AU429" s="310" t="s">
        <v>1244</v>
      </c>
      <c r="AV429" s="308" t="s">
        <v>2192</v>
      </c>
    </row>
    <row r="430" spans="47:48" x14ac:dyDescent="0.25">
      <c r="AU430" s="310" t="s">
        <v>1133</v>
      </c>
      <c r="AV430" s="308" t="s">
        <v>2193</v>
      </c>
    </row>
    <row r="431" spans="47:48" x14ac:dyDescent="0.25">
      <c r="AU431" s="310" t="s">
        <v>1382</v>
      </c>
      <c r="AV431" s="308" t="s">
        <v>2194</v>
      </c>
    </row>
    <row r="432" spans="47:48" x14ac:dyDescent="0.25">
      <c r="AU432" s="310" t="s">
        <v>1243</v>
      </c>
      <c r="AV432" s="308" t="s">
        <v>2195</v>
      </c>
    </row>
    <row r="433" spans="47:48" x14ac:dyDescent="0.25">
      <c r="AU433" s="310" t="s">
        <v>1316</v>
      </c>
      <c r="AV433" s="308" t="s">
        <v>2196</v>
      </c>
    </row>
    <row r="434" spans="47:48" x14ac:dyDescent="0.25">
      <c r="AU434" s="310" t="s">
        <v>1094</v>
      </c>
      <c r="AV434" s="308" t="s">
        <v>2197</v>
      </c>
    </row>
    <row r="435" spans="47:48" x14ac:dyDescent="0.25">
      <c r="AU435" s="310" t="s">
        <v>1426</v>
      </c>
      <c r="AV435" s="308" t="s">
        <v>2198</v>
      </c>
    </row>
    <row r="436" spans="47:48" x14ac:dyDescent="0.25">
      <c r="AU436" s="310" t="s">
        <v>1427</v>
      </c>
      <c r="AV436" s="308" t="s">
        <v>2199</v>
      </c>
    </row>
    <row r="437" spans="47:48" x14ac:dyDescent="0.25">
      <c r="AU437" s="310" t="s">
        <v>1879</v>
      </c>
      <c r="AV437" s="308" t="s">
        <v>2200</v>
      </c>
    </row>
    <row r="438" spans="47:48" x14ac:dyDescent="0.25">
      <c r="AU438" s="310" t="s">
        <v>1432</v>
      </c>
      <c r="AV438" s="308" t="s">
        <v>1431</v>
      </c>
    </row>
    <row r="439" spans="47:48" x14ac:dyDescent="0.25">
      <c r="AU439" s="310" t="s">
        <v>994</v>
      </c>
      <c r="AV439" s="308" t="s">
        <v>2201</v>
      </c>
    </row>
    <row r="440" spans="47:48" x14ac:dyDescent="0.25">
      <c r="AU440" s="310" t="s">
        <v>1093</v>
      </c>
      <c r="AV440" s="308" t="s">
        <v>2202</v>
      </c>
    </row>
    <row r="441" spans="47:48" x14ac:dyDescent="0.25">
      <c r="AU441" s="310" t="s">
        <v>1140</v>
      </c>
      <c r="AV441" s="308" t="s">
        <v>2203</v>
      </c>
    </row>
    <row r="442" spans="47:48" x14ac:dyDescent="0.25">
      <c r="AU442" s="310" t="s">
        <v>1092</v>
      </c>
      <c r="AV442" s="308" t="s">
        <v>2204</v>
      </c>
    </row>
    <row r="443" spans="47:48" x14ac:dyDescent="0.25">
      <c r="AU443" s="310" t="s">
        <v>993</v>
      </c>
      <c r="AV443" s="308" t="s">
        <v>2205</v>
      </c>
    </row>
    <row r="444" spans="47:48" x14ac:dyDescent="0.25">
      <c r="AU444" s="310" t="s">
        <v>1091</v>
      </c>
      <c r="AV444" s="308" t="s">
        <v>2206</v>
      </c>
    </row>
    <row r="445" spans="47:48" x14ac:dyDescent="0.25">
      <c r="AU445" s="310" t="s">
        <v>992</v>
      </c>
      <c r="AV445" s="308" t="s">
        <v>2207</v>
      </c>
    </row>
    <row r="446" spans="47:48" x14ac:dyDescent="0.25">
      <c r="AU446" s="310" t="s">
        <v>1090</v>
      </c>
      <c r="AV446" s="308" t="s">
        <v>2208</v>
      </c>
    </row>
    <row r="447" spans="47:48" x14ac:dyDescent="0.25">
      <c r="AU447" s="310" t="s">
        <v>1264</v>
      </c>
      <c r="AV447" s="308" t="s">
        <v>2209</v>
      </c>
    </row>
    <row r="448" spans="47:48" x14ac:dyDescent="0.25">
      <c r="AU448" s="310" t="s">
        <v>1025</v>
      </c>
      <c r="AV448" s="308" t="s">
        <v>2210</v>
      </c>
    </row>
    <row r="449" spans="47:48" x14ac:dyDescent="0.25">
      <c r="AU449" s="310" t="s">
        <v>1026</v>
      </c>
      <c r="AV449" s="308" t="s">
        <v>2211</v>
      </c>
    </row>
    <row r="450" spans="47:48" x14ac:dyDescent="0.25">
      <c r="AU450" s="310" t="s">
        <v>1335</v>
      </c>
      <c r="AV450" s="308" t="s">
        <v>2212</v>
      </c>
    </row>
    <row r="451" spans="47:48" x14ac:dyDescent="0.25">
      <c r="AU451" s="310" t="s">
        <v>1265</v>
      </c>
      <c r="AV451" s="308" t="s">
        <v>2213</v>
      </c>
    </row>
    <row r="452" spans="47:48" x14ac:dyDescent="0.25">
      <c r="AU452" s="310" t="s">
        <v>1263</v>
      </c>
      <c r="AV452" s="308" t="s">
        <v>2214</v>
      </c>
    </row>
    <row r="453" spans="47:48" x14ac:dyDescent="0.25">
      <c r="AU453" s="310" t="s">
        <v>1141</v>
      </c>
      <c r="AV453" s="308" t="s">
        <v>2215</v>
      </c>
    </row>
    <row r="454" spans="47:48" x14ac:dyDescent="0.25">
      <c r="AU454" s="310" t="s">
        <v>1399</v>
      </c>
      <c r="AV454" s="308" t="s">
        <v>2216</v>
      </c>
    </row>
    <row r="455" spans="47:48" x14ac:dyDescent="0.25">
      <c r="AU455" s="310" t="s">
        <v>1179</v>
      </c>
      <c r="AV455" s="308" t="s">
        <v>2217</v>
      </c>
    </row>
    <row r="456" spans="47:48" x14ac:dyDescent="0.25">
      <c r="AU456" s="310" t="s">
        <v>1178</v>
      </c>
      <c r="AV456" s="308" t="s">
        <v>2218</v>
      </c>
    </row>
    <row r="457" spans="47:48" x14ac:dyDescent="0.25">
      <c r="AU457" s="310" t="s">
        <v>1177</v>
      </c>
      <c r="AV457" s="308" t="s">
        <v>1176</v>
      </c>
    </row>
    <row r="458" spans="47:48" x14ac:dyDescent="0.25">
      <c r="AU458" s="310" t="s">
        <v>1175</v>
      </c>
      <c r="AV458" s="308" t="s">
        <v>2219</v>
      </c>
    </row>
    <row r="459" spans="47:48" x14ac:dyDescent="0.25">
      <c r="AU459" s="310" t="s">
        <v>1271</v>
      </c>
      <c r="AV459" s="308" t="s">
        <v>2220</v>
      </c>
    </row>
    <row r="460" spans="47:48" x14ac:dyDescent="0.25">
      <c r="AU460" s="310" t="s">
        <v>1125</v>
      </c>
      <c r="AV460" s="308" t="s">
        <v>2221</v>
      </c>
    </row>
    <row r="461" spans="47:48" x14ac:dyDescent="0.25">
      <c r="AU461" s="310" t="s">
        <v>1211</v>
      </c>
      <c r="AV461" s="308" t="s">
        <v>2222</v>
      </c>
    </row>
    <row r="462" spans="47:48" x14ac:dyDescent="0.25">
      <c r="AU462" s="310" t="s">
        <v>1420</v>
      </c>
      <c r="AV462" s="308" t="s">
        <v>2223</v>
      </c>
    </row>
    <row r="463" spans="47:48" x14ac:dyDescent="0.25">
      <c r="AU463" s="310" t="s">
        <v>1198</v>
      </c>
      <c r="AV463" s="308" t="s">
        <v>2224</v>
      </c>
    </row>
    <row r="464" spans="47:48" x14ac:dyDescent="0.25">
      <c r="AU464" s="310" t="s">
        <v>1123</v>
      </c>
      <c r="AV464" s="308" t="s">
        <v>2225</v>
      </c>
    </row>
    <row r="465" spans="47:48" x14ac:dyDescent="0.25">
      <c r="AU465" s="310" t="s">
        <v>995</v>
      </c>
      <c r="AV465" s="308" t="s">
        <v>2226</v>
      </c>
    </row>
    <row r="466" spans="47:48" x14ac:dyDescent="0.25">
      <c r="AU466" s="310" t="s">
        <v>1144</v>
      </c>
      <c r="AV466" s="308" t="s">
        <v>2227</v>
      </c>
    </row>
    <row r="467" spans="47:48" x14ac:dyDescent="0.25">
      <c r="AU467" s="310" t="s">
        <v>1187</v>
      </c>
      <c r="AV467" s="308" t="s">
        <v>2228</v>
      </c>
    </row>
    <row r="468" spans="47:48" x14ac:dyDescent="0.25">
      <c r="AU468" s="310" t="s">
        <v>1197</v>
      </c>
      <c r="AV468" s="308" t="s">
        <v>1196</v>
      </c>
    </row>
    <row r="469" spans="47:48" x14ac:dyDescent="0.25">
      <c r="AU469" s="310" t="s">
        <v>1428</v>
      </c>
      <c r="AV469" s="308" t="s">
        <v>2229</v>
      </c>
    </row>
    <row r="470" spans="47:48" x14ac:dyDescent="0.25">
      <c r="AU470" s="310" t="s">
        <v>1272</v>
      </c>
      <c r="AV470" s="308" t="s">
        <v>2230</v>
      </c>
    </row>
    <row r="471" spans="47:48" x14ac:dyDescent="0.25">
      <c r="AU471" s="310" t="s">
        <v>1024</v>
      </c>
      <c r="AV471" s="308" t="s">
        <v>1023</v>
      </c>
    </row>
    <row r="472" spans="47:48" x14ac:dyDescent="0.25">
      <c r="AU472" s="310" t="s">
        <v>1305</v>
      </c>
      <c r="AV472" s="308" t="s">
        <v>2231</v>
      </c>
    </row>
    <row r="473" spans="47:48" x14ac:dyDescent="0.25">
      <c r="AU473" s="310" t="s">
        <v>1020</v>
      </c>
      <c r="AV473" s="308" t="s">
        <v>2232</v>
      </c>
    </row>
    <row r="474" spans="47:48" x14ac:dyDescent="0.25">
      <c r="AU474" s="310" t="s">
        <v>996</v>
      </c>
      <c r="AV474" s="308" t="s">
        <v>2233</v>
      </c>
    </row>
    <row r="475" spans="47:48" x14ac:dyDescent="0.25">
      <c r="AU475" s="310" t="s">
        <v>1022</v>
      </c>
      <c r="AV475" s="308" t="s">
        <v>1021</v>
      </c>
    </row>
    <row r="476" spans="47:48" x14ac:dyDescent="0.25">
      <c r="AU476" s="310" t="s">
        <v>1065</v>
      </c>
      <c r="AV476" s="308" t="s">
        <v>2234</v>
      </c>
    </row>
    <row r="477" spans="47:48" x14ac:dyDescent="0.25">
      <c r="AU477" s="310" t="s">
        <v>1304</v>
      </c>
      <c r="AV477" s="308" t="s">
        <v>2235</v>
      </c>
    </row>
    <row r="478" spans="47:48" x14ac:dyDescent="0.25">
      <c r="AU478" s="310">
        <v>5012</v>
      </c>
      <c r="AV478" s="308" t="s">
        <v>2236</v>
      </c>
    </row>
    <row r="479" spans="47:48" x14ac:dyDescent="0.25">
      <c r="AU479" s="310">
        <v>5032</v>
      </c>
      <c r="AV479" s="308" t="s">
        <v>2237</v>
      </c>
    </row>
    <row r="480" spans="47:48" x14ac:dyDescent="0.25">
      <c r="AU480" s="310">
        <v>5046</v>
      </c>
      <c r="AV480" s="308" t="s">
        <v>2238</v>
      </c>
    </row>
    <row r="481" spans="47:48" x14ac:dyDescent="0.25">
      <c r="AU481" s="310">
        <v>5082</v>
      </c>
      <c r="AV481" s="308" t="s">
        <v>2239</v>
      </c>
    </row>
    <row r="482" spans="47:48" x14ac:dyDescent="0.25">
      <c r="AU482" s="310">
        <v>5099</v>
      </c>
      <c r="AV482" s="308" t="s">
        <v>2240</v>
      </c>
    </row>
    <row r="483" spans="47:48" x14ac:dyDescent="0.25">
      <c r="AU483" s="310">
        <v>5063</v>
      </c>
      <c r="AV483" s="308" t="s">
        <v>2241</v>
      </c>
    </row>
    <row r="484" spans="47:48" x14ac:dyDescent="0.25">
      <c r="AU484" s="310">
        <v>5064</v>
      </c>
      <c r="AV484" s="308" t="s">
        <v>2242</v>
      </c>
    </row>
    <row r="485" spans="47:48" x14ac:dyDescent="0.25">
      <c r="AU485" s="310">
        <v>5065</v>
      </c>
      <c r="AV485" s="308" t="s">
        <v>2243</v>
      </c>
    </row>
    <row r="486" spans="47:48" x14ac:dyDescent="0.25">
      <c r="AU486" s="310">
        <v>5072</v>
      </c>
      <c r="AV486" s="308" t="s">
        <v>950</v>
      </c>
    </row>
    <row r="487" spans="47:48" x14ac:dyDescent="0.25">
      <c r="AU487" s="310">
        <v>5023</v>
      </c>
      <c r="AV487" s="308" t="s">
        <v>2244</v>
      </c>
    </row>
    <row r="488" spans="47:48" x14ac:dyDescent="0.25">
      <c r="AU488" s="310">
        <v>5085</v>
      </c>
      <c r="AV488" s="308" t="s">
        <v>2245</v>
      </c>
    </row>
    <row r="489" spans="47:48" x14ac:dyDescent="0.25">
      <c r="AU489" s="310">
        <v>5094</v>
      </c>
      <c r="AV489" s="308" t="s">
        <v>2246</v>
      </c>
    </row>
    <row r="490" spans="47:48" x14ac:dyDescent="0.25">
      <c r="AU490" s="310">
        <v>5047</v>
      </c>
      <c r="AV490" s="308" t="s">
        <v>2247</v>
      </c>
    </row>
    <row r="491" spans="47:48" x14ac:dyDescent="0.25">
      <c r="AU491" s="310">
        <v>5044</v>
      </c>
      <c r="AV491" s="308" t="s">
        <v>2248</v>
      </c>
    </row>
    <row r="492" spans="47:48" x14ac:dyDescent="0.25">
      <c r="AU492" s="310">
        <v>5033</v>
      </c>
      <c r="AV492" s="308" t="s">
        <v>2249</v>
      </c>
    </row>
    <row r="493" spans="47:48" x14ac:dyDescent="0.25">
      <c r="AU493" s="310">
        <v>5093</v>
      </c>
      <c r="AV493" s="308" t="s">
        <v>2250</v>
      </c>
    </row>
    <row r="494" spans="47:48" x14ac:dyDescent="0.25">
      <c r="AU494" s="310">
        <v>5087</v>
      </c>
      <c r="AV494" s="308" t="s">
        <v>2251</v>
      </c>
    </row>
    <row r="495" spans="47:48" x14ac:dyDescent="0.25">
      <c r="AU495" s="310">
        <v>5014</v>
      </c>
      <c r="AV495" s="308" t="s">
        <v>2252</v>
      </c>
    </row>
    <row r="496" spans="47:48" x14ac:dyDescent="0.25">
      <c r="AU496" s="310">
        <v>5075</v>
      </c>
      <c r="AV496" s="308" t="s">
        <v>2253</v>
      </c>
    </row>
    <row r="497" spans="47:48" x14ac:dyDescent="0.25">
      <c r="AU497" s="310">
        <v>5181</v>
      </c>
      <c r="AV497" s="308" t="s">
        <v>2254</v>
      </c>
    </row>
    <row r="498" spans="47:48" x14ac:dyDescent="0.25">
      <c r="AU498" s="310">
        <v>5169</v>
      </c>
      <c r="AV498" s="308" t="s">
        <v>2255</v>
      </c>
    </row>
    <row r="499" spans="47:48" x14ac:dyDescent="0.25">
      <c r="AU499" s="310">
        <v>5143</v>
      </c>
      <c r="AV499" s="308" t="s">
        <v>2256</v>
      </c>
    </row>
    <row r="500" spans="47:48" x14ac:dyDescent="0.25">
      <c r="AU500" s="310">
        <v>5122</v>
      </c>
      <c r="AV500" s="308" t="s">
        <v>2257</v>
      </c>
    </row>
    <row r="501" spans="47:48" x14ac:dyDescent="0.25">
      <c r="AU501" s="310">
        <v>5191</v>
      </c>
      <c r="AV501" s="308" t="s">
        <v>2258</v>
      </c>
    </row>
    <row r="502" spans="47:48" x14ac:dyDescent="0.25">
      <c r="AU502" s="310">
        <v>5146</v>
      </c>
      <c r="AV502" s="308" t="s">
        <v>2259</v>
      </c>
    </row>
    <row r="503" spans="47:48" x14ac:dyDescent="0.25">
      <c r="AU503" s="310">
        <v>5148</v>
      </c>
      <c r="AV503" s="308" t="s">
        <v>2260</v>
      </c>
    </row>
    <row r="504" spans="47:48" x14ac:dyDescent="0.25">
      <c r="AU504" s="310">
        <v>5141</v>
      </c>
      <c r="AV504" s="308" t="s">
        <v>2261</v>
      </c>
    </row>
    <row r="505" spans="47:48" x14ac:dyDescent="0.25">
      <c r="AU505" s="310">
        <v>5147</v>
      </c>
      <c r="AV505" s="308" t="s">
        <v>2262</v>
      </c>
    </row>
    <row r="506" spans="47:48" x14ac:dyDescent="0.25">
      <c r="AU506" s="310">
        <v>5199</v>
      </c>
      <c r="AV506" s="308" t="s">
        <v>2263</v>
      </c>
    </row>
    <row r="507" spans="47:48" x14ac:dyDescent="0.25">
      <c r="AU507" s="310">
        <v>5142</v>
      </c>
      <c r="AV507" s="308" t="s">
        <v>2264</v>
      </c>
    </row>
    <row r="508" spans="47:48" x14ac:dyDescent="0.25">
      <c r="AU508" s="310">
        <v>5198</v>
      </c>
      <c r="AV508" s="308" t="s">
        <v>2265</v>
      </c>
    </row>
    <row r="509" spans="47:48" x14ac:dyDescent="0.25">
      <c r="AU509" s="310">
        <v>5171</v>
      </c>
      <c r="AV509" s="308" t="s">
        <v>2266</v>
      </c>
    </row>
    <row r="510" spans="47:48" x14ac:dyDescent="0.25">
      <c r="AU510" s="310">
        <v>5162</v>
      </c>
      <c r="AV510" s="308" t="s">
        <v>2267</v>
      </c>
    </row>
    <row r="511" spans="47:48" x14ac:dyDescent="0.25">
      <c r="AU511" s="310">
        <v>5144</v>
      </c>
      <c r="AV511" s="308" t="s">
        <v>2268</v>
      </c>
    </row>
    <row r="512" spans="47:48" x14ac:dyDescent="0.25">
      <c r="AU512" s="310">
        <v>5112</v>
      </c>
      <c r="AV512" s="308" t="s">
        <v>2269</v>
      </c>
    </row>
    <row r="513" spans="47:48" x14ac:dyDescent="0.25">
      <c r="AU513" s="310">
        <v>5182</v>
      </c>
      <c r="AV513" s="308" t="s">
        <v>2270</v>
      </c>
    </row>
    <row r="514" spans="47:48" x14ac:dyDescent="0.25">
      <c r="AU514" s="310">
        <v>5137</v>
      </c>
      <c r="AV514" s="308" t="s">
        <v>2271</v>
      </c>
    </row>
    <row r="515" spans="47:48" x14ac:dyDescent="0.25">
      <c r="AU515" s="309"/>
      <c r="AV515" s="188"/>
    </row>
    <row r="516" spans="47:48" x14ac:dyDescent="0.25">
      <c r="AU516" s="188"/>
      <c r="AV516" s="188"/>
    </row>
    <row r="517" spans="47:48" x14ac:dyDescent="0.25">
      <c r="AU517" s="188"/>
      <c r="AV517" s="188"/>
    </row>
    <row r="518" spans="47:48" x14ac:dyDescent="0.25">
      <c r="AU518" s="188"/>
      <c r="AV518" s="188"/>
    </row>
    <row r="519" spans="47:48" x14ac:dyDescent="0.25">
      <c r="AU519" s="188"/>
      <c r="AV519" s="188"/>
    </row>
    <row r="520" spans="47:48" x14ac:dyDescent="0.25">
      <c r="AU520" s="188"/>
      <c r="AV520" s="188"/>
    </row>
    <row r="521" spans="47:48" x14ac:dyDescent="0.25">
      <c r="AU521" s="188"/>
      <c r="AV521" s="188"/>
    </row>
    <row r="522" spans="47:48" x14ac:dyDescent="0.25">
      <c r="AU522" s="188"/>
      <c r="AV522" s="188"/>
    </row>
    <row r="523" spans="47:48" x14ac:dyDescent="0.25">
      <c r="AU523" s="188"/>
      <c r="AV523" s="188"/>
    </row>
    <row r="524" spans="47:48" x14ac:dyDescent="0.25">
      <c r="AU524" s="188"/>
      <c r="AV524" s="188"/>
    </row>
    <row r="525" spans="47:48" x14ac:dyDescent="0.25">
      <c r="AU525" s="188"/>
      <c r="AV525" s="188"/>
    </row>
    <row r="526" spans="47:48" x14ac:dyDescent="0.25">
      <c r="AU526" s="188"/>
      <c r="AV526" s="188"/>
    </row>
    <row r="527" spans="47:48" x14ac:dyDescent="0.25">
      <c r="AU527" s="188"/>
      <c r="AV527" s="188"/>
    </row>
    <row r="528" spans="47:48" x14ac:dyDescent="0.25">
      <c r="AU528" s="188"/>
      <c r="AV528" s="188"/>
    </row>
    <row r="529" spans="47:48" x14ac:dyDescent="0.25">
      <c r="AU529" s="188"/>
      <c r="AV529" s="188"/>
    </row>
    <row r="530" spans="47:48" x14ac:dyDescent="0.25">
      <c r="AU530" s="188"/>
      <c r="AV530" s="188"/>
    </row>
    <row r="531" spans="47:48" x14ac:dyDescent="0.25">
      <c r="AU531" s="188"/>
      <c r="AV531" s="188"/>
    </row>
    <row r="532" spans="47:48" x14ac:dyDescent="0.25">
      <c r="AU532" s="188"/>
      <c r="AV532" s="188"/>
    </row>
    <row r="533" spans="47:48" x14ac:dyDescent="0.25">
      <c r="AU533" s="188"/>
      <c r="AV533" s="188"/>
    </row>
    <row r="534" spans="47:48" x14ac:dyDescent="0.25">
      <c r="AU534" s="188"/>
      <c r="AV534" s="188"/>
    </row>
    <row r="535" spans="47:48" x14ac:dyDescent="0.25">
      <c r="AU535" s="188"/>
      <c r="AV535" s="188"/>
    </row>
    <row r="536" spans="47:48" x14ac:dyDescent="0.25">
      <c r="AU536" s="188"/>
      <c r="AV536" s="188"/>
    </row>
    <row r="537" spans="47:48" x14ac:dyDescent="0.25">
      <c r="AU537" s="188"/>
      <c r="AV537" s="188"/>
    </row>
    <row r="538" spans="47:48" x14ac:dyDescent="0.25">
      <c r="AU538" s="188"/>
      <c r="AV538" s="188"/>
    </row>
    <row r="539" spans="47:48" x14ac:dyDescent="0.25">
      <c r="AU539" s="188"/>
      <c r="AV539" s="188"/>
    </row>
    <row r="540" spans="47:48" x14ac:dyDescent="0.25">
      <c r="AU540" s="188"/>
      <c r="AV540" s="188"/>
    </row>
    <row r="541" spans="47:48" x14ac:dyDescent="0.25">
      <c r="AU541" s="188"/>
      <c r="AV541" s="188"/>
    </row>
    <row r="542" spans="47:48" x14ac:dyDescent="0.25">
      <c r="AU542" s="188"/>
      <c r="AV542" s="188"/>
    </row>
    <row r="543" spans="47:48" x14ac:dyDescent="0.25">
      <c r="AU543" s="188"/>
      <c r="AV543" s="188"/>
    </row>
    <row r="544" spans="47:48" x14ac:dyDescent="0.25">
      <c r="AU544" s="188"/>
      <c r="AV544" s="188"/>
    </row>
    <row r="545" spans="47:48" x14ac:dyDescent="0.25">
      <c r="AU545" s="188"/>
      <c r="AV545" s="188"/>
    </row>
    <row r="546" spans="47:48" x14ac:dyDescent="0.25">
      <c r="AU546" s="188"/>
      <c r="AV546" s="188"/>
    </row>
    <row r="547" spans="47:48" x14ac:dyDescent="0.25">
      <c r="AU547" s="188"/>
      <c r="AV547" s="188"/>
    </row>
    <row r="548" spans="47:48" x14ac:dyDescent="0.25">
      <c r="AU548" s="188"/>
      <c r="AV548" s="188"/>
    </row>
    <row r="549" spans="47:48" x14ac:dyDescent="0.25">
      <c r="AU549" s="188"/>
      <c r="AV549" s="188"/>
    </row>
    <row r="550" spans="47:48" x14ac:dyDescent="0.25">
      <c r="AU550" s="188"/>
      <c r="AV550" s="188"/>
    </row>
    <row r="551" spans="47:48" x14ac:dyDescent="0.25">
      <c r="AU551" s="188"/>
      <c r="AV551" s="188"/>
    </row>
    <row r="552" spans="47:48" x14ac:dyDescent="0.25">
      <c r="AU552" s="188"/>
      <c r="AV552" s="188"/>
    </row>
    <row r="553" spans="47:48" x14ac:dyDescent="0.25">
      <c r="AU553" s="188"/>
      <c r="AV553" s="188"/>
    </row>
    <row r="554" spans="47:48" x14ac:dyDescent="0.25">
      <c r="AU554" s="188"/>
      <c r="AV554" s="188"/>
    </row>
    <row r="555" spans="47:48" x14ac:dyDescent="0.25">
      <c r="AU555" s="188"/>
      <c r="AV555" s="188"/>
    </row>
    <row r="556" spans="47:48" x14ac:dyDescent="0.25">
      <c r="AU556" s="188"/>
      <c r="AV556" s="188"/>
    </row>
    <row r="557" spans="47:48" x14ac:dyDescent="0.25">
      <c r="AU557" s="188"/>
      <c r="AV557" s="188"/>
    </row>
    <row r="558" spans="47:48" x14ac:dyDescent="0.25">
      <c r="AU558" s="188"/>
      <c r="AV558" s="188"/>
    </row>
    <row r="559" spans="47:48" x14ac:dyDescent="0.25">
      <c r="AU559" s="188"/>
      <c r="AV559" s="188"/>
    </row>
    <row r="560" spans="47:48" x14ac:dyDescent="0.25">
      <c r="AU560" s="188"/>
      <c r="AV560" s="188"/>
    </row>
    <row r="561" spans="47:48" x14ac:dyDescent="0.25">
      <c r="AU561" s="188"/>
      <c r="AV561" s="188"/>
    </row>
    <row r="562" spans="47:48" x14ac:dyDescent="0.25">
      <c r="AU562" s="188"/>
      <c r="AV562" s="188"/>
    </row>
    <row r="563" spans="47:48" x14ac:dyDescent="0.25">
      <c r="AU563" s="188"/>
      <c r="AV563" s="188"/>
    </row>
    <row r="564" spans="47:48" x14ac:dyDescent="0.25">
      <c r="AU564" s="188"/>
      <c r="AV564" s="188"/>
    </row>
    <row r="565" spans="47:48" x14ac:dyDescent="0.25">
      <c r="AU565" s="188"/>
      <c r="AV565" s="188"/>
    </row>
    <row r="566" spans="47:48" x14ac:dyDescent="0.25">
      <c r="AU566" s="188"/>
      <c r="AV566" s="188"/>
    </row>
    <row r="567" spans="47:48" x14ac:dyDescent="0.25">
      <c r="AU567" s="188"/>
      <c r="AV567" s="188"/>
    </row>
    <row r="568" spans="47:48" x14ac:dyDescent="0.25">
      <c r="AU568" s="188"/>
      <c r="AV568" s="188"/>
    </row>
    <row r="569" spans="47:48" x14ac:dyDescent="0.25">
      <c r="AU569" s="188"/>
      <c r="AV569" s="188"/>
    </row>
    <row r="570" spans="47:48" x14ac:dyDescent="0.25">
      <c r="AU570" s="188"/>
      <c r="AV570" s="188"/>
    </row>
    <row r="571" spans="47:48" x14ac:dyDescent="0.25">
      <c r="AU571" s="188"/>
      <c r="AV571" s="188"/>
    </row>
    <row r="572" spans="47:48" x14ac:dyDescent="0.25">
      <c r="AU572" s="188"/>
      <c r="AV572" s="188"/>
    </row>
    <row r="573" spans="47:48" x14ac:dyDescent="0.25">
      <c r="AU573" s="188"/>
      <c r="AV573" s="188"/>
    </row>
    <row r="574" spans="47:48" x14ac:dyDescent="0.25">
      <c r="AU574" s="188"/>
      <c r="AV574" s="188"/>
    </row>
    <row r="575" spans="47:48" x14ac:dyDescent="0.25">
      <c r="AU575" s="188"/>
      <c r="AV575" s="188"/>
    </row>
    <row r="576" spans="47:48" x14ac:dyDescent="0.25">
      <c r="AU576" s="188"/>
      <c r="AV576" s="188"/>
    </row>
    <row r="577" spans="47:48" x14ac:dyDescent="0.25">
      <c r="AU577" s="188"/>
      <c r="AV577" s="188"/>
    </row>
    <row r="578" spans="47:48" x14ac:dyDescent="0.25">
      <c r="AU578" s="188"/>
      <c r="AV578" s="188"/>
    </row>
    <row r="579" spans="47:48" x14ac:dyDescent="0.25">
      <c r="AU579" s="188"/>
      <c r="AV579" s="188"/>
    </row>
    <row r="580" spans="47:48" x14ac:dyDescent="0.25">
      <c r="AU580" s="188"/>
      <c r="AV580" s="188"/>
    </row>
    <row r="581" spans="47:48" x14ac:dyDescent="0.25">
      <c r="AU581" s="188"/>
      <c r="AV581" s="188"/>
    </row>
    <row r="582" spans="47:48" x14ac:dyDescent="0.25">
      <c r="AU582" s="188"/>
      <c r="AV582" s="188"/>
    </row>
    <row r="583" spans="47:48" x14ac:dyDescent="0.25">
      <c r="AU583" s="188"/>
      <c r="AV583" s="188"/>
    </row>
    <row r="584" spans="47:48" x14ac:dyDescent="0.25">
      <c r="AU584" s="188"/>
      <c r="AV584" s="188"/>
    </row>
    <row r="585" spans="47:48" x14ac:dyDescent="0.25">
      <c r="AU585" s="188"/>
      <c r="AV585" s="188"/>
    </row>
    <row r="586" spans="47:48" x14ac:dyDescent="0.25">
      <c r="AU586" s="188"/>
      <c r="AV586" s="188"/>
    </row>
    <row r="587" spans="47:48" x14ac:dyDescent="0.25">
      <c r="AU587" s="188"/>
      <c r="AV587" s="188"/>
    </row>
    <row r="588" spans="47:48" x14ac:dyDescent="0.25">
      <c r="AU588" s="188"/>
      <c r="AV588" s="188"/>
    </row>
    <row r="589" spans="47:48" x14ac:dyDescent="0.25">
      <c r="AU589" s="188"/>
      <c r="AV589" s="188"/>
    </row>
    <row r="590" spans="47:48" x14ac:dyDescent="0.25">
      <c r="AU590" s="188"/>
      <c r="AV590" s="188"/>
    </row>
    <row r="591" spans="47:48" x14ac:dyDescent="0.25">
      <c r="AU591" s="188"/>
      <c r="AV591" s="188"/>
    </row>
    <row r="592" spans="47:48" x14ac:dyDescent="0.25">
      <c r="AU592" s="188"/>
      <c r="AV592" s="188"/>
    </row>
    <row r="593" spans="47:48" x14ac:dyDescent="0.25">
      <c r="AU593" s="188"/>
      <c r="AV593" s="188"/>
    </row>
    <row r="594" spans="47:48" x14ac:dyDescent="0.25">
      <c r="AU594" s="188"/>
      <c r="AV594" s="188"/>
    </row>
    <row r="595" spans="47:48" x14ac:dyDescent="0.25">
      <c r="AU595" s="188"/>
      <c r="AV595" s="188"/>
    </row>
    <row r="596" spans="47:48" x14ac:dyDescent="0.25">
      <c r="AU596" s="188"/>
      <c r="AV596" s="188"/>
    </row>
    <row r="597" spans="47:48" x14ac:dyDescent="0.25">
      <c r="AU597" s="188"/>
      <c r="AV597" s="188"/>
    </row>
    <row r="598" spans="47:48" x14ac:dyDescent="0.25">
      <c r="AU598" s="188"/>
      <c r="AV598" s="188"/>
    </row>
    <row r="599" spans="47:48" x14ac:dyDescent="0.25">
      <c r="AU599" s="188"/>
      <c r="AV599" s="188"/>
    </row>
    <row r="600" spans="47:48" x14ac:dyDescent="0.25">
      <c r="AU600" s="188"/>
      <c r="AV600" s="188"/>
    </row>
    <row r="601" spans="47:48" x14ac:dyDescent="0.25">
      <c r="AU601" s="188"/>
      <c r="AV601" s="188"/>
    </row>
    <row r="602" spans="47:48" x14ac:dyDescent="0.25">
      <c r="AU602" s="188"/>
      <c r="AV602" s="188"/>
    </row>
    <row r="603" spans="47:48" x14ac:dyDescent="0.25">
      <c r="AU603" s="188"/>
      <c r="AV603" s="188"/>
    </row>
    <row r="604" spans="47:48" x14ac:dyDescent="0.25">
      <c r="AU604" s="188"/>
      <c r="AV604" s="188"/>
    </row>
    <row r="605" spans="47:48" x14ac:dyDescent="0.25">
      <c r="AU605" s="188"/>
      <c r="AV605" s="188"/>
    </row>
    <row r="606" spans="47:48" x14ac:dyDescent="0.25">
      <c r="AU606" s="188"/>
      <c r="AV606" s="188"/>
    </row>
    <row r="607" spans="47:48" x14ac:dyDescent="0.25">
      <c r="AU607" s="188"/>
      <c r="AV607" s="188"/>
    </row>
    <row r="608" spans="47:48" x14ac:dyDescent="0.25">
      <c r="AU608" s="188"/>
      <c r="AV608" s="188"/>
    </row>
    <row r="609" spans="47:48" x14ac:dyDescent="0.25">
      <c r="AU609" s="188"/>
      <c r="AV609" s="188"/>
    </row>
    <row r="610" spans="47:48" x14ac:dyDescent="0.25">
      <c r="AU610" s="188"/>
      <c r="AV610" s="188"/>
    </row>
    <row r="611" spans="47:48" x14ac:dyDescent="0.25">
      <c r="AU611" s="188"/>
      <c r="AV611" s="188"/>
    </row>
    <row r="612" spans="47:48" x14ac:dyDescent="0.25">
      <c r="AU612" s="188"/>
      <c r="AV612" s="188"/>
    </row>
    <row r="613" spans="47:48" x14ac:dyDescent="0.25">
      <c r="AU613" s="188"/>
      <c r="AV613" s="188"/>
    </row>
    <row r="614" spans="47:48" x14ac:dyDescent="0.25">
      <c r="AU614" s="188"/>
      <c r="AV614" s="188"/>
    </row>
    <row r="615" spans="47:48" x14ac:dyDescent="0.25">
      <c r="AU615" s="188"/>
      <c r="AV615" s="188"/>
    </row>
    <row r="616" spans="47:48" x14ac:dyDescent="0.25">
      <c r="AU616" s="188"/>
      <c r="AV616" s="188"/>
    </row>
    <row r="617" spans="47:48" x14ac:dyDescent="0.25">
      <c r="AU617" s="188"/>
      <c r="AV617" s="188"/>
    </row>
    <row r="618" spans="47:48" x14ac:dyDescent="0.25">
      <c r="AU618" s="188"/>
      <c r="AV618" s="188"/>
    </row>
    <row r="619" spans="47:48" x14ac:dyDescent="0.25">
      <c r="AU619" s="188"/>
      <c r="AV619" s="188"/>
    </row>
    <row r="620" spans="47:48" x14ac:dyDescent="0.25">
      <c r="AU620" s="188"/>
      <c r="AV620" s="188"/>
    </row>
    <row r="621" spans="47:48" x14ac:dyDescent="0.25">
      <c r="AU621" s="188"/>
      <c r="AV621" s="188"/>
    </row>
    <row r="622" spans="47:48" x14ac:dyDescent="0.25">
      <c r="AU622" s="188"/>
      <c r="AV622" s="188"/>
    </row>
    <row r="623" spans="47:48" x14ac:dyDescent="0.25">
      <c r="AU623" s="188"/>
      <c r="AV623" s="188"/>
    </row>
    <row r="624" spans="47:48" x14ac:dyDescent="0.25">
      <c r="AU624" s="188"/>
      <c r="AV624" s="188"/>
    </row>
    <row r="625" spans="47:48" x14ac:dyDescent="0.25">
      <c r="AU625" s="188"/>
      <c r="AV625" s="188"/>
    </row>
    <row r="626" spans="47:48" x14ac:dyDescent="0.25">
      <c r="AU626" s="188"/>
      <c r="AV626" s="188"/>
    </row>
    <row r="627" spans="47:48" x14ac:dyDescent="0.25">
      <c r="AU627" s="188"/>
      <c r="AV627" s="188"/>
    </row>
    <row r="628" spans="47:48" x14ac:dyDescent="0.25">
      <c r="AU628" s="188"/>
      <c r="AV628" s="188"/>
    </row>
    <row r="629" spans="47:48" x14ac:dyDescent="0.25">
      <c r="AU629" s="188"/>
      <c r="AV629" s="188"/>
    </row>
    <row r="630" spans="47:48" x14ac:dyDescent="0.25">
      <c r="AU630" s="188"/>
      <c r="AV630" s="188"/>
    </row>
    <row r="631" spans="47:48" x14ac:dyDescent="0.25">
      <c r="AU631" s="188"/>
      <c r="AV631" s="188"/>
    </row>
    <row r="632" spans="47:48" x14ac:dyDescent="0.25">
      <c r="AU632" s="188"/>
      <c r="AV632" s="188"/>
    </row>
    <row r="633" spans="47:48" x14ac:dyDescent="0.25">
      <c r="AU633" s="188"/>
      <c r="AV633" s="188"/>
    </row>
    <row r="634" spans="47:48" x14ac:dyDescent="0.25">
      <c r="AU634" s="188"/>
      <c r="AV634" s="188"/>
    </row>
    <row r="635" spans="47:48" x14ac:dyDescent="0.25">
      <c r="AU635" s="188"/>
      <c r="AV635" s="188"/>
    </row>
    <row r="636" spans="47:48" x14ac:dyDescent="0.25">
      <c r="AU636" s="188"/>
      <c r="AV636" s="188"/>
    </row>
    <row r="637" spans="47:48" x14ac:dyDescent="0.25">
      <c r="AU637" s="188"/>
      <c r="AV637" s="188"/>
    </row>
    <row r="638" spans="47:48" x14ac:dyDescent="0.25">
      <c r="AU638" s="188"/>
      <c r="AV638" s="188"/>
    </row>
    <row r="639" spans="47:48" x14ac:dyDescent="0.25">
      <c r="AU639" s="188"/>
      <c r="AV639" s="188"/>
    </row>
    <row r="640" spans="47:48" x14ac:dyDescent="0.25">
      <c r="AU640" s="188"/>
      <c r="AV640" s="188"/>
    </row>
    <row r="641" spans="47:48" x14ac:dyDescent="0.25">
      <c r="AU641" s="188"/>
      <c r="AV641" s="188"/>
    </row>
    <row r="642" spans="47:48" x14ac:dyDescent="0.25">
      <c r="AU642" s="188"/>
      <c r="AV642" s="188"/>
    </row>
    <row r="643" spans="47:48" x14ac:dyDescent="0.25">
      <c r="AU643" s="188"/>
      <c r="AV643" s="188"/>
    </row>
    <row r="644" spans="47:48" x14ac:dyDescent="0.25">
      <c r="AU644" s="188"/>
      <c r="AV644" s="188"/>
    </row>
    <row r="645" spans="47:48" x14ac:dyDescent="0.25">
      <c r="AU645" s="188"/>
      <c r="AV645" s="188"/>
    </row>
    <row r="646" spans="47:48" x14ac:dyDescent="0.25">
      <c r="AU646" s="188"/>
      <c r="AV646" s="188"/>
    </row>
    <row r="647" spans="47:48" x14ac:dyDescent="0.25">
      <c r="AU647" s="188"/>
      <c r="AV647" s="188"/>
    </row>
    <row r="648" spans="47:48" x14ac:dyDescent="0.25">
      <c r="AU648" s="188"/>
      <c r="AV648" s="188"/>
    </row>
    <row r="649" spans="47:48" x14ac:dyDescent="0.25">
      <c r="AU649" s="188"/>
      <c r="AV649" s="188"/>
    </row>
    <row r="650" spans="47:48" x14ac:dyDescent="0.25">
      <c r="AU650" s="188"/>
      <c r="AV650" s="188"/>
    </row>
    <row r="651" spans="47:48" x14ac:dyDescent="0.25">
      <c r="AU651" s="188"/>
      <c r="AV651" s="188"/>
    </row>
    <row r="652" spans="47:48" x14ac:dyDescent="0.25">
      <c r="AU652" s="188"/>
      <c r="AV652" s="188"/>
    </row>
    <row r="653" spans="47:48" x14ac:dyDescent="0.25">
      <c r="AU653" s="188"/>
      <c r="AV653" s="188"/>
    </row>
    <row r="654" spans="47:48" x14ac:dyDescent="0.25">
      <c r="AU654" s="188"/>
      <c r="AV654" s="188"/>
    </row>
    <row r="655" spans="47:48" x14ac:dyDescent="0.25">
      <c r="AU655" s="188"/>
      <c r="AV655" s="188"/>
    </row>
    <row r="656" spans="47:48" x14ac:dyDescent="0.25">
      <c r="AU656" s="188"/>
      <c r="AV656" s="188"/>
    </row>
    <row r="657" spans="47:48" x14ac:dyDescent="0.25">
      <c r="AU657" s="188"/>
      <c r="AV657" s="188"/>
    </row>
    <row r="658" spans="47:48" x14ac:dyDescent="0.25">
      <c r="AU658" s="188"/>
      <c r="AV658" s="188"/>
    </row>
    <row r="659" spans="47:48" x14ac:dyDescent="0.25">
      <c r="AU659" s="188"/>
      <c r="AV659" s="188"/>
    </row>
    <row r="660" spans="47:48" x14ac:dyDescent="0.25">
      <c r="AU660" s="188"/>
      <c r="AV660" s="188"/>
    </row>
    <row r="661" spans="47:48" x14ac:dyDescent="0.25">
      <c r="AU661" s="188"/>
      <c r="AV661" s="188"/>
    </row>
    <row r="662" spans="47:48" x14ac:dyDescent="0.25">
      <c r="AU662" s="188"/>
      <c r="AV662" s="188"/>
    </row>
    <row r="663" spans="47:48" x14ac:dyDescent="0.25">
      <c r="AU663" s="188"/>
      <c r="AV663" s="188"/>
    </row>
    <row r="664" spans="47:48" x14ac:dyDescent="0.25">
      <c r="AU664" s="188"/>
      <c r="AV664" s="188"/>
    </row>
    <row r="665" spans="47:48" x14ac:dyDescent="0.25">
      <c r="AU665" s="188"/>
      <c r="AV665" s="188"/>
    </row>
    <row r="666" spans="47:48" x14ac:dyDescent="0.25">
      <c r="AU666" s="188"/>
      <c r="AV666" s="188"/>
    </row>
    <row r="667" spans="47:48" x14ac:dyDescent="0.25">
      <c r="AU667" s="188"/>
      <c r="AV667" s="188"/>
    </row>
    <row r="668" spans="47:48" x14ac:dyDescent="0.25">
      <c r="AU668" s="188"/>
      <c r="AV668" s="188"/>
    </row>
    <row r="669" spans="47:48" x14ac:dyDescent="0.25">
      <c r="AU669" s="188"/>
      <c r="AV669" s="188"/>
    </row>
    <row r="670" spans="47:48" x14ac:dyDescent="0.25">
      <c r="AU670" s="188"/>
      <c r="AV670" s="188"/>
    </row>
    <row r="671" spans="47:48" x14ac:dyDescent="0.25">
      <c r="AU671" s="188"/>
      <c r="AV671" s="188"/>
    </row>
    <row r="672" spans="47:48" x14ac:dyDescent="0.25">
      <c r="AU672" s="188"/>
      <c r="AV672" s="188"/>
    </row>
    <row r="673" spans="47:48" x14ac:dyDescent="0.25">
      <c r="AU673" s="188"/>
      <c r="AV673" s="188"/>
    </row>
    <row r="674" spans="47:48" x14ac:dyDescent="0.25">
      <c r="AU674" s="188"/>
      <c r="AV674" s="188"/>
    </row>
    <row r="675" spans="47:48" x14ac:dyDescent="0.25">
      <c r="AU675" s="188"/>
      <c r="AV675" s="188"/>
    </row>
    <row r="676" spans="47:48" x14ac:dyDescent="0.25">
      <c r="AU676" s="188"/>
      <c r="AV676" s="188"/>
    </row>
    <row r="677" spans="47:48" x14ac:dyDescent="0.25">
      <c r="AU677" s="188"/>
      <c r="AV677" s="188"/>
    </row>
    <row r="678" spans="47:48" x14ac:dyDescent="0.25">
      <c r="AU678" s="188"/>
      <c r="AV678" s="188"/>
    </row>
    <row r="679" spans="47:48" x14ac:dyDescent="0.25">
      <c r="AU679" s="188"/>
      <c r="AV679" s="188"/>
    </row>
    <row r="680" spans="47:48" x14ac:dyDescent="0.25">
      <c r="AU680" s="188"/>
      <c r="AV680" s="188"/>
    </row>
    <row r="681" spans="47:48" x14ac:dyDescent="0.25">
      <c r="AU681" s="188"/>
      <c r="AV681" s="188"/>
    </row>
    <row r="682" spans="47:48" x14ac:dyDescent="0.25">
      <c r="AU682" s="188"/>
      <c r="AV682" s="188"/>
    </row>
    <row r="683" spans="47:48" x14ac:dyDescent="0.25">
      <c r="AU683" s="188"/>
      <c r="AV683" s="188"/>
    </row>
    <row r="684" spans="47:48" x14ac:dyDescent="0.25">
      <c r="AU684" s="188"/>
      <c r="AV684" s="188"/>
    </row>
    <row r="685" spans="47:48" x14ac:dyDescent="0.25">
      <c r="AU685" s="188"/>
      <c r="AV685" s="188"/>
    </row>
    <row r="686" spans="47:48" x14ac:dyDescent="0.25">
      <c r="AU686" s="188"/>
      <c r="AV686" s="188"/>
    </row>
    <row r="687" spans="47:48" x14ac:dyDescent="0.25">
      <c r="AU687" s="188"/>
      <c r="AV687" s="188"/>
    </row>
    <row r="688" spans="47:48" x14ac:dyDescent="0.25">
      <c r="AU688" s="188"/>
      <c r="AV688" s="188"/>
    </row>
    <row r="689" spans="47:48" x14ac:dyDescent="0.25">
      <c r="AU689" s="188"/>
      <c r="AV689" s="188"/>
    </row>
    <row r="690" spans="47:48" x14ac:dyDescent="0.25">
      <c r="AU690" s="188"/>
      <c r="AV690" s="188"/>
    </row>
    <row r="691" spans="47:48" x14ac:dyDescent="0.25">
      <c r="AU691" s="188"/>
      <c r="AV691" s="188"/>
    </row>
    <row r="692" spans="47:48" x14ac:dyDescent="0.25">
      <c r="AU692" s="188"/>
      <c r="AV692" s="188"/>
    </row>
    <row r="693" spans="47:48" x14ac:dyDescent="0.25">
      <c r="AU693" s="188"/>
      <c r="AV693" s="188"/>
    </row>
    <row r="694" spans="47:48" x14ac:dyDescent="0.25">
      <c r="AU694" s="188"/>
      <c r="AV694" s="188"/>
    </row>
    <row r="695" spans="47:48" x14ac:dyDescent="0.25">
      <c r="AU695" s="188"/>
      <c r="AV695" s="188"/>
    </row>
    <row r="696" spans="47:48" x14ac:dyDescent="0.25">
      <c r="AU696" s="188"/>
      <c r="AV696" s="188"/>
    </row>
    <row r="697" spans="47:48" x14ac:dyDescent="0.25">
      <c r="AU697" s="188"/>
      <c r="AV697" s="188"/>
    </row>
    <row r="698" spans="47:48" x14ac:dyDescent="0.25">
      <c r="AU698" s="188"/>
      <c r="AV698" s="188"/>
    </row>
    <row r="699" spans="47:48" x14ac:dyDescent="0.25">
      <c r="AU699" s="188"/>
      <c r="AV699" s="188"/>
    </row>
    <row r="700" spans="47:48" x14ac:dyDescent="0.25">
      <c r="AU700" s="188"/>
      <c r="AV700" s="188"/>
    </row>
    <row r="701" spans="47:48" x14ac:dyDescent="0.25">
      <c r="AU701" s="188"/>
      <c r="AV701" s="188"/>
    </row>
    <row r="702" spans="47:48" x14ac:dyDescent="0.25">
      <c r="AU702" s="188"/>
      <c r="AV702" s="188"/>
    </row>
    <row r="703" spans="47:48" x14ac:dyDescent="0.25">
      <c r="AU703" s="188"/>
      <c r="AV703" s="188"/>
    </row>
    <row r="704" spans="47:48" x14ac:dyDescent="0.25">
      <c r="AU704" s="188"/>
      <c r="AV704" s="188"/>
    </row>
    <row r="705" spans="47:48" x14ac:dyDescent="0.25">
      <c r="AU705" s="188"/>
      <c r="AV705" s="188"/>
    </row>
    <row r="706" spans="47:48" x14ac:dyDescent="0.25">
      <c r="AU706" s="188"/>
      <c r="AV706" s="188"/>
    </row>
    <row r="707" spans="47:48" x14ac:dyDescent="0.25">
      <c r="AU707" s="188"/>
      <c r="AV707" s="188"/>
    </row>
    <row r="708" spans="47:48" x14ac:dyDescent="0.25">
      <c r="AU708" s="188"/>
      <c r="AV708" s="188"/>
    </row>
    <row r="709" spans="47:48" x14ac:dyDescent="0.25">
      <c r="AU709" s="188"/>
      <c r="AV709" s="188"/>
    </row>
    <row r="710" spans="47:48" x14ac:dyDescent="0.25">
      <c r="AU710" s="188"/>
      <c r="AV710" s="188"/>
    </row>
    <row r="711" spans="47:48" x14ac:dyDescent="0.25">
      <c r="AU711" s="188"/>
      <c r="AV711" s="188"/>
    </row>
    <row r="712" spans="47:48" x14ac:dyDescent="0.25">
      <c r="AU712" s="188"/>
      <c r="AV712" s="188"/>
    </row>
    <row r="713" spans="47:48" x14ac:dyDescent="0.25">
      <c r="AU713" s="188"/>
      <c r="AV713" s="188"/>
    </row>
    <row r="714" spans="47:48" x14ac:dyDescent="0.25">
      <c r="AU714" s="188"/>
      <c r="AV714" s="188"/>
    </row>
    <row r="715" spans="47:48" x14ac:dyDescent="0.25">
      <c r="AU715" s="188"/>
      <c r="AV715" s="188"/>
    </row>
    <row r="716" spans="47:48" x14ac:dyDescent="0.25">
      <c r="AU716" s="188"/>
      <c r="AV716" s="188"/>
    </row>
    <row r="717" spans="47:48" x14ac:dyDescent="0.25">
      <c r="AU717" s="188"/>
      <c r="AV717" s="188"/>
    </row>
    <row r="718" spans="47:48" x14ac:dyDescent="0.25">
      <c r="AU718" s="188"/>
      <c r="AV718" s="188"/>
    </row>
    <row r="719" spans="47:48" x14ac:dyDescent="0.25">
      <c r="AU719" s="188"/>
      <c r="AV719" s="188"/>
    </row>
    <row r="720" spans="47:48" x14ac:dyDescent="0.25">
      <c r="AU720" s="188"/>
      <c r="AV720" s="188"/>
    </row>
    <row r="721" spans="47:48" x14ac:dyDescent="0.25">
      <c r="AU721" s="188"/>
      <c r="AV721" s="188"/>
    </row>
    <row r="722" spans="47:48" x14ac:dyDescent="0.25">
      <c r="AU722" s="188"/>
      <c r="AV722" s="188"/>
    </row>
    <row r="723" spans="47:48" x14ac:dyDescent="0.25">
      <c r="AU723" s="188"/>
      <c r="AV723" s="188"/>
    </row>
    <row r="724" spans="47:48" x14ac:dyDescent="0.25">
      <c r="AU724" s="188"/>
      <c r="AV724" s="188"/>
    </row>
    <row r="725" spans="47:48" x14ac:dyDescent="0.25">
      <c r="AU725" s="188"/>
      <c r="AV725" s="188"/>
    </row>
    <row r="726" spans="47:48" x14ac:dyDescent="0.25">
      <c r="AU726" s="188"/>
      <c r="AV726" s="188"/>
    </row>
    <row r="727" spans="47:48" x14ac:dyDescent="0.25">
      <c r="AU727" s="188"/>
      <c r="AV727" s="188"/>
    </row>
    <row r="728" spans="47:48" x14ac:dyDescent="0.25">
      <c r="AU728" s="188"/>
      <c r="AV728" s="188"/>
    </row>
    <row r="729" spans="47:48" x14ac:dyDescent="0.25">
      <c r="AU729" s="188"/>
      <c r="AV729" s="188"/>
    </row>
    <row r="730" spans="47:48" x14ac:dyDescent="0.25">
      <c r="AU730" s="188"/>
      <c r="AV730" s="188"/>
    </row>
    <row r="731" spans="47:48" x14ac:dyDescent="0.25">
      <c r="AU731" s="188"/>
      <c r="AV731" s="188"/>
    </row>
    <row r="732" spans="47:48" x14ac:dyDescent="0.25">
      <c r="AU732" s="188"/>
      <c r="AV732" s="188"/>
    </row>
    <row r="733" spans="47:48" x14ac:dyDescent="0.25">
      <c r="AU733" s="188"/>
      <c r="AV733" s="188"/>
    </row>
    <row r="734" spans="47:48" x14ac:dyDescent="0.25">
      <c r="AU734" s="188"/>
      <c r="AV734" s="188"/>
    </row>
    <row r="735" spans="47:48" x14ac:dyDescent="0.25">
      <c r="AU735" s="188"/>
      <c r="AV735" s="188"/>
    </row>
    <row r="736" spans="47:48" x14ac:dyDescent="0.25">
      <c r="AU736" s="188"/>
      <c r="AV736" s="188"/>
    </row>
    <row r="737" spans="47:48" x14ac:dyDescent="0.25">
      <c r="AU737" s="188"/>
      <c r="AV737" s="188"/>
    </row>
    <row r="738" spans="47:48" x14ac:dyDescent="0.25">
      <c r="AU738" s="188"/>
      <c r="AV738" s="188"/>
    </row>
    <row r="739" spans="47:48" x14ac:dyDescent="0.25">
      <c r="AU739" s="188"/>
      <c r="AV739" s="188"/>
    </row>
    <row r="740" spans="47:48" x14ac:dyDescent="0.25">
      <c r="AU740" s="188"/>
      <c r="AV740" s="188"/>
    </row>
    <row r="741" spans="47:48" x14ac:dyDescent="0.25">
      <c r="AU741" s="188"/>
      <c r="AV741" s="188"/>
    </row>
    <row r="742" spans="47:48" x14ac:dyDescent="0.25">
      <c r="AU742" s="188"/>
      <c r="AV742" s="188"/>
    </row>
    <row r="743" spans="47:48" x14ac:dyDescent="0.25">
      <c r="AU743" s="188"/>
      <c r="AV743" s="188"/>
    </row>
    <row r="744" spans="47:48" x14ac:dyDescent="0.25">
      <c r="AU744" s="188"/>
      <c r="AV744" s="188"/>
    </row>
    <row r="745" spans="47:48" x14ac:dyDescent="0.25">
      <c r="AU745" s="188"/>
      <c r="AV745" s="188"/>
    </row>
    <row r="746" spans="47:48" x14ac:dyDescent="0.25">
      <c r="AU746" s="188"/>
      <c r="AV746" s="188"/>
    </row>
    <row r="747" spans="47:48" x14ac:dyDescent="0.25">
      <c r="AU747" s="188"/>
      <c r="AV747" s="188"/>
    </row>
    <row r="748" spans="47:48" x14ac:dyDescent="0.25">
      <c r="AU748" s="188"/>
      <c r="AV748" s="188"/>
    </row>
    <row r="749" spans="47:48" x14ac:dyDescent="0.25">
      <c r="AU749" s="188"/>
      <c r="AV749" s="188"/>
    </row>
    <row r="750" spans="47:48" x14ac:dyDescent="0.25">
      <c r="AU750" s="188"/>
      <c r="AV750" s="188"/>
    </row>
    <row r="751" spans="47:48" x14ac:dyDescent="0.25">
      <c r="AU751" s="188"/>
      <c r="AV751" s="188"/>
    </row>
    <row r="752" spans="47:48" x14ac:dyDescent="0.25">
      <c r="AU752" s="188"/>
      <c r="AV752" s="188"/>
    </row>
    <row r="753" spans="47:48" x14ac:dyDescent="0.25">
      <c r="AU753" s="188"/>
      <c r="AV753" s="188"/>
    </row>
    <row r="754" spans="47:48" x14ac:dyDescent="0.25">
      <c r="AU754" s="188"/>
      <c r="AV754" s="188"/>
    </row>
    <row r="755" spans="47:48" x14ac:dyDescent="0.25">
      <c r="AU755" s="188"/>
      <c r="AV755" s="188"/>
    </row>
    <row r="756" spans="47:48" x14ac:dyDescent="0.25">
      <c r="AU756" s="188"/>
      <c r="AV756" s="188"/>
    </row>
    <row r="757" spans="47:48" x14ac:dyDescent="0.25">
      <c r="AU757" s="188"/>
      <c r="AV757" s="188"/>
    </row>
    <row r="758" spans="47:48" x14ac:dyDescent="0.25">
      <c r="AU758" s="188"/>
      <c r="AV758" s="188"/>
    </row>
    <row r="759" spans="47:48" x14ac:dyDescent="0.25">
      <c r="AU759" s="188"/>
      <c r="AV759" s="188"/>
    </row>
    <row r="760" spans="47:48" x14ac:dyDescent="0.25">
      <c r="AU760" s="188"/>
      <c r="AV760" s="188"/>
    </row>
    <row r="761" spans="47:48" x14ac:dyDescent="0.25">
      <c r="AU761" s="188"/>
      <c r="AV761" s="188"/>
    </row>
    <row r="762" spans="47:48" x14ac:dyDescent="0.25">
      <c r="AU762" s="188"/>
      <c r="AV762" s="188"/>
    </row>
    <row r="763" spans="47:48" x14ac:dyDescent="0.25">
      <c r="AU763" s="188"/>
      <c r="AV763" s="188"/>
    </row>
    <row r="764" spans="47:48" x14ac:dyDescent="0.25">
      <c r="AU764" s="188"/>
      <c r="AV764" s="188"/>
    </row>
    <row r="765" spans="47:48" x14ac:dyDescent="0.25">
      <c r="AU765" s="188"/>
      <c r="AV765" s="188"/>
    </row>
    <row r="766" spans="47:48" x14ac:dyDescent="0.25">
      <c r="AU766" s="188"/>
      <c r="AV766" s="188"/>
    </row>
    <row r="767" spans="47:48" x14ac:dyDescent="0.25">
      <c r="AU767" s="188"/>
      <c r="AV767" s="188"/>
    </row>
    <row r="768" spans="47:48" x14ac:dyDescent="0.25">
      <c r="AU768" s="188"/>
      <c r="AV768" s="188"/>
    </row>
    <row r="769" spans="47:48" x14ac:dyDescent="0.25">
      <c r="AU769" s="188"/>
      <c r="AV769" s="188"/>
    </row>
    <row r="770" spans="47:48" x14ac:dyDescent="0.25">
      <c r="AU770" s="188"/>
      <c r="AV770" s="188"/>
    </row>
    <row r="771" spans="47:48" x14ac:dyDescent="0.25">
      <c r="AU771" s="188"/>
      <c r="AV771" s="188"/>
    </row>
    <row r="772" spans="47:48" x14ac:dyDescent="0.25">
      <c r="AU772" s="188"/>
      <c r="AV772" s="188"/>
    </row>
    <row r="773" spans="47:48" x14ac:dyDescent="0.25">
      <c r="AU773" s="188"/>
      <c r="AV773" s="188"/>
    </row>
    <row r="774" spans="47:48" x14ac:dyDescent="0.25">
      <c r="AU774" s="188"/>
      <c r="AV774" s="188"/>
    </row>
    <row r="775" spans="47:48" x14ac:dyDescent="0.25">
      <c r="AU775" s="188"/>
      <c r="AV775" s="188"/>
    </row>
    <row r="776" spans="47:48" x14ac:dyDescent="0.25">
      <c r="AU776" s="188"/>
      <c r="AV776" s="188"/>
    </row>
    <row r="777" spans="47:48" x14ac:dyDescent="0.25">
      <c r="AU777" s="188"/>
      <c r="AV777" s="188"/>
    </row>
    <row r="778" spans="47:48" x14ac:dyDescent="0.25">
      <c r="AU778" s="188"/>
      <c r="AV778" s="188"/>
    </row>
    <row r="779" spans="47:48" x14ac:dyDescent="0.25">
      <c r="AU779" s="188"/>
      <c r="AV779" s="188"/>
    </row>
    <row r="780" spans="47:48" x14ac:dyDescent="0.25">
      <c r="AU780" s="188"/>
      <c r="AV780" s="188"/>
    </row>
    <row r="781" spans="47:48" x14ac:dyDescent="0.25">
      <c r="AU781" s="188"/>
      <c r="AV781" s="188"/>
    </row>
    <row r="782" spans="47:48" x14ac:dyDescent="0.25">
      <c r="AU782" s="188"/>
      <c r="AV782" s="188"/>
    </row>
    <row r="783" spans="47:48" x14ac:dyDescent="0.25">
      <c r="AU783" s="188"/>
      <c r="AV783" s="188"/>
    </row>
    <row r="784" spans="47:48" x14ac:dyDescent="0.25">
      <c r="AU784" s="188"/>
      <c r="AV784" s="188"/>
    </row>
    <row r="785" spans="47:48" x14ac:dyDescent="0.25">
      <c r="AU785" s="188"/>
      <c r="AV785" s="188"/>
    </row>
    <row r="786" spans="47:48" x14ac:dyDescent="0.25">
      <c r="AU786" s="188"/>
      <c r="AV786" s="188"/>
    </row>
    <row r="787" spans="47:48" x14ac:dyDescent="0.25">
      <c r="AU787" s="188"/>
      <c r="AV787" s="188"/>
    </row>
    <row r="788" spans="47:48" x14ac:dyDescent="0.25">
      <c r="AU788" s="188"/>
      <c r="AV788" s="188"/>
    </row>
    <row r="789" spans="47:48" x14ac:dyDescent="0.25">
      <c r="AU789" s="188"/>
      <c r="AV789" s="188"/>
    </row>
    <row r="790" spans="47:48" x14ac:dyDescent="0.25">
      <c r="AU790" s="188"/>
      <c r="AV790" s="188"/>
    </row>
    <row r="791" spans="47:48" x14ac:dyDescent="0.25">
      <c r="AU791" s="188"/>
      <c r="AV791" s="188"/>
    </row>
    <row r="792" spans="47:48" x14ac:dyDescent="0.25">
      <c r="AU792" s="188"/>
      <c r="AV792" s="188"/>
    </row>
    <row r="793" spans="47:48" x14ac:dyDescent="0.25">
      <c r="AU793" s="188"/>
      <c r="AV793" s="188"/>
    </row>
    <row r="794" spans="47:48" x14ac:dyDescent="0.25">
      <c r="AU794" s="188"/>
      <c r="AV794" s="188"/>
    </row>
    <row r="795" spans="47:48" x14ac:dyDescent="0.25">
      <c r="AU795" s="188"/>
      <c r="AV795" s="188"/>
    </row>
    <row r="796" spans="47:48" x14ac:dyDescent="0.25">
      <c r="AU796" s="188"/>
      <c r="AV796" s="188"/>
    </row>
    <row r="797" spans="47:48" x14ac:dyDescent="0.25">
      <c r="AU797" s="188"/>
      <c r="AV797" s="188"/>
    </row>
    <row r="798" spans="47:48" x14ac:dyDescent="0.25">
      <c r="AU798" s="188"/>
      <c r="AV798" s="188"/>
    </row>
    <row r="799" spans="47:48" x14ac:dyDescent="0.25">
      <c r="AU799" s="188"/>
      <c r="AV799" s="188"/>
    </row>
    <row r="800" spans="47:48" x14ac:dyDescent="0.25">
      <c r="AU800" s="188"/>
      <c r="AV800" s="188"/>
    </row>
    <row r="801" spans="47:48" x14ac:dyDescent="0.25">
      <c r="AU801" s="188"/>
      <c r="AV801" s="188"/>
    </row>
    <row r="802" spans="47:48" x14ac:dyDescent="0.25">
      <c r="AU802" s="188"/>
      <c r="AV802" s="188"/>
    </row>
    <row r="803" spans="47:48" x14ac:dyDescent="0.25">
      <c r="AU803" s="188"/>
      <c r="AV803" s="188"/>
    </row>
    <row r="804" spans="47:48" x14ac:dyDescent="0.25">
      <c r="AU804" s="188"/>
      <c r="AV804" s="188"/>
    </row>
    <row r="805" spans="47:48" x14ac:dyDescent="0.25">
      <c r="AU805" s="188"/>
      <c r="AV805" s="188"/>
    </row>
    <row r="806" spans="47:48" x14ac:dyDescent="0.25">
      <c r="AU806" s="188"/>
      <c r="AV806" s="188"/>
    </row>
    <row r="807" spans="47:48" x14ac:dyDescent="0.25">
      <c r="AU807" s="188"/>
      <c r="AV807" s="188"/>
    </row>
    <row r="808" spans="47:48" x14ac:dyDescent="0.25">
      <c r="AU808" s="188"/>
      <c r="AV808" s="188"/>
    </row>
    <row r="809" spans="47:48" x14ac:dyDescent="0.25">
      <c r="AU809" s="188"/>
      <c r="AV809" s="188"/>
    </row>
    <row r="810" spans="47:48" x14ac:dyDescent="0.25">
      <c r="AU810" s="188"/>
      <c r="AV810" s="188"/>
    </row>
    <row r="811" spans="47:48" x14ac:dyDescent="0.25">
      <c r="AU811" s="188"/>
      <c r="AV811" s="188"/>
    </row>
    <row r="812" spans="47:48" x14ac:dyDescent="0.25">
      <c r="AU812" s="188"/>
      <c r="AV812" s="188"/>
    </row>
    <row r="813" spans="47:48" x14ac:dyDescent="0.25">
      <c r="AU813" s="188"/>
      <c r="AV813" s="188"/>
    </row>
    <row r="814" spans="47:48" x14ac:dyDescent="0.25">
      <c r="AU814" s="188"/>
      <c r="AV814" s="188"/>
    </row>
    <row r="815" spans="47:48" x14ac:dyDescent="0.25">
      <c r="AU815" s="188"/>
      <c r="AV815" s="188"/>
    </row>
    <row r="816" spans="47:48" x14ac:dyDescent="0.25">
      <c r="AU816" s="188"/>
      <c r="AV816" s="188"/>
    </row>
    <row r="817" spans="47:48" x14ac:dyDescent="0.25">
      <c r="AU817" s="188"/>
      <c r="AV817" s="188"/>
    </row>
    <row r="818" spans="47:48" x14ac:dyDescent="0.25">
      <c r="AU818" s="188"/>
      <c r="AV818" s="188"/>
    </row>
    <row r="819" spans="47:48" x14ac:dyDescent="0.25">
      <c r="AU819" s="188"/>
      <c r="AV819" s="188"/>
    </row>
    <row r="820" spans="47:48" x14ac:dyDescent="0.25">
      <c r="AU820" s="188"/>
      <c r="AV820" s="188"/>
    </row>
    <row r="821" spans="47:48" x14ac:dyDescent="0.25">
      <c r="AU821" s="188"/>
      <c r="AV821" s="188"/>
    </row>
    <row r="822" spans="47:48" x14ac:dyDescent="0.25">
      <c r="AU822" s="188"/>
      <c r="AV822" s="188"/>
    </row>
    <row r="823" spans="47:48" x14ac:dyDescent="0.25">
      <c r="AU823" s="188"/>
      <c r="AV823" s="188"/>
    </row>
    <row r="824" spans="47:48" x14ac:dyDescent="0.25">
      <c r="AU824" s="188"/>
      <c r="AV824" s="188"/>
    </row>
    <row r="825" spans="47:48" x14ac:dyDescent="0.25">
      <c r="AU825" s="188"/>
      <c r="AV825" s="188"/>
    </row>
    <row r="826" spans="47:48" x14ac:dyDescent="0.25">
      <c r="AU826" s="188"/>
      <c r="AV826" s="188"/>
    </row>
    <row r="827" spans="47:48" x14ac:dyDescent="0.25">
      <c r="AU827" s="188"/>
      <c r="AV827" s="188"/>
    </row>
    <row r="828" spans="47:48" x14ac:dyDescent="0.25">
      <c r="AU828" s="188"/>
      <c r="AV828" s="188"/>
    </row>
    <row r="829" spans="47:48" x14ac:dyDescent="0.25">
      <c r="AU829" s="188"/>
      <c r="AV829" s="188"/>
    </row>
    <row r="830" spans="47:48" x14ac:dyDescent="0.25">
      <c r="AU830" s="188"/>
      <c r="AV830" s="188"/>
    </row>
    <row r="831" spans="47:48" x14ac:dyDescent="0.25">
      <c r="AU831" s="188"/>
      <c r="AV831" s="188"/>
    </row>
    <row r="832" spans="47:48" x14ac:dyDescent="0.25">
      <c r="AU832" s="188"/>
      <c r="AV832" s="188"/>
    </row>
    <row r="833" spans="47:48" x14ac:dyDescent="0.25">
      <c r="AU833" s="188"/>
      <c r="AV833" s="188"/>
    </row>
    <row r="834" spans="47:48" x14ac:dyDescent="0.25">
      <c r="AU834" s="188"/>
      <c r="AV834" s="188"/>
    </row>
    <row r="835" spans="47:48" x14ac:dyDescent="0.25">
      <c r="AU835" s="188"/>
      <c r="AV835" s="188"/>
    </row>
    <row r="836" spans="47:48" x14ac:dyDescent="0.25">
      <c r="AU836" s="188"/>
      <c r="AV836" s="188"/>
    </row>
    <row r="837" spans="47:48" x14ac:dyDescent="0.25">
      <c r="AU837" s="188"/>
      <c r="AV837" s="188"/>
    </row>
    <row r="838" spans="47:48" x14ac:dyDescent="0.25">
      <c r="AU838" s="188"/>
      <c r="AV838" s="188"/>
    </row>
    <row r="839" spans="47:48" x14ac:dyDescent="0.25">
      <c r="AU839" s="188"/>
      <c r="AV839" s="188"/>
    </row>
    <row r="840" spans="47:48" x14ac:dyDescent="0.25">
      <c r="AU840" s="188"/>
      <c r="AV840" s="188"/>
    </row>
    <row r="841" spans="47:48" x14ac:dyDescent="0.25">
      <c r="AU841" s="188"/>
      <c r="AV841" s="188"/>
    </row>
    <row r="842" spans="47:48" x14ac:dyDescent="0.25">
      <c r="AU842" s="188"/>
      <c r="AV842" s="188"/>
    </row>
    <row r="843" spans="47:48" x14ac:dyDescent="0.25">
      <c r="AU843" s="188"/>
      <c r="AV843" s="188"/>
    </row>
    <row r="844" spans="47:48" x14ac:dyDescent="0.25">
      <c r="AU844" s="188"/>
      <c r="AV844" s="188"/>
    </row>
    <row r="845" spans="47:48" x14ac:dyDescent="0.25">
      <c r="AU845" s="188"/>
      <c r="AV845" s="188"/>
    </row>
    <row r="846" spans="47:48" x14ac:dyDescent="0.25">
      <c r="AU846" s="188"/>
      <c r="AV846" s="188"/>
    </row>
    <row r="847" spans="47:48" x14ac:dyDescent="0.25">
      <c r="AU847" s="188"/>
      <c r="AV847" s="188"/>
    </row>
    <row r="848" spans="47:48" x14ac:dyDescent="0.25">
      <c r="AU848" s="188"/>
      <c r="AV848" s="188"/>
    </row>
    <row r="849" spans="47:48" x14ac:dyDescent="0.25">
      <c r="AU849" s="188"/>
      <c r="AV849" s="188"/>
    </row>
    <row r="850" spans="47:48" x14ac:dyDescent="0.25">
      <c r="AU850" s="188"/>
      <c r="AV850" s="188"/>
    </row>
    <row r="851" spans="47:48" x14ac:dyDescent="0.25">
      <c r="AU851" s="188"/>
      <c r="AV851" s="188"/>
    </row>
    <row r="852" spans="47:48" x14ac:dyDescent="0.25">
      <c r="AU852" s="188"/>
      <c r="AV852" s="188"/>
    </row>
    <row r="853" spans="47:48" x14ac:dyDescent="0.25">
      <c r="AU853" s="188"/>
      <c r="AV853" s="188"/>
    </row>
    <row r="854" spans="47:48" x14ac:dyDescent="0.25">
      <c r="AU854" s="188"/>
      <c r="AV854" s="188"/>
    </row>
    <row r="855" spans="47:48" x14ac:dyDescent="0.25">
      <c r="AU855" s="188"/>
      <c r="AV855" s="188"/>
    </row>
    <row r="856" spans="47:48" x14ac:dyDescent="0.25">
      <c r="AU856" s="188"/>
      <c r="AV856" s="188"/>
    </row>
    <row r="857" spans="47:48" x14ac:dyDescent="0.25">
      <c r="AU857" s="188"/>
      <c r="AV857" s="188"/>
    </row>
    <row r="858" spans="47:48" x14ac:dyDescent="0.25">
      <c r="AU858" s="188"/>
      <c r="AV858" s="188"/>
    </row>
    <row r="859" spans="47:48" x14ac:dyDescent="0.25">
      <c r="AU859" s="188"/>
      <c r="AV859" s="188"/>
    </row>
    <row r="860" spans="47:48" x14ac:dyDescent="0.25">
      <c r="AU860" s="188"/>
      <c r="AV860" s="188"/>
    </row>
    <row r="861" spans="47:48" x14ac:dyDescent="0.25">
      <c r="AU861" s="188"/>
      <c r="AV861" s="188"/>
    </row>
    <row r="862" spans="47:48" x14ac:dyDescent="0.25">
      <c r="AU862" s="188"/>
      <c r="AV862" s="188"/>
    </row>
    <row r="863" spans="47:48" x14ac:dyDescent="0.25">
      <c r="AU863" s="188"/>
      <c r="AV863" s="188"/>
    </row>
    <row r="864" spans="47:48" x14ac:dyDescent="0.25">
      <c r="AU864" s="188"/>
      <c r="AV864" s="188"/>
    </row>
    <row r="865" spans="47:48" x14ac:dyDescent="0.25">
      <c r="AU865" s="188"/>
      <c r="AV865" s="188"/>
    </row>
    <row r="866" spans="47:48" x14ac:dyDescent="0.25">
      <c r="AU866" s="188"/>
      <c r="AV866" s="188"/>
    </row>
    <row r="867" spans="47:48" x14ac:dyDescent="0.25">
      <c r="AU867" s="188"/>
      <c r="AV867" s="188"/>
    </row>
    <row r="868" spans="47:48" x14ac:dyDescent="0.25">
      <c r="AU868" s="188"/>
      <c r="AV868" s="188"/>
    </row>
    <row r="869" spans="47:48" x14ac:dyDescent="0.25">
      <c r="AU869" s="188"/>
      <c r="AV869" s="188"/>
    </row>
    <row r="870" spans="47:48" x14ac:dyDescent="0.25">
      <c r="AU870" s="188"/>
      <c r="AV870" s="188"/>
    </row>
    <row r="871" spans="47:48" x14ac:dyDescent="0.25">
      <c r="AU871" s="188"/>
      <c r="AV871" s="188"/>
    </row>
    <row r="872" spans="47:48" x14ac:dyDescent="0.25">
      <c r="AU872" s="188"/>
      <c r="AV872" s="188"/>
    </row>
    <row r="873" spans="47:48" x14ac:dyDescent="0.25">
      <c r="AU873" s="188"/>
      <c r="AV873" s="188"/>
    </row>
    <row r="874" spans="47:48" x14ac:dyDescent="0.25">
      <c r="AU874" s="188"/>
      <c r="AV874" s="188"/>
    </row>
    <row r="875" spans="47:48" x14ac:dyDescent="0.25">
      <c r="AU875" s="188"/>
      <c r="AV875" s="188"/>
    </row>
    <row r="876" spans="47:48" x14ac:dyDescent="0.25">
      <c r="AU876" s="188"/>
      <c r="AV876" s="188"/>
    </row>
    <row r="877" spans="47:48" x14ac:dyDescent="0.25">
      <c r="AU877" s="188"/>
      <c r="AV877" s="188"/>
    </row>
    <row r="878" spans="47:48" x14ac:dyDescent="0.25">
      <c r="AU878" s="188"/>
      <c r="AV878" s="188"/>
    </row>
    <row r="879" spans="47:48" x14ac:dyDescent="0.25">
      <c r="AU879" s="188"/>
      <c r="AV879" s="188"/>
    </row>
    <row r="880" spans="47:48" x14ac:dyDescent="0.25">
      <c r="AU880" s="188"/>
      <c r="AV880" s="188"/>
    </row>
    <row r="881" spans="47:48" x14ac:dyDescent="0.25">
      <c r="AU881" s="188"/>
      <c r="AV881" s="188"/>
    </row>
    <row r="882" spans="47:48" x14ac:dyDescent="0.25">
      <c r="AU882" s="188"/>
      <c r="AV882" s="188"/>
    </row>
    <row r="883" spans="47:48" x14ac:dyDescent="0.25">
      <c r="AU883" s="188"/>
      <c r="AV883" s="188"/>
    </row>
    <row r="884" spans="47:48" x14ac:dyDescent="0.25">
      <c r="AU884" s="188"/>
      <c r="AV884" s="188"/>
    </row>
    <row r="885" spans="47:48" x14ac:dyDescent="0.25">
      <c r="AU885" s="188"/>
      <c r="AV885" s="188"/>
    </row>
    <row r="886" spans="47:48" x14ac:dyDescent="0.25">
      <c r="AU886" s="188"/>
      <c r="AV886" s="188"/>
    </row>
    <row r="887" spans="47:48" x14ac:dyDescent="0.25">
      <c r="AU887" s="188"/>
      <c r="AV887" s="188"/>
    </row>
    <row r="888" spans="47:48" x14ac:dyDescent="0.25">
      <c r="AU888" s="188"/>
      <c r="AV888" s="188"/>
    </row>
    <row r="889" spans="47:48" x14ac:dyDescent="0.25">
      <c r="AU889" s="188"/>
      <c r="AV889" s="188"/>
    </row>
    <row r="890" spans="47:48" x14ac:dyDescent="0.25">
      <c r="AU890" s="188"/>
      <c r="AV890" s="188"/>
    </row>
    <row r="891" spans="47:48" x14ac:dyDescent="0.25">
      <c r="AU891" s="188"/>
      <c r="AV891" s="188"/>
    </row>
    <row r="892" spans="47:48" x14ac:dyDescent="0.25">
      <c r="AU892" s="188"/>
      <c r="AV892" s="188"/>
    </row>
    <row r="893" spans="47:48" x14ac:dyDescent="0.25">
      <c r="AU893" s="188"/>
      <c r="AV893" s="188"/>
    </row>
    <row r="894" spans="47:48" x14ac:dyDescent="0.25">
      <c r="AU894" s="188"/>
      <c r="AV894" s="188"/>
    </row>
    <row r="895" spans="47:48" x14ac:dyDescent="0.25">
      <c r="AU895" s="188"/>
      <c r="AV895" s="188"/>
    </row>
    <row r="896" spans="47:48" x14ac:dyDescent="0.25">
      <c r="AU896" s="188"/>
      <c r="AV896" s="188"/>
    </row>
    <row r="897" spans="47:48" x14ac:dyDescent="0.25">
      <c r="AU897" s="188"/>
      <c r="AV897" s="188"/>
    </row>
    <row r="898" spans="47:48" x14ac:dyDescent="0.25">
      <c r="AU898" s="188"/>
      <c r="AV898" s="188"/>
    </row>
    <row r="899" spans="47:48" x14ac:dyDescent="0.25">
      <c r="AU899" s="188"/>
      <c r="AV899" s="188"/>
    </row>
    <row r="900" spans="47:48" x14ac:dyDescent="0.25">
      <c r="AU900" s="188"/>
      <c r="AV900" s="188"/>
    </row>
    <row r="901" spans="47:48" x14ac:dyDescent="0.25">
      <c r="AU901" s="188"/>
      <c r="AV901" s="188"/>
    </row>
    <row r="902" spans="47:48" x14ac:dyDescent="0.25">
      <c r="AU902" s="188"/>
      <c r="AV902" s="188"/>
    </row>
    <row r="903" spans="47:48" x14ac:dyDescent="0.25">
      <c r="AU903" s="188"/>
      <c r="AV903" s="188"/>
    </row>
    <row r="904" spans="47:48" x14ac:dyDescent="0.25">
      <c r="AU904" s="188"/>
      <c r="AV904" s="188"/>
    </row>
    <row r="905" spans="47:48" x14ac:dyDescent="0.25">
      <c r="AU905" s="188"/>
      <c r="AV905" s="188"/>
    </row>
    <row r="906" spans="47:48" x14ac:dyDescent="0.25">
      <c r="AU906" s="188"/>
      <c r="AV906" s="188"/>
    </row>
    <row r="907" spans="47:48" x14ac:dyDescent="0.25">
      <c r="AU907" s="188"/>
      <c r="AV907" s="188"/>
    </row>
    <row r="908" spans="47:48" x14ac:dyDescent="0.25">
      <c r="AU908" s="188"/>
      <c r="AV908" s="188"/>
    </row>
    <row r="909" spans="47:48" x14ac:dyDescent="0.25">
      <c r="AU909" s="188"/>
      <c r="AV909" s="188"/>
    </row>
    <row r="910" spans="47:48" x14ac:dyDescent="0.25">
      <c r="AU910" s="188"/>
      <c r="AV910" s="188"/>
    </row>
    <row r="911" spans="47:48" x14ac:dyDescent="0.25">
      <c r="AU911" s="188"/>
      <c r="AV911" s="188"/>
    </row>
    <row r="912" spans="47:48" x14ac:dyDescent="0.25">
      <c r="AU912" s="188"/>
      <c r="AV912" s="188"/>
    </row>
    <row r="913" spans="47:48" x14ac:dyDescent="0.25">
      <c r="AU913" s="188"/>
      <c r="AV913" s="188"/>
    </row>
    <row r="914" spans="47:48" x14ac:dyDescent="0.25">
      <c r="AU914" s="188"/>
      <c r="AV914" s="188"/>
    </row>
    <row r="915" spans="47:48" x14ac:dyDescent="0.25">
      <c r="AU915" s="188"/>
      <c r="AV915" s="188"/>
    </row>
    <row r="916" spans="47:48" x14ac:dyDescent="0.25">
      <c r="AU916" s="188"/>
      <c r="AV916" s="188"/>
    </row>
    <row r="917" spans="47:48" x14ac:dyDescent="0.25">
      <c r="AU917" s="188"/>
      <c r="AV917" s="188"/>
    </row>
    <row r="918" spans="47:48" x14ac:dyDescent="0.25">
      <c r="AU918" s="188"/>
      <c r="AV918" s="188"/>
    </row>
    <row r="919" spans="47:48" x14ac:dyDescent="0.25">
      <c r="AU919" s="188"/>
      <c r="AV919" s="188"/>
    </row>
    <row r="920" spans="47:48" x14ac:dyDescent="0.25">
      <c r="AU920" s="188"/>
      <c r="AV920" s="188"/>
    </row>
    <row r="921" spans="47:48" x14ac:dyDescent="0.25">
      <c r="AU921" s="188"/>
      <c r="AV921" s="188"/>
    </row>
    <row r="922" spans="47:48" x14ac:dyDescent="0.25">
      <c r="AU922" s="188"/>
      <c r="AV922" s="188"/>
    </row>
    <row r="923" spans="47:48" x14ac:dyDescent="0.25">
      <c r="AU923" s="188"/>
      <c r="AV923" s="188"/>
    </row>
    <row r="924" spans="47:48" x14ac:dyDescent="0.25">
      <c r="AU924" s="188"/>
      <c r="AV924" s="188"/>
    </row>
    <row r="925" spans="47:48" x14ac:dyDescent="0.25">
      <c r="AU925" s="188"/>
      <c r="AV925" s="188"/>
    </row>
    <row r="926" spans="47:48" x14ac:dyDescent="0.25">
      <c r="AU926" s="188"/>
      <c r="AV926" s="188"/>
    </row>
    <row r="927" spans="47:48" x14ac:dyDescent="0.25">
      <c r="AU927" s="188"/>
      <c r="AV927" s="188"/>
    </row>
    <row r="928" spans="47:48" x14ac:dyDescent="0.25">
      <c r="AU928" s="188"/>
      <c r="AV928" s="188"/>
    </row>
    <row r="929" spans="47:48" x14ac:dyDescent="0.25">
      <c r="AU929" s="188"/>
      <c r="AV929" s="188"/>
    </row>
    <row r="930" spans="47:48" x14ac:dyDescent="0.25">
      <c r="AU930" s="188"/>
      <c r="AV930" s="188"/>
    </row>
    <row r="931" spans="47:48" x14ac:dyDescent="0.25">
      <c r="AU931" s="188"/>
      <c r="AV931" s="188"/>
    </row>
    <row r="932" spans="47:48" x14ac:dyDescent="0.25">
      <c r="AU932" s="188"/>
      <c r="AV932" s="188"/>
    </row>
    <row r="933" spans="47:48" x14ac:dyDescent="0.25">
      <c r="AU933" s="188"/>
      <c r="AV933" s="188"/>
    </row>
    <row r="934" spans="47:48" x14ac:dyDescent="0.25">
      <c r="AU934" s="188"/>
      <c r="AV934" s="188"/>
    </row>
    <row r="935" spans="47:48" x14ac:dyDescent="0.25">
      <c r="AU935" s="188"/>
      <c r="AV935" s="188"/>
    </row>
    <row r="936" spans="47:48" x14ac:dyDescent="0.25">
      <c r="AU936" s="188"/>
      <c r="AV936" s="188"/>
    </row>
    <row r="937" spans="47:48" x14ac:dyDescent="0.25">
      <c r="AU937" s="188"/>
      <c r="AV937" s="188"/>
    </row>
    <row r="938" spans="47:48" x14ac:dyDescent="0.25">
      <c r="AU938" s="188"/>
      <c r="AV938" s="188"/>
    </row>
    <row r="939" spans="47:48" x14ac:dyDescent="0.25">
      <c r="AU939" s="188"/>
      <c r="AV939" s="188"/>
    </row>
    <row r="940" spans="47:48" x14ac:dyDescent="0.25">
      <c r="AU940" s="188"/>
      <c r="AV940" s="188"/>
    </row>
    <row r="941" spans="47:48" x14ac:dyDescent="0.25">
      <c r="AU941" s="188"/>
      <c r="AV941" s="188"/>
    </row>
    <row r="942" spans="47:48" x14ac:dyDescent="0.25">
      <c r="AU942" s="188"/>
      <c r="AV942" s="188"/>
    </row>
    <row r="943" spans="47:48" x14ac:dyDescent="0.25">
      <c r="AU943" s="188"/>
      <c r="AV943" s="188"/>
    </row>
    <row r="944" spans="47:48" x14ac:dyDescent="0.25">
      <c r="AU944" s="188"/>
      <c r="AV944" s="188"/>
    </row>
    <row r="945" spans="47:48" x14ac:dyDescent="0.25">
      <c r="AU945" s="188"/>
      <c r="AV945" s="188"/>
    </row>
    <row r="946" spans="47:48" x14ac:dyDescent="0.25">
      <c r="AU946" s="188"/>
      <c r="AV946" s="188"/>
    </row>
    <row r="947" spans="47:48" x14ac:dyDescent="0.25">
      <c r="AU947" s="188"/>
      <c r="AV947" s="188"/>
    </row>
    <row r="948" spans="47:48" x14ac:dyDescent="0.25">
      <c r="AU948" s="188"/>
      <c r="AV948" s="188"/>
    </row>
    <row r="949" spans="47:48" x14ac:dyDescent="0.25">
      <c r="AU949" s="188"/>
      <c r="AV949" s="188"/>
    </row>
    <row r="950" spans="47:48" x14ac:dyDescent="0.25">
      <c r="AU950" s="188"/>
      <c r="AV950" s="188"/>
    </row>
    <row r="951" spans="47:48" x14ac:dyDescent="0.25">
      <c r="AU951" s="188"/>
      <c r="AV951" s="188"/>
    </row>
    <row r="952" spans="47:48" x14ac:dyDescent="0.25">
      <c r="AU952" s="188"/>
      <c r="AV952" s="188"/>
    </row>
    <row r="953" spans="47:48" x14ac:dyDescent="0.25">
      <c r="AU953" s="188"/>
      <c r="AV953" s="188"/>
    </row>
    <row r="954" spans="47:48" x14ac:dyDescent="0.25">
      <c r="AU954" s="188"/>
      <c r="AV954" s="188"/>
    </row>
    <row r="955" spans="47:48" x14ac:dyDescent="0.25">
      <c r="AU955" s="188"/>
      <c r="AV955" s="188"/>
    </row>
    <row r="956" spans="47:48" x14ac:dyDescent="0.25">
      <c r="AU956" s="188"/>
      <c r="AV956" s="188"/>
    </row>
    <row r="957" spans="47:48" x14ac:dyDescent="0.25">
      <c r="AU957" s="188"/>
      <c r="AV957" s="188"/>
    </row>
    <row r="958" spans="47:48" x14ac:dyDescent="0.25">
      <c r="AU958" s="188"/>
      <c r="AV958" s="188"/>
    </row>
    <row r="959" spans="47:48" x14ac:dyDescent="0.25">
      <c r="AU959" s="188"/>
      <c r="AV959" s="188"/>
    </row>
    <row r="960" spans="47:48" x14ac:dyDescent="0.25">
      <c r="AU960" s="188"/>
      <c r="AV960" s="188"/>
    </row>
    <row r="961" spans="47:48" x14ac:dyDescent="0.25">
      <c r="AU961" s="188"/>
      <c r="AV961" s="188"/>
    </row>
    <row r="962" spans="47:48" x14ac:dyDescent="0.25">
      <c r="AU962" s="188"/>
      <c r="AV962" s="188"/>
    </row>
    <row r="963" spans="47:48" x14ac:dyDescent="0.25">
      <c r="AU963" s="188"/>
      <c r="AV963" s="188"/>
    </row>
    <row r="964" spans="47:48" x14ac:dyDescent="0.25">
      <c r="AU964" s="188"/>
      <c r="AV964" s="188"/>
    </row>
    <row r="965" spans="47:48" x14ac:dyDescent="0.25">
      <c r="AU965" s="188"/>
      <c r="AV965" s="188"/>
    </row>
    <row r="966" spans="47:48" x14ac:dyDescent="0.25">
      <c r="AU966" s="188"/>
      <c r="AV966" s="188"/>
    </row>
    <row r="967" spans="47:48" x14ac:dyDescent="0.25">
      <c r="AU967" s="188"/>
      <c r="AV967" s="188"/>
    </row>
    <row r="968" spans="47:48" x14ac:dyDescent="0.25">
      <c r="AU968" s="188"/>
      <c r="AV968" s="188"/>
    </row>
    <row r="969" spans="47:48" x14ac:dyDescent="0.25">
      <c r="AU969" s="188"/>
      <c r="AV969" s="188"/>
    </row>
    <row r="970" spans="47:48" x14ac:dyDescent="0.25">
      <c r="AU970" s="188"/>
      <c r="AV970" s="188"/>
    </row>
    <row r="971" spans="47:48" x14ac:dyDescent="0.25">
      <c r="AU971" s="188"/>
      <c r="AV971" s="188"/>
    </row>
    <row r="972" spans="47:48" x14ac:dyDescent="0.25">
      <c r="AU972" s="188"/>
      <c r="AV972" s="188"/>
    </row>
    <row r="973" spans="47:48" x14ac:dyDescent="0.25">
      <c r="AU973" s="188"/>
      <c r="AV973" s="188"/>
    </row>
    <row r="974" spans="47:48" x14ac:dyDescent="0.25">
      <c r="AU974" s="188"/>
      <c r="AV974" s="188"/>
    </row>
    <row r="975" spans="47:48" x14ac:dyDescent="0.25">
      <c r="AU975" s="188"/>
      <c r="AV975" s="188"/>
    </row>
    <row r="976" spans="47:48" x14ac:dyDescent="0.25">
      <c r="AU976" s="188"/>
      <c r="AV976" s="188"/>
    </row>
    <row r="977" spans="47:48" x14ac:dyDescent="0.25">
      <c r="AU977" s="188"/>
      <c r="AV977" s="188"/>
    </row>
    <row r="978" spans="47:48" x14ac:dyDescent="0.25">
      <c r="AU978" s="188"/>
      <c r="AV978" s="188"/>
    </row>
    <row r="979" spans="47:48" x14ac:dyDescent="0.25">
      <c r="AU979" s="188"/>
      <c r="AV979" s="188"/>
    </row>
    <row r="980" spans="47:48" x14ac:dyDescent="0.25">
      <c r="AU980" s="188"/>
      <c r="AV980" s="188"/>
    </row>
    <row r="981" spans="47:48" x14ac:dyDescent="0.25">
      <c r="AU981" s="188"/>
      <c r="AV981" s="188"/>
    </row>
    <row r="982" spans="47:48" x14ac:dyDescent="0.25">
      <c r="AU982" s="188"/>
      <c r="AV982" s="188"/>
    </row>
    <row r="983" spans="47:48" x14ac:dyDescent="0.25">
      <c r="AU983" s="188"/>
      <c r="AV983" s="188"/>
    </row>
    <row r="984" spans="47:48" x14ac:dyDescent="0.25">
      <c r="AU984" s="188"/>
      <c r="AV984" s="188"/>
    </row>
    <row r="985" spans="47:48" x14ac:dyDescent="0.25">
      <c r="AU985" s="188"/>
      <c r="AV985" s="188"/>
    </row>
    <row r="986" spans="47:48" x14ac:dyDescent="0.25">
      <c r="AU986" s="188"/>
      <c r="AV986" s="188"/>
    </row>
    <row r="987" spans="47:48" x14ac:dyDescent="0.25">
      <c r="AU987" s="188"/>
      <c r="AV987" s="188"/>
    </row>
    <row r="988" spans="47:48" x14ac:dyDescent="0.25">
      <c r="AU988" s="188"/>
      <c r="AV988" s="188"/>
    </row>
    <row r="989" spans="47:48" x14ac:dyDescent="0.25">
      <c r="AU989" s="188"/>
      <c r="AV989" s="188"/>
    </row>
    <row r="990" spans="47:48" x14ac:dyDescent="0.25">
      <c r="AU990" s="188"/>
      <c r="AV990" s="188"/>
    </row>
    <row r="991" spans="47:48" x14ac:dyDescent="0.25">
      <c r="AU991" s="188"/>
      <c r="AV991" s="188"/>
    </row>
    <row r="992" spans="47:48" x14ac:dyDescent="0.25">
      <c r="AU992" s="188"/>
      <c r="AV992" s="188"/>
    </row>
    <row r="993" spans="47:48" x14ac:dyDescent="0.25">
      <c r="AU993" s="188"/>
      <c r="AV993" s="188"/>
    </row>
    <row r="994" spans="47:48" x14ac:dyDescent="0.25">
      <c r="AU994" s="188"/>
      <c r="AV994" s="188"/>
    </row>
    <row r="995" spans="47:48" x14ac:dyDescent="0.25">
      <c r="AU995" s="188"/>
      <c r="AV995" s="188"/>
    </row>
    <row r="996" spans="47:48" x14ac:dyDescent="0.25">
      <c r="AU996" s="188"/>
      <c r="AV996" s="188"/>
    </row>
    <row r="997" spans="47:48" x14ac:dyDescent="0.25">
      <c r="AU997" s="188"/>
      <c r="AV997" s="188"/>
    </row>
    <row r="998" spans="47:48" x14ac:dyDescent="0.25">
      <c r="AU998" s="188"/>
      <c r="AV998" s="188"/>
    </row>
    <row r="999" spans="47:48" x14ac:dyDescent="0.25">
      <c r="AU999" s="188"/>
      <c r="AV999" s="188"/>
    </row>
    <row r="1000" spans="47:48" x14ac:dyDescent="0.25">
      <c r="AU1000" s="188"/>
      <c r="AV1000" s="188"/>
    </row>
    <row r="1001" spans="47:48" x14ac:dyDescent="0.25">
      <c r="AU1001" s="188"/>
      <c r="AV1001" s="188"/>
    </row>
    <row r="1002" spans="47:48" x14ac:dyDescent="0.25">
      <c r="AU1002" s="188"/>
      <c r="AV1002" s="188"/>
    </row>
    <row r="1003" spans="47:48" x14ac:dyDescent="0.25">
      <c r="AU1003" s="188"/>
      <c r="AV1003" s="188"/>
    </row>
    <row r="1004" spans="47:48" x14ac:dyDescent="0.25">
      <c r="AU1004" s="188"/>
      <c r="AV1004" s="188"/>
    </row>
    <row r="1005" spans="47:48" x14ac:dyDescent="0.25">
      <c r="AU1005" s="188"/>
      <c r="AV1005" s="188"/>
    </row>
    <row r="1006" spans="47:48" x14ac:dyDescent="0.25">
      <c r="AU1006" s="188"/>
      <c r="AV1006" s="188"/>
    </row>
    <row r="1007" spans="47:48" x14ac:dyDescent="0.25">
      <c r="AU1007" s="188"/>
      <c r="AV1007" s="188"/>
    </row>
    <row r="1008" spans="47:48" x14ac:dyDescent="0.25">
      <c r="AU1008" s="188"/>
      <c r="AV1008" s="188"/>
    </row>
    <row r="1009" spans="47:48" x14ac:dyDescent="0.25">
      <c r="AU1009" s="188"/>
      <c r="AV1009" s="188"/>
    </row>
    <row r="1010" spans="47:48" x14ac:dyDescent="0.25">
      <c r="AU1010" s="188"/>
      <c r="AV1010" s="188"/>
    </row>
    <row r="1011" spans="47:48" x14ac:dyDescent="0.25">
      <c r="AU1011" s="188"/>
      <c r="AV1011" s="188"/>
    </row>
    <row r="1012" spans="47:48" x14ac:dyDescent="0.25">
      <c r="AU1012" s="188"/>
      <c r="AV1012" s="188"/>
    </row>
    <row r="1013" spans="47:48" x14ac:dyDescent="0.25">
      <c r="AU1013" s="188"/>
      <c r="AV1013" s="188"/>
    </row>
    <row r="1014" spans="47:48" x14ac:dyDescent="0.25">
      <c r="AU1014" s="188"/>
      <c r="AV1014" s="188"/>
    </row>
    <row r="1015" spans="47:48" x14ac:dyDescent="0.25">
      <c r="AU1015" s="188"/>
      <c r="AV1015" s="188"/>
    </row>
    <row r="1016" spans="47:48" x14ac:dyDescent="0.25">
      <c r="AU1016" s="188"/>
      <c r="AV1016" s="188"/>
    </row>
    <row r="1017" spans="47:48" x14ac:dyDescent="0.25">
      <c r="AU1017" s="188"/>
      <c r="AV1017" s="188"/>
    </row>
    <row r="1018" spans="47:48" x14ac:dyDescent="0.25">
      <c r="AU1018" s="188"/>
      <c r="AV1018" s="188"/>
    </row>
    <row r="1019" spans="47:48" x14ac:dyDescent="0.25">
      <c r="AU1019" s="188"/>
      <c r="AV1019" s="188"/>
    </row>
    <row r="1020" spans="47:48" x14ac:dyDescent="0.25">
      <c r="AU1020" s="188"/>
      <c r="AV1020" s="188"/>
    </row>
    <row r="1021" spans="47:48" x14ac:dyDescent="0.25">
      <c r="AU1021" s="188"/>
      <c r="AV1021" s="188"/>
    </row>
    <row r="1022" spans="47:48" x14ac:dyDescent="0.25">
      <c r="AU1022" s="188"/>
      <c r="AV1022" s="188"/>
    </row>
    <row r="1023" spans="47:48" x14ac:dyDescent="0.25">
      <c r="AU1023" s="188"/>
      <c r="AV1023" s="188"/>
    </row>
    <row r="1024" spans="47:48" x14ac:dyDescent="0.25">
      <c r="AU1024" s="188"/>
      <c r="AV1024" s="188"/>
    </row>
    <row r="1025" spans="47:48" x14ac:dyDescent="0.25">
      <c r="AU1025" s="188"/>
      <c r="AV1025" s="188"/>
    </row>
    <row r="1026" spans="47:48" x14ac:dyDescent="0.25">
      <c r="AU1026" s="188"/>
      <c r="AV1026" s="188"/>
    </row>
    <row r="1027" spans="47:48" x14ac:dyDescent="0.25">
      <c r="AU1027" s="188"/>
      <c r="AV1027" s="188"/>
    </row>
    <row r="1028" spans="47:48" x14ac:dyDescent="0.25">
      <c r="AU1028" s="188"/>
      <c r="AV1028" s="188"/>
    </row>
    <row r="1029" spans="47:48" x14ac:dyDescent="0.25">
      <c r="AU1029" s="188"/>
      <c r="AV1029" s="188"/>
    </row>
    <row r="1030" spans="47:48" x14ac:dyDescent="0.25">
      <c r="AU1030" s="188"/>
      <c r="AV1030" s="188"/>
    </row>
    <row r="1031" spans="47:48" x14ac:dyDescent="0.25">
      <c r="AU1031" s="188"/>
      <c r="AV1031" s="188"/>
    </row>
    <row r="1032" spans="47:48" x14ac:dyDescent="0.25">
      <c r="AU1032" s="188"/>
      <c r="AV1032" s="188"/>
    </row>
    <row r="1033" spans="47:48" x14ac:dyDescent="0.25">
      <c r="AU1033" s="188"/>
      <c r="AV1033" s="188"/>
    </row>
    <row r="1034" spans="47:48" x14ac:dyDescent="0.25">
      <c r="AU1034" s="188"/>
      <c r="AV1034" s="188"/>
    </row>
    <row r="1035" spans="47:48" x14ac:dyDescent="0.25">
      <c r="AU1035" s="188"/>
      <c r="AV1035" s="188"/>
    </row>
    <row r="1036" spans="47:48" x14ac:dyDescent="0.25">
      <c r="AU1036" s="188"/>
      <c r="AV1036" s="188"/>
    </row>
    <row r="1037" spans="47:48" x14ac:dyDescent="0.25">
      <c r="AU1037" s="188"/>
      <c r="AV1037" s="188"/>
    </row>
    <row r="1038" spans="47:48" x14ac:dyDescent="0.25">
      <c r="AU1038" s="188"/>
      <c r="AV1038" s="188"/>
    </row>
    <row r="1039" spans="47:48" x14ac:dyDescent="0.25">
      <c r="AU1039" s="188"/>
      <c r="AV1039" s="188"/>
    </row>
    <row r="1040" spans="47:48" x14ac:dyDescent="0.25">
      <c r="AU1040" s="188"/>
      <c r="AV1040" s="188"/>
    </row>
    <row r="1041" spans="47:48" x14ac:dyDescent="0.25">
      <c r="AU1041" s="188"/>
      <c r="AV1041" s="188"/>
    </row>
    <row r="1042" spans="47:48" x14ac:dyDescent="0.25">
      <c r="AU1042" s="188"/>
      <c r="AV1042" s="188"/>
    </row>
    <row r="1043" spans="47:48" x14ac:dyDescent="0.25">
      <c r="AU1043" s="188"/>
      <c r="AV1043" s="188"/>
    </row>
    <row r="1044" spans="47:48" x14ac:dyDescent="0.25">
      <c r="AU1044" s="188"/>
      <c r="AV1044" s="188"/>
    </row>
    <row r="1045" spans="47:48" x14ac:dyDescent="0.25">
      <c r="AU1045" s="188"/>
      <c r="AV1045" s="188"/>
    </row>
    <row r="1046" spans="47:48" x14ac:dyDescent="0.25">
      <c r="AU1046" s="188"/>
      <c r="AV1046" s="188"/>
    </row>
    <row r="1047" spans="47:48" x14ac:dyDescent="0.25">
      <c r="AU1047" s="188"/>
      <c r="AV1047" s="188"/>
    </row>
    <row r="1048" spans="47:48" x14ac:dyDescent="0.25">
      <c r="AU1048" s="188"/>
      <c r="AV1048" s="188"/>
    </row>
    <row r="1049" spans="47:48" x14ac:dyDescent="0.25">
      <c r="AU1049" s="188"/>
      <c r="AV1049" s="188"/>
    </row>
    <row r="1050" spans="47:48" x14ac:dyDescent="0.25">
      <c r="AU1050" s="188"/>
      <c r="AV1050" s="188"/>
    </row>
    <row r="1051" spans="47:48" x14ac:dyDescent="0.25">
      <c r="AU1051" s="188"/>
      <c r="AV1051" s="188"/>
    </row>
    <row r="1052" spans="47:48" x14ac:dyDescent="0.25">
      <c r="AU1052" s="188"/>
      <c r="AV1052" s="188"/>
    </row>
    <row r="1053" spans="47:48" x14ac:dyDescent="0.25">
      <c r="AU1053" s="188"/>
      <c r="AV1053" s="188"/>
    </row>
    <row r="1054" spans="47:48" x14ac:dyDescent="0.25">
      <c r="AU1054" s="188"/>
      <c r="AV1054" s="188"/>
    </row>
    <row r="1055" spans="47:48" x14ac:dyDescent="0.25">
      <c r="AU1055" s="188"/>
      <c r="AV1055" s="188"/>
    </row>
    <row r="1056" spans="47:48" x14ac:dyDescent="0.25">
      <c r="AU1056" s="188"/>
      <c r="AV1056" s="188"/>
    </row>
    <row r="1057" spans="47:48" x14ac:dyDescent="0.25">
      <c r="AU1057" s="188"/>
      <c r="AV1057" s="188"/>
    </row>
    <row r="1058" spans="47:48" x14ac:dyDescent="0.25">
      <c r="AU1058" s="188"/>
      <c r="AV1058" s="188"/>
    </row>
    <row r="1059" spans="47:48" x14ac:dyDescent="0.25">
      <c r="AU1059" s="188"/>
      <c r="AV1059" s="188"/>
    </row>
    <row r="1060" spans="47:48" x14ac:dyDescent="0.25">
      <c r="AU1060" s="188"/>
      <c r="AV1060" s="188"/>
    </row>
    <row r="1061" spans="47:48" x14ac:dyDescent="0.25">
      <c r="AU1061" s="188"/>
      <c r="AV1061" s="188"/>
    </row>
    <row r="1062" spans="47:48" x14ac:dyDescent="0.25">
      <c r="AU1062" s="188"/>
      <c r="AV1062" s="188"/>
    </row>
    <row r="1063" spans="47:48" x14ac:dyDescent="0.25">
      <c r="AU1063" s="188"/>
      <c r="AV1063" s="188"/>
    </row>
    <row r="1064" spans="47:48" x14ac:dyDescent="0.25">
      <c r="AU1064" s="188"/>
      <c r="AV1064" s="188"/>
    </row>
    <row r="1065" spans="47:48" x14ac:dyDescent="0.25">
      <c r="AU1065" s="188"/>
      <c r="AV1065" s="188"/>
    </row>
    <row r="1066" spans="47:48" x14ac:dyDescent="0.25">
      <c r="AU1066" s="188"/>
      <c r="AV1066" s="188"/>
    </row>
    <row r="1067" spans="47:48" x14ac:dyDescent="0.25">
      <c r="AU1067" s="188"/>
      <c r="AV1067" s="188"/>
    </row>
    <row r="1068" spans="47:48" x14ac:dyDescent="0.25">
      <c r="AU1068" s="188"/>
      <c r="AV1068" s="188"/>
    </row>
    <row r="1069" spans="47:48" x14ac:dyDescent="0.25">
      <c r="AU1069" s="188"/>
      <c r="AV1069" s="188"/>
    </row>
    <row r="1070" spans="47:48" x14ac:dyDescent="0.25">
      <c r="AU1070" s="188"/>
      <c r="AV1070" s="188"/>
    </row>
    <row r="1071" spans="47:48" x14ac:dyDescent="0.25">
      <c r="AU1071" s="188"/>
      <c r="AV1071" s="188"/>
    </row>
    <row r="1072" spans="47:48" x14ac:dyDescent="0.25">
      <c r="AU1072" s="188"/>
      <c r="AV1072" s="188"/>
    </row>
    <row r="1073" spans="47:48" x14ac:dyDescent="0.25">
      <c r="AU1073" s="188"/>
      <c r="AV1073" s="188"/>
    </row>
    <row r="1074" spans="47:48" x14ac:dyDescent="0.25">
      <c r="AU1074" s="188"/>
      <c r="AV1074" s="188"/>
    </row>
    <row r="1075" spans="47:48" x14ac:dyDescent="0.25">
      <c r="AU1075" s="188"/>
      <c r="AV1075" s="188"/>
    </row>
    <row r="1076" spans="47:48" x14ac:dyDescent="0.25">
      <c r="AU1076" s="188"/>
      <c r="AV1076" s="188"/>
    </row>
    <row r="1077" spans="47:48" x14ac:dyDescent="0.25">
      <c r="AU1077" s="188"/>
      <c r="AV1077" s="188"/>
    </row>
    <row r="1078" spans="47:48" x14ac:dyDescent="0.25">
      <c r="AU1078" s="188"/>
      <c r="AV1078" s="188"/>
    </row>
    <row r="1079" spans="47:48" x14ac:dyDescent="0.25">
      <c r="AU1079" s="188"/>
      <c r="AV1079" s="188"/>
    </row>
    <row r="1080" spans="47:48" x14ac:dyDescent="0.25">
      <c r="AU1080" s="188"/>
      <c r="AV1080" s="188"/>
    </row>
    <row r="1081" spans="47:48" x14ac:dyDescent="0.25">
      <c r="AU1081" s="188"/>
      <c r="AV1081" s="188"/>
    </row>
    <row r="1082" spans="47:48" x14ac:dyDescent="0.25">
      <c r="AU1082" s="188"/>
      <c r="AV1082" s="188"/>
    </row>
    <row r="1083" spans="47:48" x14ac:dyDescent="0.25">
      <c r="AU1083" s="188"/>
      <c r="AV1083" s="188"/>
    </row>
    <row r="1084" spans="47:48" x14ac:dyDescent="0.25">
      <c r="AU1084" s="188"/>
      <c r="AV1084" s="188"/>
    </row>
    <row r="1085" spans="47:48" x14ac:dyDescent="0.25">
      <c r="AU1085" s="188"/>
      <c r="AV1085" s="188"/>
    </row>
    <row r="1086" spans="47:48" x14ac:dyDescent="0.25">
      <c r="AU1086" s="188"/>
      <c r="AV1086" s="188"/>
    </row>
    <row r="1087" spans="47:48" x14ac:dyDescent="0.25">
      <c r="AU1087" s="188"/>
      <c r="AV1087" s="188"/>
    </row>
    <row r="1088" spans="47:48" x14ac:dyDescent="0.25">
      <c r="AU1088" s="188"/>
      <c r="AV1088" s="188"/>
    </row>
    <row r="1089" spans="47:48" x14ac:dyDescent="0.25">
      <c r="AU1089" s="188"/>
      <c r="AV1089" s="188"/>
    </row>
    <row r="1090" spans="47:48" x14ac:dyDescent="0.25">
      <c r="AU1090" s="188"/>
      <c r="AV1090" s="188"/>
    </row>
    <row r="1091" spans="47:48" x14ac:dyDescent="0.25">
      <c r="AU1091" s="188"/>
      <c r="AV1091" s="188"/>
    </row>
    <row r="1092" spans="47:48" x14ac:dyDescent="0.25">
      <c r="AU1092" s="188"/>
      <c r="AV1092" s="188"/>
    </row>
    <row r="1093" spans="47:48" x14ac:dyDescent="0.25">
      <c r="AU1093" s="188"/>
      <c r="AV1093" s="188"/>
    </row>
    <row r="1094" spans="47:48" x14ac:dyDescent="0.25">
      <c r="AU1094" s="188"/>
      <c r="AV1094" s="188"/>
    </row>
    <row r="1095" spans="47:48" x14ac:dyDescent="0.25">
      <c r="AU1095" s="188"/>
      <c r="AV1095" s="188"/>
    </row>
    <row r="1096" spans="47:48" x14ac:dyDescent="0.25">
      <c r="AU1096" s="188"/>
      <c r="AV1096" s="188"/>
    </row>
    <row r="1097" spans="47:48" x14ac:dyDescent="0.25">
      <c r="AU1097" s="188"/>
      <c r="AV1097" s="188"/>
    </row>
    <row r="1098" spans="47:48" x14ac:dyDescent="0.25">
      <c r="AU1098" s="188"/>
      <c r="AV1098" s="188"/>
    </row>
    <row r="1099" spans="47:48" x14ac:dyDescent="0.25">
      <c r="AU1099" s="188"/>
      <c r="AV1099" s="188"/>
    </row>
    <row r="1100" spans="47:48" x14ac:dyDescent="0.25">
      <c r="AU1100" s="188"/>
      <c r="AV1100" s="188"/>
    </row>
    <row r="1101" spans="47:48" x14ac:dyDescent="0.25">
      <c r="AU1101" s="188"/>
      <c r="AV1101" s="188"/>
    </row>
    <row r="1102" spans="47:48" x14ac:dyDescent="0.25">
      <c r="AU1102" s="188"/>
      <c r="AV1102" s="188"/>
    </row>
    <row r="1103" spans="47:48" x14ac:dyDescent="0.25">
      <c r="AU1103" s="188"/>
      <c r="AV1103" s="188"/>
    </row>
    <row r="1104" spans="47:48" x14ac:dyDescent="0.25">
      <c r="AU1104" s="188"/>
      <c r="AV1104" s="188"/>
    </row>
    <row r="1105" spans="47:48" x14ac:dyDescent="0.25">
      <c r="AU1105" s="188"/>
      <c r="AV1105" s="188"/>
    </row>
    <row r="1106" spans="47:48" x14ac:dyDescent="0.25">
      <c r="AU1106" s="188"/>
      <c r="AV1106" s="188"/>
    </row>
    <row r="1107" spans="47:48" x14ac:dyDescent="0.25">
      <c r="AU1107" s="188"/>
      <c r="AV1107" s="188"/>
    </row>
    <row r="1108" spans="47:48" x14ac:dyDescent="0.25">
      <c r="AU1108" s="188"/>
      <c r="AV1108" s="188"/>
    </row>
    <row r="1109" spans="47:48" x14ac:dyDescent="0.25">
      <c r="AU1109" s="188"/>
      <c r="AV1109" s="188"/>
    </row>
    <row r="1110" spans="47:48" x14ac:dyDescent="0.25">
      <c r="AU1110" s="188"/>
      <c r="AV1110" s="188"/>
    </row>
    <row r="1111" spans="47:48" x14ac:dyDescent="0.25">
      <c r="AU1111" s="188"/>
      <c r="AV1111" s="188"/>
    </row>
    <row r="1112" spans="47:48" x14ac:dyDescent="0.25">
      <c r="AU1112" s="188"/>
      <c r="AV1112" s="188"/>
    </row>
    <row r="1113" spans="47:48" x14ac:dyDescent="0.25">
      <c r="AU1113" s="188"/>
      <c r="AV1113" s="188"/>
    </row>
    <row r="1114" spans="47:48" x14ac:dyDescent="0.25">
      <c r="AU1114" s="188"/>
      <c r="AV1114" s="188"/>
    </row>
    <row r="1115" spans="47:48" x14ac:dyDescent="0.25">
      <c r="AU1115" s="188"/>
      <c r="AV1115" s="188"/>
    </row>
    <row r="1116" spans="47:48" x14ac:dyDescent="0.25">
      <c r="AU1116" s="188"/>
      <c r="AV1116" s="188"/>
    </row>
    <row r="1117" spans="47:48" x14ac:dyDescent="0.25">
      <c r="AU1117" s="188"/>
      <c r="AV1117" s="188"/>
    </row>
    <row r="1118" spans="47:48" x14ac:dyDescent="0.25">
      <c r="AU1118" s="188"/>
      <c r="AV1118" s="188"/>
    </row>
    <row r="1119" spans="47:48" x14ac:dyDescent="0.25">
      <c r="AU1119" s="188"/>
      <c r="AV1119" s="188"/>
    </row>
    <row r="1120" spans="47:48" x14ac:dyDescent="0.25">
      <c r="AU1120" s="188"/>
      <c r="AV1120" s="188"/>
    </row>
    <row r="1121" spans="47:48" x14ac:dyDescent="0.25">
      <c r="AU1121" s="188"/>
      <c r="AV1121" s="188"/>
    </row>
    <row r="1122" spans="47:48" x14ac:dyDescent="0.25">
      <c r="AU1122" s="188"/>
      <c r="AV1122" s="188"/>
    </row>
    <row r="1123" spans="47:48" x14ac:dyDescent="0.25">
      <c r="AU1123" s="188"/>
      <c r="AV1123" s="188"/>
    </row>
    <row r="1124" spans="47:48" x14ac:dyDescent="0.25">
      <c r="AU1124" s="188"/>
      <c r="AV1124" s="188"/>
    </row>
    <row r="1125" spans="47:48" x14ac:dyDescent="0.25">
      <c r="AU1125" s="188"/>
      <c r="AV1125" s="188"/>
    </row>
    <row r="1126" spans="47:48" x14ac:dyDescent="0.25">
      <c r="AU1126" s="188"/>
      <c r="AV1126" s="188"/>
    </row>
    <row r="1127" spans="47:48" x14ac:dyDescent="0.25">
      <c r="AU1127" s="188"/>
      <c r="AV1127" s="188"/>
    </row>
    <row r="1128" spans="47:48" x14ac:dyDescent="0.25">
      <c r="AU1128" s="188"/>
      <c r="AV1128" s="188"/>
    </row>
    <row r="1129" spans="47:48" x14ac:dyDescent="0.25">
      <c r="AU1129" s="188"/>
      <c r="AV1129" s="188"/>
    </row>
    <row r="1130" spans="47:48" x14ac:dyDescent="0.25">
      <c r="AU1130" s="188"/>
      <c r="AV1130" s="188"/>
    </row>
    <row r="1131" spans="47:48" x14ac:dyDescent="0.25">
      <c r="AU1131" s="188"/>
      <c r="AV1131" s="188"/>
    </row>
    <row r="1132" spans="47:48" x14ac:dyDescent="0.25">
      <c r="AU1132" s="188"/>
      <c r="AV1132" s="188"/>
    </row>
    <row r="1133" spans="47:48" x14ac:dyDescent="0.25">
      <c r="AU1133" s="188"/>
      <c r="AV1133" s="188"/>
    </row>
    <row r="1134" spans="47:48" x14ac:dyDescent="0.25">
      <c r="AU1134" s="188"/>
      <c r="AV1134" s="188"/>
    </row>
    <row r="1135" spans="47:48" x14ac:dyDescent="0.25">
      <c r="AU1135" s="188"/>
      <c r="AV1135" s="188"/>
    </row>
    <row r="1136" spans="47:48" x14ac:dyDescent="0.25">
      <c r="AU1136" s="188"/>
      <c r="AV1136" s="188"/>
    </row>
    <row r="1137" spans="47:48" x14ac:dyDescent="0.25">
      <c r="AU1137" s="188"/>
      <c r="AV1137" s="188"/>
    </row>
    <row r="1138" spans="47:48" x14ac:dyDescent="0.25">
      <c r="AU1138" s="188"/>
      <c r="AV1138" s="188"/>
    </row>
    <row r="1139" spans="47:48" x14ac:dyDescent="0.25">
      <c r="AU1139" s="188"/>
      <c r="AV1139" s="188"/>
    </row>
    <row r="1140" spans="47:48" x14ac:dyDescent="0.25">
      <c r="AU1140" s="188"/>
      <c r="AV1140" s="188"/>
    </row>
    <row r="1141" spans="47:48" x14ac:dyDescent="0.25">
      <c r="AU1141" s="188"/>
      <c r="AV1141" s="188"/>
    </row>
    <row r="1142" spans="47:48" x14ac:dyDescent="0.25">
      <c r="AU1142" s="188"/>
      <c r="AV1142" s="188"/>
    </row>
    <row r="1143" spans="47:48" x14ac:dyDescent="0.25">
      <c r="AU1143" s="188"/>
      <c r="AV1143" s="188"/>
    </row>
    <row r="1144" spans="47:48" x14ac:dyDescent="0.25">
      <c r="AU1144" s="188"/>
      <c r="AV1144" s="188"/>
    </row>
    <row r="1145" spans="47:48" x14ac:dyDescent="0.25">
      <c r="AU1145" s="188"/>
      <c r="AV1145" s="188"/>
    </row>
    <row r="1146" spans="47:48" x14ac:dyDescent="0.25">
      <c r="AU1146" s="188"/>
      <c r="AV1146" s="188"/>
    </row>
    <row r="1147" spans="47:48" x14ac:dyDescent="0.25">
      <c r="AU1147" s="188"/>
      <c r="AV1147" s="188"/>
    </row>
    <row r="1148" spans="47:48" x14ac:dyDescent="0.25">
      <c r="AU1148" s="188"/>
      <c r="AV1148" s="188"/>
    </row>
    <row r="1149" spans="47:48" x14ac:dyDescent="0.25">
      <c r="AU1149" s="188"/>
      <c r="AV1149" s="188"/>
    </row>
    <row r="1150" spans="47:48" x14ac:dyDescent="0.25">
      <c r="AU1150" s="188"/>
      <c r="AV1150" s="188"/>
    </row>
    <row r="1151" spans="47:48" x14ac:dyDescent="0.25">
      <c r="AU1151" s="188"/>
      <c r="AV1151" s="188"/>
    </row>
    <row r="1152" spans="47:48" x14ac:dyDescent="0.25">
      <c r="AU1152" s="188"/>
      <c r="AV1152" s="188"/>
    </row>
    <row r="1153" spans="47:48" x14ac:dyDescent="0.25">
      <c r="AU1153" s="188"/>
      <c r="AV1153" s="188"/>
    </row>
    <row r="1154" spans="47:48" x14ac:dyDescent="0.25">
      <c r="AU1154" s="188"/>
      <c r="AV1154" s="188"/>
    </row>
    <row r="1155" spans="47:48" x14ac:dyDescent="0.25">
      <c r="AU1155" s="188"/>
      <c r="AV1155" s="188"/>
    </row>
    <row r="1156" spans="47:48" x14ac:dyDescent="0.25">
      <c r="AU1156" s="188"/>
      <c r="AV1156" s="188"/>
    </row>
    <row r="1157" spans="47:48" x14ac:dyDescent="0.25">
      <c r="AU1157" s="188"/>
      <c r="AV1157" s="188"/>
    </row>
    <row r="1158" spans="47:48" x14ac:dyDescent="0.25">
      <c r="AU1158" s="188"/>
      <c r="AV1158" s="188"/>
    </row>
    <row r="1159" spans="47:48" x14ac:dyDescent="0.25">
      <c r="AU1159" s="188"/>
      <c r="AV1159" s="188"/>
    </row>
    <row r="1160" spans="47:48" x14ac:dyDescent="0.25">
      <c r="AU1160" s="188"/>
      <c r="AV1160" s="188"/>
    </row>
    <row r="1161" spans="47:48" x14ac:dyDescent="0.25">
      <c r="AU1161" s="188"/>
      <c r="AV1161" s="188"/>
    </row>
    <row r="1162" spans="47:48" x14ac:dyDescent="0.25">
      <c r="AU1162" s="188"/>
      <c r="AV1162" s="188"/>
    </row>
    <row r="1163" spans="47:48" x14ac:dyDescent="0.25">
      <c r="AU1163" s="188"/>
      <c r="AV1163" s="188"/>
    </row>
    <row r="1164" spans="47:48" x14ac:dyDescent="0.25">
      <c r="AU1164" s="188"/>
      <c r="AV1164" s="188"/>
    </row>
    <row r="1165" spans="47:48" x14ac:dyDescent="0.25">
      <c r="AU1165" s="188"/>
      <c r="AV1165" s="188"/>
    </row>
    <row r="1166" spans="47:48" x14ac:dyDescent="0.25">
      <c r="AU1166" s="188"/>
      <c r="AV1166" s="188"/>
    </row>
    <row r="1167" spans="47:48" x14ac:dyDescent="0.25">
      <c r="AU1167" s="188"/>
      <c r="AV1167" s="188"/>
    </row>
    <row r="1168" spans="47:48" x14ac:dyDescent="0.25">
      <c r="AU1168" s="188"/>
      <c r="AV1168" s="188"/>
    </row>
    <row r="1169" spans="47:48" x14ac:dyDescent="0.25">
      <c r="AU1169" s="188"/>
      <c r="AV1169" s="188"/>
    </row>
    <row r="1170" spans="47:48" x14ac:dyDescent="0.25">
      <c r="AU1170" s="188"/>
      <c r="AV1170" s="188"/>
    </row>
    <row r="1171" spans="47:48" x14ac:dyDescent="0.25">
      <c r="AU1171" s="188"/>
      <c r="AV1171" s="188"/>
    </row>
    <row r="1172" spans="47:48" x14ac:dyDescent="0.25">
      <c r="AU1172" s="188"/>
      <c r="AV1172" s="188"/>
    </row>
    <row r="1173" spans="47:48" x14ac:dyDescent="0.25">
      <c r="AU1173" s="188"/>
      <c r="AV1173" s="188"/>
    </row>
    <row r="1174" spans="47:48" x14ac:dyDescent="0.25">
      <c r="AU1174" s="188"/>
      <c r="AV1174" s="188"/>
    </row>
    <row r="1175" spans="47:48" x14ac:dyDescent="0.25">
      <c r="AU1175" s="188"/>
      <c r="AV1175" s="188"/>
    </row>
    <row r="1176" spans="47:48" x14ac:dyDescent="0.25">
      <c r="AU1176" s="188"/>
      <c r="AV1176" s="188"/>
    </row>
    <row r="1177" spans="47:48" x14ac:dyDescent="0.25">
      <c r="AU1177" s="188"/>
      <c r="AV1177" s="188"/>
    </row>
    <row r="1178" spans="47:48" x14ac:dyDescent="0.25">
      <c r="AU1178" s="188"/>
      <c r="AV1178" s="188"/>
    </row>
    <row r="1179" spans="47:48" x14ac:dyDescent="0.25">
      <c r="AU1179" s="188"/>
      <c r="AV1179" s="188"/>
    </row>
    <row r="1180" spans="47:48" x14ac:dyDescent="0.25">
      <c r="AU1180" s="188"/>
      <c r="AV1180" s="188"/>
    </row>
    <row r="1181" spans="47:48" x14ac:dyDescent="0.25">
      <c r="AU1181" s="188"/>
      <c r="AV1181" s="188"/>
    </row>
    <row r="1182" spans="47:48" x14ac:dyDescent="0.25">
      <c r="AU1182" s="188"/>
      <c r="AV1182" s="188"/>
    </row>
    <row r="1183" spans="47:48" x14ac:dyDescent="0.25">
      <c r="AU1183" s="188"/>
      <c r="AV1183" s="188"/>
    </row>
    <row r="1184" spans="47:48" x14ac:dyDescent="0.25">
      <c r="AU1184" s="188"/>
      <c r="AV1184" s="188"/>
    </row>
    <row r="1185" spans="47:48" x14ac:dyDescent="0.25">
      <c r="AU1185" s="188"/>
      <c r="AV1185" s="188"/>
    </row>
    <row r="1186" spans="47:48" x14ac:dyDescent="0.25">
      <c r="AU1186" s="188"/>
      <c r="AV1186" s="188"/>
    </row>
    <row r="1187" spans="47:48" x14ac:dyDescent="0.25">
      <c r="AU1187" s="188"/>
      <c r="AV1187" s="188"/>
    </row>
    <row r="1188" spans="47:48" x14ac:dyDescent="0.25">
      <c r="AU1188" s="188"/>
      <c r="AV1188" s="188"/>
    </row>
    <row r="1189" spans="47:48" x14ac:dyDescent="0.25">
      <c r="AU1189" s="188"/>
      <c r="AV1189" s="188"/>
    </row>
    <row r="1190" spans="47:48" x14ac:dyDescent="0.25">
      <c r="AU1190" s="188"/>
      <c r="AV1190" s="188"/>
    </row>
    <row r="1191" spans="47:48" x14ac:dyDescent="0.25">
      <c r="AU1191" s="188"/>
      <c r="AV1191" s="188"/>
    </row>
    <row r="1192" spans="47:48" x14ac:dyDescent="0.25">
      <c r="AU1192" s="188"/>
      <c r="AV1192" s="188"/>
    </row>
    <row r="1193" spans="47:48" x14ac:dyDescent="0.25">
      <c r="AU1193" s="188"/>
      <c r="AV1193" s="188"/>
    </row>
    <row r="1194" spans="47:48" x14ac:dyDescent="0.25">
      <c r="AU1194" s="188"/>
      <c r="AV1194" s="188"/>
    </row>
    <row r="1195" spans="47:48" x14ac:dyDescent="0.25">
      <c r="AU1195" s="188"/>
      <c r="AV1195" s="188"/>
    </row>
    <row r="1196" spans="47:48" x14ac:dyDescent="0.25">
      <c r="AU1196" s="188"/>
      <c r="AV1196" s="188"/>
    </row>
    <row r="1197" spans="47:48" x14ac:dyDescent="0.25">
      <c r="AU1197" s="188"/>
      <c r="AV1197" s="188"/>
    </row>
    <row r="1198" spans="47:48" x14ac:dyDescent="0.25">
      <c r="AU1198" s="188"/>
      <c r="AV1198" s="188"/>
    </row>
    <row r="1199" spans="47:48" x14ac:dyDescent="0.25">
      <c r="AU1199" s="188"/>
      <c r="AV1199" s="188"/>
    </row>
    <row r="1200" spans="47:48" x14ac:dyDescent="0.25">
      <c r="AU1200" s="188"/>
      <c r="AV1200" s="188"/>
    </row>
    <row r="1201" spans="47:48" x14ac:dyDescent="0.25">
      <c r="AU1201" s="188"/>
      <c r="AV1201" s="188"/>
    </row>
    <row r="1202" spans="47:48" x14ac:dyDescent="0.25">
      <c r="AU1202" s="188"/>
      <c r="AV1202" s="188"/>
    </row>
    <row r="1203" spans="47:48" x14ac:dyDescent="0.25">
      <c r="AU1203" s="188"/>
      <c r="AV1203" s="188"/>
    </row>
    <row r="1204" spans="47:48" x14ac:dyDescent="0.25">
      <c r="AU1204" s="188"/>
      <c r="AV1204" s="188"/>
    </row>
    <row r="1205" spans="47:48" x14ac:dyDescent="0.25">
      <c r="AU1205" s="188"/>
      <c r="AV1205" s="188"/>
    </row>
    <row r="1206" spans="47:48" x14ac:dyDescent="0.25">
      <c r="AU1206" s="188"/>
      <c r="AV1206" s="188"/>
    </row>
    <row r="1207" spans="47:48" x14ac:dyDescent="0.25">
      <c r="AU1207" s="188"/>
      <c r="AV1207" s="188"/>
    </row>
    <row r="1208" spans="47:48" x14ac:dyDescent="0.25">
      <c r="AU1208" s="188"/>
      <c r="AV1208" s="188"/>
    </row>
    <row r="1209" spans="47:48" x14ac:dyDescent="0.25">
      <c r="AU1209" s="188"/>
      <c r="AV1209" s="188"/>
    </row>
    <row r="1210" spans="47:48" x14ac:dyDescent="0.25">
      <c r="AU1210" s="188"/>
      <c r="AV1210" s="188"/>
    </row>
    <row r="1211" spans="47:48" x14ac:dyDescent="0.25">
      <c r="AU1211" s="188"/>
      <c r="AV1211" s="188"/>
    </row>
    <row r="1212" spans="47:48" x14ac:dyDescent="0.25">
      <c r="AU1212" s="188"/>
      <c r="AV1212" s="188"/>
    </row>
    <row r="1213" spans="47:48" x14ac:dyDescent="0.25">
      <c r="AU1213" s="188"/>
      <c r="AV1213" s="188"/>
    </row>
    <row r="1214" spans="47:48" x14ac:dyDescent="0.25">
      <c r="AU1214" s="188"/>
      <c r="AV1214" s="188"/>
    </row>
    <row r="1215" spans="47:48" x14ac:dyDescent="0.25">
      <c r="AU1215" s="188"/>
      <c r="AV1215" s="188"/>
    </row>
    <row r="1216" spans="47:48" x14ac:dyDescent="0.25">
      <c r="AU1216" s="188"/>
      <c r="AV1216" s="188"/>
    </row>
    <row r="1217" spans="47:48" x14ac:dyDescent="0.25">
      <c r="AU1217" s="188"/>
      <c r="AV1217" s="188"/>
    </row>
    <row r="1218" spans="47:48" x14ac:dyDescent="0.25">
      <c r="AU1218" s="188"/>
      <c r="AV1218" s="188"/>
    </row>
    <row r="1219" spans="47:48" x14ac:dyDescent="0.25">
      <c r="AU1219" s="188"/>
      <c r="AV1219" s="188"/>
    </row>
    <row r="1220" spans="47:48" x14ac:dyDescent="0.25">
      <c r="AU1220" s="188"/>
      <c r="AV1220" s="188"/>
    </row>
    <row r="1221" spans="47:48" x14ac:dyDescent="0.25">
      <c r="AU1221" s="188"/>
      <c r="AV1221" s="188"/>
    </row>
    <row r="1222" spans="47:48" x14ac:dyDescent="0.25">
      <c r="AU1222" s="188"/>
      <c r="AV1222" s="188"/>
    </row>
    <row r="1223" spans="47:48" x14ac:dyDescent="0.25">
      <c r="AU1223" s="188"/>
      <c r="AV1223" s="188"/>
    </row>
    <row r="1224" spans="47:48" x14ac:dyDescent="0.25">
      <c r="AU1224" s="188"/>
      <c r="AV1224" s="188"/>
    </row>
    <row r="1225" spans="47:48" x14ac:dyDescent="0.25">
      <c r="AU1225" s="188"/>
      <c r="AV1225" s="188"/>
    </row>
    <row r="1226" spans="47:48" x14ac:dyDescent="0.25">
      <c r="AU1226" s="188"/>
      <c r="AV1226" s="188"/>
    </row>
    <row r="1227" spans="47:48" x14ac:dyDescent="0.25">
      <c r="AU1227" s="188"/>
      <c r="AV1227" s="188"/>
    </row>
    <row r="1228" spans="47:48" x14ac:dyDescent="0.25">
      <c r="AU1228" s="188"/>
      <c r="AV1228" s="188"/>
    </row>
    <row r="1229" spans="47:48" x14ac:dyDescent="0.25">
      <c r="AU1229" s="188"/>
      <c r="AV1229" s="188"/>
    </row>
    <row r="1230" spans="47:48" x14ac:dyDescent="0.25">
      <c r="AU1230" s="188"/>
      <c r="AV1230" s="188"/>
    </row>
    <row r="1231" spans="47:48" x14ac:dyDescent="0.25">
      <c r="AU1231" s="188"/>
      <c r="AV1231" s="188"/>
    </row>
    <row r="1232" spans="47:48" x14ac:dyDescent="0.25">
      <c r="AU1232" s="188"/>
      <c r="AV1232" s="188"/>
    </row>
    <row r="1233" spans="47:48" x14ac:dyDescent="0.25">
      <c r="AU1233" s="188"/>
      <c r="AV1233" s="188"/>
    </row>
    <row r="1234" spans="47:48" x14ac:dyDescent="0.25">
      <c r="AU1234" s="188"/>
      <c r="AV1234" s="188"/>
    </row>
    <row r="1235" spans="47:48" x14ac:dyDescent="0.25">
      <c r="AU1235" s="188"/>
      <c r="AV1235" s="188"/>
    </row>
    <row r="1236" spans="47:48" x14ac:dyDescent="0.25">
      <c r="AU1236" s="188"/>
      <c r="AV1236" s="188"/>
    </row>
    <row r="1237" spans="47:48" x14ac:dyDescent="0.25">
      <c r="AU1237" s="188"/>
      <c r="AV1237" s="188"/>
    </row>
    <row r="1238" spans="47:48" x14ac:dyDescent="0.25">
      <c r="AU1238" s="188"/>
      <c r="AV1238" s="188"/>
    </row>
    <row r="1239" spans="47:48" x14ac:dyDescent="0.25">
      <c r="AU1239" s="188"/>
      <c r="AV1239" s="188"/>
    </row>
    <row r="1240" spans="47:48" x14ac:dyDescent="0.25">
      <c r="AU1240" s="188"/>
      <c r="AV1240" s="188"/>
    </row>
    <row r="1241" spans="47:48" x14ac:dyDescent="0.25">
      <c r="AU1241" s="188"/>
      <c r="AV1241" s="188"/>
    </row>
    <row r="1242" spans="47:48" x14ac:dyDescent="0.25">
      <c r="AU1242" s="188"/>
      <c r="AV1242" s="188"/>
    </row>
    <row r="1243" spans="47:48" x14ac:dyDescent="0.25">
      <c r="AU1243" s="188"/>
      <c r="AV1243" s="188"/>
    </row>
    <row r="1244" spans="47:48" x14ac:dyDescent="0.25">
      <c r="AU1244" s="188"/>
      <c r="AV1244" s="188"/>
    </row>
    <row r="1245" spans="47:48" x14ac:dyDescent="0.25">
      <c r="AU1245" s="188"/>
      <c r="AV1245" s="188"/>
    </row>
    <row r="1246" spans="47:48" x14ac:dyDescent="0.25">
      <c r="AU1246" s="188"/>
      <c r="AV1246" s="188"/>
    </row>
    <row r="1247" spans="47:48" x14ac:dyDescent="0.25">
      <c r="AU1247" s="188"/>
      <c r="AV1247" s="188"/>
    </row>
    <row r="1248" spans="47:48" x14ac:dyDescent="0.25">
      <c r="AU1248" s="188"/>
      <c r="AV1248" s="188"/>
    </row>
    <row r="1249" spans="47:48" x14ac:dyDescent="0.25">
      <c r="AU1249" s="188"/>
      <c r="AV1249" s="188"/>
    </row>
    <row r="1250" spans="47:48" x14ac:dyDescent="0.25">
      <c r="AU1250" s="188"/>
      <c r="AV1250" s="188"/>
    </row>
    <row r="1251" spans="47:48" x14ac:dyDescent="0.25">
      <c r="AU1251" s="188"/>
      <c r="AV1251" s="188"/>
    </row>
    <row r="1252" spans="47:48" x14ac:dyDescent="0.25">
      <c r="AU1252" s="188"/>
      <c r="AV1252" s="188"/>
    </row>
    <row r="1253" spans="47:48" x14ac:dyDescent="0.25">
      <c r="AU1253" s="188"/>
      <c r="AV1253" s="188"/>
    </row>
    <row r="1254" spans="47:48" x14ac:dyDescent="0.25">
      <c r="AU1254" s="188"/>
      <c r="AV1254" s="188"/>
    </row>
    <row r="1255" spans="47:48" x14ac:dyDescent="0.25">
      <c r="AU1255" s="188"/>
      <c r="AV1255" s="188"/>
    </row>
    <row r="1256" spans="47:48" x14ac:dyDescent="0.25">
      <c r="AU1256" s="188"/>
      <c r="AV1256" s="188"/>
    </row>
    <row r="1257" spans="47:48" x14ac:dyDescent="0.25">
      <c r="AU1257" s="188"/>
      <c r="AV1257" s="188"/>
    </row>
    <row r="1258" spans="47:48" x14ac:dyDescent="0.25">
      <c r="AU1258" s="188"/>
      <c r="AV1258" s="188"/>
    </row>
    <row r="1259" spans="47:48" x14ac:dyDescent="0.25">
      <c r="AU1259" s="188"/>
      <c r="AV1259" s="188"/>
    </row>
    <row r="1260" spans="47:48" x14ac:dyDescent="0.25">
      <c r="AU1260" s="188"/>
      <c r="AV1260" s="188"/>
    </row>
    <row r="1261" spans="47:48" x14ac:dyDescent="0.25">
      <c r="AU1261" s="188"/>
      <c r="AV1261" s="188"/>
    </row>
    <row r="1262" spans="47:48" x14ac:dyDescent="0.25">
      <c r="AU1262" s="188"/>
      <c r="AV1262" s="188"/>
    </row>
    <row r="1263" spans="47:48" x14ac:dyDescent="0.25">
      <c r="AU1263" s="188"/>
      <c r="AV1263" s="188"/>
    </row>
    <row r="1264" spans="47:48" x14ac:dyDescent="0.25">
      <c r="AU1264" s="188"/>
      <c r="AV1264" s="188"/>
    </row>
    <row r="1265" spans="47:48" x14ac:dyDescent="0.25">
      <c r="AU1265" s="188"/>
      <c r="AV1265" s="188"/>
    </row>
    <row r="1266" spans="47:48" x14ac:dyDescent="0.25">
      <c r="AU1266" s="188"/>
      <c r="AV1266" s="188"/>
    </row>
    <row r="1267" spans="47:48" x14ac:dyDescent="0.25">
      <c r="AU1267" s="188"/>
      <c r="AV1267" s="188"/>
    </row>
    <row r="1268" spans="47:48" x14ac:dyDescent="0.25">
      <c r="AU1268" s="188"/>
      <c r="AV1268" s="188"/>
    </row>
    <row r="1269" spans="47:48" x14ac:dyDescent="0.25">
      <c r="AU1269" s="188"/>
      <c r="AV1269" s="188"/>
    </row>
    <row r="1270" spans="47:48" x14ac:dyDescent="0.25">
      <c r="AU1270" s="188"/>
      <c r="AV1270" s="188"/>
    </row>
    <row r="1271" spans="47:48" x14ac:dyDescent="0.25">
      <c r="AU1271" s="188"/>
      <c r="AV1271" s="188"/>
    </row>
    <row r="1272" spans="47:48" x14ac:dyDescent="0.25">
      <c r="AU1272" s="188"/>
      <c r="AV1272" s="188"/>
    </row>
    <row r="1273" spans="47:48" x14ac:dyDescent="0.25">
      <c r="AU1273" s="188"/>
      <c r="AV1273" s="188"/>
    </row>
    <row r="1274" spans="47:48" x14ac:dyDescent="0.25">
      <c r="AU1274" s="188"/>
      <c r="AV1274" s="188"/>
    </row>
    <row r="1275" spans="47:48" x14ac:dyDescent="0.25">
      <c r="AU1275" s="188"/>
      <c r="AV1275" s="188"/>
    </row>
    <row r="1276" spans="47:48" x14ac:dyDescent="0.25">
      <c r="AU1276" s="188"/>
      <c r="AV1276" s="188"/>
    </row>
    <row r="1277" spans="47:48" x14ac:dyDescent="0.25">
      <c r="AU1277" s="188"/>
      <c r="AV1277" s="188"/>
    </row>
    <row r="1278" spans="47:48" x14ac:dyDescent="0.25">
      <c r="AU1278" s="188"/>
      <c r="AV1278" s="188"/>
    </row>
    <row r="1279" spans="47:48" x14ac:dyDescent="0.25">
      <c r="AU1279" s="188"/>
      <c r="AV1279" s="188"/>
    </row>
    <row r="1280" spans="47:48" x14ac:dyDescent="0.25">
      <c r="AU1280" s="188"/>
      <c r="AV1280" s="188"/>
    </row>
    <row r="1281" spans="47:48" x14ac:dyDescent="0.25">
      <c r="AU1281" s="188"/>
      <c r="AV1281" s="188"/>
    </row>
    <row r="1282" spans="47:48" x14ac:dyDescent="0.25">
      <c r="AU1282" s="188"/>
      <c r="AV1282" s="188"/>
    </row>
    <row r="1283" spans="47:48" x14ac:dyDescent="0.25">
      <c r="AU1283" s="188"/>
      <c r="AV1283" s="188"/>
    </row>
    <row r="1284" spans="47:48" x14ac:dyDescent="0.25">
      <c r="AU1284" s="188"/>
      <c r="AV1284" s="188"/>
    </row>
    <row r="1285" spans="47:48" x14ac:dyDescent="0.25">
      <c r="AU1285" s="188"/>
      <c r="AV1285" s="188"/>
    </row>
    <row r="1286" spans="47:48" x14ac:dyDescent="0.25">
      <c r="AU1286" s="188"/>
      <c r="AV1286" s="188"/>
    </row>
    <row r="1287" spans="47:48" x14ac:dyDescent="0.25">
      <c r="AU1287" s="188"/>
      <c r="AV1287" s="188"/>
    </row>
    <row r="1288" spans="47:48" x14ac:dyDescent="0.25">
      <c r="AU1288" s="188"/>
      <c r="AV1288" s="188"/>
    </row>
    <row r="1289" spans="47:48" x14ac:dyDescent="0.25">
      <c r="AU1289" s="188"/>
      <c r="AV1289" s="188"/>
    </row>
    <row r="1290" spans="47:48" x14ac:dyDescent="0.25">
      <c r="AU1290" s="188"/>
      <c r="AV1290" s="188"/>
    </row>
    <row r="1291" spans="47:48" x14ac:dyDescent="0.25">
      <c r="AU1291" s="188"/>
      <c r="AV1291" s="188"/>
    </row>
    <row r="1292" spans="47:48" x14ac:dyDescent="0.25">
      <c r="AU1292" s="188"/>
      <c r="AV1292" s="188"/>
    </row>
    <row r="1293" spans="47:48" x14ac:dyDescent="0.25">
      <c r="AU1293" s="188"/>
      <c r="AV1293" s="188"/>
    </row>
    <row r="1294" spans="47:48" x14ac:dyDescent="0.25">
      <c r="AU1294" s="188"/>
      <c r="AV1294" s="188"/>
    </row>
    <row r="1295" spans="47:48" x14ac:dyDescent="0.25">
      <c r="AU1295" s="188"/>
      <c r="AV1295" s="188"/>
    </row>
    <row r="1296" spans="47:48" x14ac:dyDescent="0.25">
      <c r="AU1296" s="188"/>
      <c r="AV1296" s="188"/>
    </row>
    <row r="1297" spans="47:48" x14ac:dyDescent="0.25">
      <c r="AU1297" s="188"/>
      <c r="AV1297" s="188"/>
    </row>
    <row r="1298" spans="47:48" x14ac:dyDescent="0.25">
      <c r="AU1298" s="188"/>
      <c r="AV1298" s="188"/>
    </row>
    <row r="1299" spans="47:48" x14ac:dyDescent="0.25">
      <c r="AU1299" s="188"/>
      <c r="AV1299" s="188"/>
    </row>
    <row r="1300" spans="47:48" x14ac:dyDescent="0.25">
      <c r="AU1300" s="188"/>
      <c r="AV1300" s="188"/>
    </row>
    <row r="1301" spans="47:48" x14ac:dyDescent="0.25">
      <c r="AU1301" s="188"/>
      <c r="AV1301" s="188"/>
    </row>
    <row r="1302" spans="47:48" x14ac:dyDescent="0.25">
      <c r="AU1302" s="188"/>
      <c r="AV1302" s="188"/>
    </row>
  </sheetData>
  <mergeCells count="45">
    <mergeCell ref="BI8:BJ8"/>
    <mergeCell ref="BG15:BH15"/>
    <mergeCell ref="T6:U6"/>
    <mergeCell ref="N2:O2"/>
    <mergeCell ref="A20:B20"/>
    <mergeCell ref="W2:AA2"/>
    <mergeCell ref="AK35:AL35"/>
    <mergeCell ref="D2:E2"/>
    <mergeCell ref="H2:I2"/>
    <mergeCell ref="AC2:AE2"/>
    <mergeCell ref="H15:I15"/>
    <mergeCell ref="H6:I6"/>
    <mergeCell ref="H11:I11"/>
    <mergeCell ref="Q2:R2"/>
    <mergeCell ref="T2:U2"/>
    <mergeCell ref="AK29:AL29"/>
    <mergeCell ref="AK15:AN15"/>
    <mergeCell ref="A1:I1"/>
    <mergeCell ref="K2:L2"/>
    <mergeCell ref="K1:O1"/>
    <mergeCell ref="Q1:U1"/>
    <mergeCell ref="A2:B2"/>
    <mergeCell ref="BD1:BH1"/>
    <mergeCell ref="BG2:BH2"/>
    <mergeCell ref="AU2:AV2"/>
    <mergeCell ref="AK25:AL25"/>
    <mergeCell ref="AX2:AY2"/>
    <mergeCell ref="AQ16:AR16"/>
    <mergeCell ref="BA2:BB2"/>
    <mergeCell ref="BA14:BB14"/>
    <mergeCell ref="AU15:AV15"/>
    <mergeCell ref="BD2:BE2"/>
    <mergeCell ref="AK2:AL2"/>
    <mergeCell ref="AK9:AL9"/>
    <mergeCell ref="AU1:BB1"/>
    <mergeCell ref="AN2:AO2"/>
    <mergeCell ref="AQ2:AR2"/>
    <mergeCell ref="AU6:AV6"/>
    <mergeCell ref="AK1:AR1"/>
    <mergeCell ref="BA19:BB19"/>
    <mergeCell ref="BA27:BB27"/>
    <mergeCell ref="W1:AE1"/>
    <mergeCell ref="AQ7:AR7"/>
    <mergeCell ref="AQ12:AR12"/>
    <mergeCell ref="AG1:AI1"/>
  </mergeCells>
  <conditionalFormatting sqref="O4:O8">
    <cfRule type="duplicateValues" dxfId="52" priority="15"/>
  </conditionalFormatting>
  <conditionalFormatting sqref="AG3:AG22">
    <cfRule type="duplicateValues" dxfId="51" priority="16"/>
  </conditionalFormatting>
  <pageMargins left="0.7" right="0.7" top="0.75" bottom="0.75" header="0.3" footer="0.3"/>
  <pageSetup paperSize="9" orientation="portrait" verticalDpi="599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BC1B8-4CDC-4E75-B7F2-942CFE4968F4}">
  <sheetPr codeName="Sheet2"/>
  <dimension ref="A1:AO185"/>
  <sheetViews>
    <sheetView zoomScale="90" zoomScaleNormal="90" workbookViewId="0">
      <selection activeCell="C3" sqref="C3"/>
    </sheetView>
  </sheetViews>
  <sheetFormatPr defaultColWidth="8" defaultRowHeight="11.25" customHeight="1" x14ac:dyDescent="0.2"/>
  <cols>
    <col min="1" max="1" width="2.75" style="1" bestFit="1" customWidth="1"/>
    <col min="2" max="2" width="24.375" style="1" customWidth="1"/>
    <col min="3" max="3" width="12.875" style="1" customWidth="1"/>
    <col min="4" max="4" width="44.625" style="1" customWidth="1"/>
    <col min="5" max="5" width="21.125" style="1" bestFit="1" customWidth="1"/>
    <col min="6" max="6" width="15.625" style="286" customWidth="1"/>
    <col min="7" max="7" width="26.25" style="1" customWidth="1"/>
    <col min="8" max="8" width="37.25" style="1" customWidth="1"/>
    <col min="9" max="9" width="31.25" style="1" bestFit="1" customWidth="1"/>
    <col min="10" max="10" width="16.75" style="1" customWidth="1"/>
    <col min="11" max="11" width="40.125" style="1" bestFit="1" customWidth="1"/>
    <col min="12" max="12" width="16.75" style="1" customWidth="1"/>
    <col min="13" max="19" width="14.375" style="1" customWidth="1"/>
    <col min="20" max="20" width="16.75" style="1" customWidth="1"/>
    <col min="21" max="22" width="14.375" style="1" customWidth="1"/>
    <col min="23" max="25" width="15.625" style="1" customWidth="1"/>
    <col min="26" max="26" width="44" style="1" bestFit="1" customWidth="1"/>
    <col min="27" max="28" width="15.625" style="1" customWidth="1"/>
    <col min="29" max="29" width="4.125" style="1" customWidth="1"/>
    <col min="30" max="40" width="13.5" style="1" customWidth="1"/>
    <col min="41" max="49" width="4.125" style="1" customWidth="1"/>
    <col min="50" max="16384" width="8" style="1"/>
  </cols>
  <sheetData>
    <row r="1" spans="2:40" ht="11.25" customHeight="1" x14ac:dyDescent="0.2">
      <c r="B1" s="368" t="s">
        <v>535</v>
      </c>
      <c r="C1" s="369"/>
      <c r="D1" s="370"/>
      <c r="E1" s="257">
        <v>45108</v>
      </c>
      <c r="I1" s="367" t="s">
        <v>19</v>
      </c>
      <c r="J1" s="367"/>
      <c r="K1" s="367"/>
      <c r="X1" s="365" t="s">
        <v>11</v>
      </c>
      <c r="Y1" s="366"/>
      <c r="Z1" s="366"/>
      <c r="AA1" s="366"/>
      <c r="AB1" s="366"/>
      <c r="AD1" s="377" t="s">
        <v>826</v>
      </c>
      <c r="AE1" s="378"/>
      <c r="AF1" s="378"/>
      <c r="AG1" s="378"/>
      <c r="AH1" s="378"/>
      <c r="AI1" s="378"/>
      <c r="AJ1" s="378"/>
      <c r="AK1" s="378"/>
      <c r="AL1" s="378"/>
      <c r="AM1" s="378"/>
      <c r="AN1" s="378"/>
    </row>
    <row r="2" spans="2:40" ht="11.25" customHeight="1" x14ac:dyDescent="0.2">
      <c r="B2" s="285" t="s">
        <v>542</v>
      </c>
      <c r="C2" s="285" t="s">
        <v>543</v>
      </c>
      <c r="D2" s="285" t="s">
        <v>544</v>
      </c>
      <c r="F2" s="1"/>
      <c r="I2" s="285" t="s">
        <v>542</v>
      </c>
      <c r="J2" s="6" t="s">
        <v>543</v>
      </c>
      <c r="K2" s="285" t="s">
        <v>544</v>
      </c>
      <c r="X2" s="209" t="s">
        <v>1637</v>
      </c>
      <c r="Y2" s="209" t="s">
        <v>1638</v>
      </c>
      <c r="Z2" s="209" t="s">
        <v>702</v>
      </c>
      <c r="AA2" s="209" t="s">
        <v>543</v>
      </c>
      <c r="AB2" s="209"/>
      <c r="AD2" s="144" t="s">
        <v>536</v>
      </c>
      <c r="AE2" s="144" t="s">
        <v>537</v>
      </c>
      <c r="AF2" s="144" t="s">
        <v>11</v>
      </c>
      <c r="AG2" s="145" t="s">
        <v>1623</v>
      </c>
      <c r="AH2" s="144" t="s">
        <v>539</v>
      </c>
      <c r="AI2" s="144" t="s">
        <v>540</v>
      </c>
      <c r="AJ2" s="145" t="s">
        <v>556</v>
      </c>
      <c r="AK2" s="144" t="s">
        <v>541</v>
      </c>
      <c r="AL2" s="144" t="s">
        <v>1624</v>
      </c>
      <c r="AM2" s="145" t="s">
        <v>1625</v>
      </c>
      <c r="AN2" s="144" t="s">
        <v>1626</v>
      </c>
    </row>
    <row r="3" spans="2:40" ht="11.25" customHeight="1" x14ac:dyDescent="0.2">
      <c r="B3" s="4" t="s">
        <v>545</v>
      </c>
      <c r="C3" s="7"/>
      <c r="D3" s="62" t="s">
        <v>533</v>
      </c>
      <c r="F3" s="1"/>
      <c r="I3" s="4" t="s">
        <v>757</v>
      </c>
      <c r="J3" s="7" t="s">
        <v>2272</v>
      </c>
      <c r="K3" s="8" t="str">
        <f>IFERROR(VLOOKUP(J3,DataBase!AU17:AV1302,2,0),"")</f>
        <v/>
      </c>
      <c r="X3" s="59" t="str">
        <f>IF(AB3&lt;&gt;0,(VLOOKUP(Z3,DataBase!AK$17:AN$24,3,0)),"")</f>
        <v/>
      </c>
      <c r="Y3" s="59" t="str">
        <f t="shared" ref="Y3:Y10" si="0">IF(AB3&lt;&gt;0,"Ingesar","no ingresar")</f>
        <v>no ingresar</v>
      </c>
      <c r="Z3" s="59" t="s">
        <v>811</v>
      </c>
      <c r="AA3" s="59">
        <v>4135</v>
      </c>
      <c r="AB3" s="59">
        <f t="shared" ref="AB3:AB10" si="1">COUNTIF($AF$3:$AF$23,Z3)</f>
        <v>0</v>
      </c>
      <c r="AD3" s="59">
        <v>1</v>
      </c>
      <c r="AE3" s="59" t="s">
        <v>1627</v>
      </c>
      <c r="AF3" s="59" t="s">
        <v>1628</v>
      </c>
      <c r="AG3" s="267" t="s">
        <v>1629</v>
      </c>
      <c r="AH3" s="267" t="s">
        <v>1630</v>
      </c>
      <c r="AI3" s="267" t="s">
        <v>1631</v>
      </c>
      <c r="AJ3" s="267" t="s">
        <v>1632</v>
      </c>
      <c r="AK3" s="59" t="s">
        <v>1633</v>
      </c>
      <c r="AL3" s="59" t="s">
        <v>1634</v>
      </c>
      <c r="AM3" s="59" t="s">
        <v>1635</v>
      </c>
      <c r="AN3" s="267" t="s">
        <v>1636</v>
      </c>
    </row>
    <row r="4" spans="2:40" ht="11.25" customHeight="1" x14ac:dyDescent="0.2">
      <c r="B4" s="4" t="s">
        <v>60</v>
      </c>
      <c r="C4" s="62"/>
      <c r="D4" s="62" t="s">
        <v>62</v>
      </c>
      <c r="F4" s="1"/>
      <c r="I4" s="4" t="s">
        <v>10</v>
      </c>
      <c r="J4" s="7" t="str">
        <f>IFERROR(VLOOKUP(K4,DataBase!$AK$4:$AL$8,2,0),"")</f>
        <v/>
      </c>
      <c r="K4" s="8" t="s">
        <v>196</v>
      </c>
      <c r="X4" s="59" t="str">
        <f>IF(AB4&lt;&gt;0,(VLOOKUP(Z4,DataBase!AK$17:AN$24,3,0)),"")</f>
        <v/>
      </c>
      <c r="Y4" s="59" t="str">
        <f t="shared" si="0"/>
        <v>no ingresar</v>
      </c>
      <c r="Z4" s="59" t="s">
        <v>817</v>
      </c>
      <c r="AA4" s="59">
        <v>4147</v>
      </c>
      <c r="AB4" s="59">
        <f t="shared" si="1"/>
        <v>0</v>
      </c>
      <c r="AD4" s="59">
        <v>2</v>
      </c>
      <c r="AE4" s="59"/>
      <c r="AF4" s="59"/>
      <c r="AG4" s="267"/>
      <c r="AH4" s="267"/>
      <c r="AI4" s="267"/>
      <c r="AJ4" s="267"/>
      <c r="AK4" s="59"/>
      <c r="AL4" s="59"/>
      <c r="AM4" s="59"/>
      <c r="AN4" s="267"/>
    </row>
    <row r="5" spans="2:40" ht="11.25" customHeight="1" x14ac:dyDescent="0.2">
      <c r="B5" s="56" t="s">
        <v>24</v>
      </c>
      <c r="C5" s="62" t="str">
        <f>IFERROR((VLOOKUP(D5,DataBase!$AU$4:$AV$5,2,0)),"")</f>
        <v/>
      </c>
      <c r="D5" s="62" t="s">
        <v>175</v>
      </c>
      <c r="F5" s="1"/>
      <c r="I5" s="4" t="s">
        <v>17</v>
      </c>
      <c r="J5" s="7" t="str">
        <f>IFERROR(VLOOKUP(K5,DataBase!$AK$11:$AL$14,2,0),"")</f>
        <v/>
      </c>
      <c r="K5" s="12" t="s">
        <v>202</v>
      </c>
      <c r="X5" s="59" t="str">
        <f>IF(AB5&lt;&gt;0,(VLOOKUP(Z5,DataBase!AK$17:AN$24,3,0)),"")</f>
        <v/>
      </c>
      <c r="Y5" s="59" t="str">
        <f t="shared" si="0"/>
        <v>no ingresar</v>
      </c>
      <c r="Z5" s="59" t="s">
        <v>812</v>
      </c>
      <c r="AA5" s="59">
        <v>4213</v>
      </c>
      <c r="AB5" s="59">
        <f t="shared" si="1"/>
        <v>0</v>
      </c>
      <c r="AD5" s="59">
        <v>3</v>
      </c>
      <c r="AE5" s="59"/>
      <c r="AF5" s="59"/>
      <c r="AG5" s="267"/>
      <c r="AH5" s="267"/>
      <c r="AI5" s="267"/>
      <c r="AJ5" s="267"/>
      <c r="AK5" s="59"/>
      <c r="AL5" s="59"/>
      <c r="AM5" s="59"/>
      <c r="AN5" s="267"/>
    </row>
    <row r="6" spans="2:40" ht="11.25" customHeight="1" x14ac:dyDescent="0.2">
      <c r="B6" s="4" t="s">
        <v>546</v>
      </c>
      <c r="C6" s="62" t="s">
        <v>164</v>
      </c>
      <c r="D6" s="62"/>
      <c r="F6" s="1"/>
      <c r="I6" s="4" t="s">
        <v>12</v>
      </c>
      <c r="J6" s="7" t="str">
        <f>IFERROR(VLOOKUP(K6,DataBase!$AN$4:$AO$7,2,0),"")</f>
        <v/>
      </c>
      <c r="K6" s="8" t="s">
        <v>180</v>
      </c>
      <c r="X6" s="59" t="str">
        <f>IF(AB6&lt;&gt;0,(VLOOKUP(Z6,DataBase!AK$17:AN$24,3,0)),"")</f>
        <v/>
      </c>
      <c r="Y6" s="59" t="str">
        <f t="shared" si="0"/>
        <v>no ingresar</v>
      </c>
      <c r="Z6" s="59" t="s">
        <v>815</v>
      </c>
      <c r="AA6" s="59">
        <v>4321</v>
      </c>
      <c r="AB6" s="59">
        <f t="shared" si="1"/>
        <v>0</v>
      </c>
      <c r="AD6" s="59">
        <v>4</v>
      </c>
      <c r="AE6" s="59"/>
      <c r="AF6" s="59"/>
      <c r="AG6" s="267"/>
      <c r="AH6" s="267"/>
      <c r="AI6" s="267"/>
      <c r="AJ6" s="267"/>
      <c r="AK6" s="59"/>
      <c r="AL6" s="59"/>
      <c r="AM6" s="59"/>
      <c r="AN6" s="267"/>
    </row>
    <row r="7" spans="2:40" ht="11.25" customHeight="1" x14ac:dyDescent="0.2">
      <c r="B7" s="4" t="s">
        <v>547</v>
      </c>
      <c r="C7" s="62" t="s">
        <v>174</v>
      </c>
      <c r="D7" s="62"/>
      <c r="F7" s="11"/>
      <c r="G7" s="11"/>
      <c r="I7" s="4" t="s">
        <v>758</v>
      </c>
      <c r="J7" s="7" t="str">
        <f>IFERROR(VLOOKUP(K7,DataBase!$AK$27:$AL$28,2,0),"")</f>
        <v/>
      </c>
      <c r="K7" s="8" t="s">
        <v>197</v>
      </c>
      <c r="X7" s="59" t="str">
        <f>IF(AB7&lt;&gt;0,(VLOOKUP(Z7,DataBase!AK$17:AN$24,3,0)),"")</f>
        <v/>
      </c>
      <c r="Y7" s="59" t="str">
        <f t="shared" si="0"/>
        <v>no ingresar</v>
      </c>
      <c r="Z7" s="59" t="s">
        <v>816</v>
      </c>
      <c r="AA7" s="59">
        <v>4215</v>
      </c>
      <c r="AB7" s="59">
        <f t="shared" si="1"/>
        <v>0</v>
      </c>
      <c r="AD7" s="59">
        <v>5</v>
      </c>
      <c r="AE7" s="59"/>
      <c r="AF7" s="59"/>
      <c r="AG7" s="267"/>
      <c r="AH7" s="267"/>
      <c r="AI7" s="267"/>
      <c r="AJ7" s="267"/>
      <c r="AK7" s="59"/>
      <c r="AL7" s="59"/>
      <c r="AM7" s="59"/>
      <c r="AN7" s="267"/>
    </row>
    <row r="8" spans="2:40" ht="11.25" customHeight="1" x14ac:dyDescent="0.2">
      <c r="B8" s="4" t="s">
        <v>0</v>
      </c>
      <c r="C8" s="62" t="s">
        <v>168</v>
      </c>
      <c r="D8" s="62" t="str">
        <f>IFERROR((VLOOKUP(C8,DataBase!$A$4:$B$19,2,0)),"")</f>
        <v/>
      </c>
      <c r="F8" s="1"/>
      <c r="I8" s="4" t="s">
        <v>759</v>
      </c>
      <c r="J8" s="7" t="str">
        <f>IFERROR(VLOOKUP(K8,DataBase!$AK$31:$AL$34,2,0),"")</f>
        <v/>
      </c>
      <c r="K8" s="8" t="s">
        <v>181</v>
      </c>
      <c r="X8" s="59" t="str">
        <f>IF(AB8&lt;&gt;0,(VLOOKUP(Z8,DataBase!AK$17:AN$24,3,0)),"")</f>
        <v/>
      </c>
      <c r="Y8" s="59" t="str">
        <f t="shared" si="0"/>
        <v>no ingresar</v>
      </c>
      <c r="Z8" s="59" t="s">
        <v>813</v>
      </c>
      <c r="AA8" s="59">
        <v>4308</v>
      </c>
      <c r="AB8" s="59">
        <f t="shared" si="1"/>
        <v>0</v>
      </c>
      <c r="AD8" s="59">
        <v>6</v>
      </c>
      <c r="AE8" s="59"/>
      <c r="AF8" s="59"/>
      <c r="AG8" s="267"/>
      <c r="AH8" s="267"/>
      <c r="AI8" s="267"/>
      <c r="AJ8" s="267"/>
      <c r="AK8" s="59"/>
      <c r="AL8" s="59"/>
      <c r="AM8" s="59"/>
      <c r="AN8" s="267"/>
    </row>
    <row r="9" spans="2:40" ht="11.25" customHeight="1" x14ac:dyDescent="0.2">
      <c r="B9" s="4" t="s">
        <v>1</v>
      </c>
      <c r="C9" s="62" t="s">
        <v>169</v>
      </c>
      <c r="D9" s="62" t="str">
        <f>IFERROR((VLOOKUP(C9,DataBase!$A$22:$B$71,2,0)),"")</f>
        <v/>
      </c>
      <c r="F9" s="1"/>
      <c r="I9" s="4" t="s">
        <v>760</v>
      </c>
      <c r="J9" s="7" t="str">
        <f>IFERROR(VLOOKUP(K9,DataBase!$AK$37:$AL$40,2,0),"")</f>
        <v/>
      </c>
      <c r="K9" s="3" t="s">
        <v>198</v>
      </c>
      <c r="X9" s="59" t="str">
        <f>IF(AB9&lt;&gt;0,(VLOOKUP(Z9,DataBase!AK$17:AN$24,3,0)),"")</f>
        <v/>
      </c>
      <c r="Y9" s="59" t="str">
        <f t="shared" si="0"/>
        <v>no ingresar</v>
      </c>
      <c r="Z9" s="59" t="s">
        <v>814</v>
      </c>
      <c r="AA9" s="59">
        <v>4309</v>
      </c>
      <c r="AB9" s="59">
        <f t="shared" si="1"/>
        <v>0</v>
      </c>
      <c r="AD9" s="59">
        <v>7</v>
      </c>
      <c r="AE9" s="59"/>
      <c r="AF9" s="59"/>
      <c r="AG9" s="267"/>
      <c r="AH9" s="267"/>
      <c r="AI9" s="267"/>
      <c r="AJ9" s="267"/>
      <c r="AK9" s="59"/>
      <c r="AL9" s="59"/>
      <c r="AM9" s="59"/>
      <c r="AN9" s="267"/>
    </row>
    <row r="10" spans="2:40" ht="11.25" customHeight="1" x14ac:dyDescent="0.2">
      <c r="B10" s="4" t="s">
        <v>548</v>
      </c>
      <c r="C10" s="62" t="s">
        <v>210</v>
      </c>
      <c r="D10" s="62" t="s">
        <v>165</v>
      </c>
      <c r="F10" s="1"/>
      <c r="I10" s="4" t="s">
        <v>195</v>
      </c>
      <c r="J10" s="7" t="str">
        <f>IFERROR(VLOOKUP(K10,DataBase!$AQ$4:$AR$6,2,0),"")</f>
        <v/>
      </c>
      <c r="K10" s="8" t="s">
        <v>201</v>
      </c>
      <c r="X10" s="59" t="str">
        <f>IF(AB10&lt;&gt;0,(VLOOKUP(Z10,DataBase!AK$17:AN$24,3,0)),"")</f>
        <v/>
      </c>
      <c r="Y10" s="59" t="str">
        <f t="shared" si="0"/>
        <v>no ingresar</v>
      </c>
      <c r="Z10" s="59" t="s">
        <v>818</v>
      </c>
      <c r="AA10" s="59">
        <v>7136</v>
      </c>
      <c r="AB10" s="59">
        <f t="shared" si="1"/>
        <v>0</v>
      </c>
      <c r="AD10" s="59">
        <v>8</v>
      </c>
      <c r="AE10" s="59"/>
      <c r="AF10" s="59"/>
      <c r="AG10" s="267"/>
      <c r="AH10" s="267"/>
      <c r="AI10" s="267"/>
      <c r="AJ10" s="267"/>
      <c r="AK10" s="59"/>
      <c r="AL10" s="59"/>
      <c r="AM10" s="59"/>
      <c r="AN10" s="267"/>
    </row>
    <row r="11" spans="2:40" ht="11.25" customHeight="1" x14ac:dyDescent="0.2">
      <c r="B11" s="4" t="s">
        <v>549</v>
      </c>
      <c r="C11" s="62"/>
      <c r="D11" s="62" t="s">
        <v>550</v>
      </c>
      <c r="F11" s="1"/>
      <c r="H11" s="286"/>
      <c r="I11" s="4" t="s">
        <v>18</v>
      </c>
      <c r="J11" s="7" t="s">
        <v>207</v>
      </c>
      <c r="K11" s="8"/>
      <c r="X11" s="209" t="s">
        <v>1637</v>
      </c>
      <c r="Y11" s="209" t="s">
        <v>1638</v>
      </c>
      <c r="Z11" s="209" t="s">
        <v>1641</v>
      </c>
      <c r="AA11" s="209" t="s">
        <v>1642</v>
      </c>
      <c r="AD11" s="59">
        <v>9</v>
      </c>
      <c r="AE11" s="59"/>
      <c r="AF11" s="59"/>
      <c r="AG11" s="267"/>
      <c r="AH11" s="267"/>
      <c r="AI11" s="267"/>
      <c r="AJ11" s="267"/>
      <c r="AK11" s="59"/>
      <c r="AL11" s="59"/>
      <c r="AM11" s="59"/>
      <c r="AN11" s="267"/>
    </row>
    <row r="12" spans="2:40" ht="11.25" customHeight="1" x14ac:dyDescent="0.2">
      <c r="B12" s="4" t="s">
        <v>224</v>
      </c>
      <c r="C12" s="3" t="s">
        <v>211</v>
      </c>
      <c r="D12" s="62" t="s">
        <v>166</v>
      </c>
      <c r="F12" s="1"/>
      <c r="H12" s="286"/>
      <c r="I12" s="4" t="s">
        <v>761</v>
      </c>
      <c r="J12" s="7" t="str">
        <f>IFERROR(VLOOKUP(K12,DataBase!$AQ$14:$AR$15,2,0),"")</f>
        <v/>
      </c>
      <c r="K12" s="8" t="s">
        <v>199</v>
      </c>
      <c r="X12" s="59" t="s">
        <v>62</v>
      </c>
      <c r="Y12" s="59">
        <f>COUNTIF($X$3:$X$10,X12)</f>
        <v>0</v>
      </c>
      <c r="Z12" s="287" t="str">
        <f>IFERROR(VLOOKUP(AA12,DataBase!$AL$17:$AN$24,3,0),"")</f>
        <v/>
      </c>
      <c r="AA12" s="59" t="str">
        <f>IFERROR(VLOOKUP(X12,$X$3:$AB$10,4,0),"")</f>
        <v/>
      </c>
      <c r="AD12" s="59">
        <v>10</v>
      </c>
      <c r="AE12" s="59"/>
      <c r="AF12" s="59"/>
      <c r="AG12" s="267"/>
      <c r="AH12" s="267"/>
      <c r="AI12" s="267"/>
      <c r="AJ12" s="267"/>
      <c r="AK12" s="59"/>
      <c r="AL12" s="59"/>
      <c r="AM12" s="59"/>
      <c r="AN12" s="267"/>
    </row>
    <row r="13" spans="2:40" ht="11.25" customHeight="1" x14ac:dyDescent="0.2">
      <c r="B13" s="4" t="s">
        <v>47</v>
      </c>
      <c r="C13" s="62" t="str">
        <f>IFERROR(VLOOKUP(D13,DataBase!$D$4:$E$124,2,FALSE),"")</f>
        <v/>
      </c>
      <c r="D13" s="62" t="s">
        <v>167</v>
      </c>
      <c r="F13" s="1"/>
      <c r="H13" s="286"/>
      <c r="I13" s="4" t="s">
        <v>16</v>
      </c>
      <c r="J13" s="7" t="str">
        <f>IFERROR(VLOOKUP(K13,DataBase!$AQ$18:$AR$22,2,0),"")</f>
        <v/>
      </c>
      <c r="K13" s="12" t="s">
        <v>200</v>
      </c>
      <c r="X13" s="59" t="s">
        <v>29</v>
      </c>
      <c r="Y13" s="59">
        <f>COUNTIF($X$3:$X$10,X13)</f>
        <v>0</v>
      </c>
      <c r="Z13" s="287" t="str">
        <f>IFERROR(VLOOKUP(AA13,DataBase!$AL$17:$AN$24,3,0),"")</f>
        <v/>
      </c>
      <c r="AA13" s="59" t="str">
        <f>IFERROR(VLOOKUP(X13,$X$3:$AB$10,4,0),"")</f>
        <v/>
      </c>
      <c r="AD13" s="59">
        <v>11</v>
      </c>
      <c r="AE13" s="59"/>
      <c r="AF13" s="59"/>
      <c r="AG13" s="267"/>
      <c r="AH13" s="267"/>
      <c r="AI13" s="267"/>
      <c r="AJ13" s="267"/>
      <c r="AK13" s="59"/>
      <c r="AL13" s="59"/>
      <c r="AM13" s="59"/>
      <c r="AN13" s="267"/>
    </row>
    <row r="14" spans="2:40" ht="11.25" customHeight="1" x14ac:dyDescent="0.2">
      <c r="B14" s="4" t="s">
        <v>68</v>
      </c>
      <c r="C14" s="62" t="str">
        <f>IFERROR(VLOOKUP(D14,DataBase!$H$4:$I$5,2,FALSE),"")</f>
        <v/>
      </c>
      <c r="D14" s="62" t="s">
        <v>163</v>
      </c>
      <c r="F14" s="1"/>
      <c r="H14" s="286"/>
      <c r="I14" s="4" t="s">
        <v>17</v>
      </c>
      <c r="J14" s="9" t="str">
        <f>IFERROR(VLOOKUP(K14,DataBase!$AK$11:$AL$14,2,0),"")</f>
        <v/>
      </c>
      <c r="K14" s="12" t="s">
        <v>202</v>
      </c>
      <c r="AD14" s="59">
        <v>12</v>
      </c>
      <c r="AE14" s="59"/>
      <c r="AF14" s="59"/>
      <c r="AG14" s="267"/>
      <c r="AH14" s="267"/>
      <c r="AI14" s="267"/>
      <c r="AJ14" s="267"/>
      <c r="AK14" s="59"/>
      <c r="AL14" s="59"/>
      <c r="AM14" s="59"/>
      <c r="AN14" s="267"/>
    </row>
    <row r="15" spans="2:40" ht="11.25" customHeight="1" x14ac:dyDescent="0.2">
      <c r="B15" s="4" t="s">
        <v>3</v>
      </c>
      <c r="C15" s="62" t="s">
        <v>212</v>
      </c>
      <c r="D15" s="62" t="s">
        <v>170</v>
      </c>
      <c r="F15" s="1"/>
      <c r="H15" s="286"/>
      <c r="I15" s="4" t="s">
        <v>1644</v>
      </c>
      <c r="J15" s="9" t="str">
        <f>IFERROR(VLOOKUP(K15,DataBase!$BA$4:$BB$13,2,0),"")</f>
        <v/>
      </c>
      <c r="K15" s="12" t="s">
        <v>1643</v>
      </c>
      <c r="AD15" s="59">
        <v>13</v>
      </c>
      <c r="AE15" s="59"/>
      <c r="AF15" s="59"/>
      <c r="AG15" s="267"/>
      <c r="AH15" s="267"/>
      <c r="AI15" s="267"/>
      <c r="AJ15" s="267"/>
      <c r="AK15" s="59"/>
      <c r="AL15" s="59"/>
      <c r="AM15" s="59"/>
      <c r="AN15" s="267"/>
    </row>
    <row r="16" spans="2:40" ht="11.25" customHeight="1" x14ac:dyDescent="0.2">
      <c r="B16" s="4" t="s">
        <v>67</v>
      </c>
      <c r="C16" s="62" t="s">
        <v>560</v>
      </c>
      <c r="D16" s="62" t="s">
        <v>171</v>
      </c>
      <c r="E16" s="1" t="str">
        <f>IF(AND(GENIUS!U10="Luisa Hoyos",GENIUS!U19&lt;&gt;"Chile",GENIUS!U19&lt;&gt;"El Salvador",GENIUS!U19&lt;&gt;"Bolivia",GENIUS!U19&lt;&gt;"Dominican Republic"),"NO EMITIR, VERIFICAR","")</f>
        <v/>
      </c>
      <c r="F16" s="1"/>
      <c r="I16" s="368" t="s">
        <v>551</v>
      </c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70"/>
      <c r="AD16" s="59">
        <v>14</v>
      </c>
      <c r="AE16" s="59"/>
      <c r="AF16" s="59"/>
      <c r="AG16" s="267"/>
      <c r="AH16" s="267"/>
      <c r="AI16" s="267"/>
      <c r="AJ16" s="267"/>
      <c r="AK16" s="59"/>
      <c r="AL16" s="59"/>
      <c r="AM16" s="59"/>
      <c r="AN16" s="267"/>
    </row>
    <row r="17" spans="1:40" ht="11.25" customHeight="1" thickBot="1" x14ac:dyDescent="0.25">
      <c r="B17" s="4" t="s">
        <v>561</v>
      </c>
      <c r="C17" s="62" t="s">
        <v>694</v>
      </c>
      <c r="D17" s="62" t="str">
        <f>IFERROR(VLOOKUP(C17,DataBase!$H$8:$I$10,2,FALSE),"")</f>
        <v>Not Applicable</v>
      </c>
      <c r="F17" s="1"/>
      <c r="I17" s="74" t="s">
        <v>552</v>
      </c>
      <c r="J17" s="75" t="s">
        <v>553</v>
      </c>
      <c r="K17" s="74" t="s">
        <v>554</v>
      </c>
      <c r="L17" s="74" t="s">
        <v>555</v>
      </c>
      <c r="M17" s="74" t="s">
        <v>827</v>
      </c>
      <c r="N17" s="74" t="s">
        <v>539</v>
      </c>
      <c r="O17" s="74" t="s">
        <v>832</v>
      </c>
      <c r="P17" s="173" t="s">
        <v>540</v>
      </c>
      <c r="Q17" s="173" t="s">
        <v>556</v>
      </c>
      <c r="R17" s="74" t="s">
        <v>557</v>
      </c>
      <c r="S17" s="74" t="s">
        <v>541</v>
      </c>
      <c r="T17" s="74" t="s">
        <v>831</v>
      </c>
      <c r="U17" s="74" t="s">
        <v>558</v>
      </c>
      <c r="V17" s="74" t="s">
        <v>559</v>
      </c>
      <c r="AD17" s="59">
        <v>15</v>
      </c>
      <c r="AE17" s="59"/>
      <c r="AF17" s="59"/>
      <c r="AG17" s="267"/>
      <c r="AH17" s="267"/>
      <c r="AI17" s="267"/>
      <c r="AJ17" s="267"/>
      <c r="AK17" s="59"/>
      <c r="AL17" s="59"/>
      <c r="AM17" s="59"/>
      <c r="AN17" s="267"/>
    </row>
    <row r="18" spans="1:40" ht="11.25" customHeight="1" thickBot="1" x14ac:dyDescent="0.25">
      <c r="B18" s="4" t="s">
        <v>562</v>
      </c>
      <c r="C18" s="63" t="s">
        <v>172</v>
      </c>
      <c r="D18" s="63" t="s">
        <v>172</v>
      </c>
      <c r="E18" s="54">
        <v>44199</v>
      </c>
      <c r="F18" s="1"/>
      <c r="I18" s="270" t="s">
        <v>820</v>
      </c>
      <c r="J18" s="271" t="s">
        <v>829</v>
      </c>
      <c r="K18" s="272" t="s">
        <v>828</v>
      </c>
      <c r="L18" s="272" t="s">
        <v>830</v>
      </c>
      <c r="M18" s="273" t="str">
        <f>IFERROR(IF((VLOOKUP(K18,$AE$3:$AN$24,3,0))="","",(VLOOKUP(K18,$AE$3:$AN$24,3,0))),"")</f>
        <v/>
      </c>
      <c r="N18" s="273" t="str">
        <f>IFERROR(IF(VLOOKUP(K18,$AE$3:$AN$24,4,0)="","",VLOOKUP(K18,$AE$3:$AN$24,4,0)),"")</f>
        <v/>
      </c>
      <c r="O18" s="273" t="str">
        <f>IFERROR(IF(VLOOKUP(K18,$AE$3:$AN$24,10,0)="","",VLOOKUP(K18,$AE$3:$AN$24,10,0)),"")</f>
        <v/>
      </c>
      <c r="P18" s="273" t="str">
        <f>IFERROR(IF(VLOOKUP(K18,$AE$3:$AN$24,5,0)="","",VLOOKUP(K18,$AE$3:$AN$24,5,0)),"")</f>
        <v/>
      </c>
      <c r="Q18" s="273" t="str">
        <f>IFERROR(IF(VLOOKUP(K18,$AE$3:$AN$24,6,0)="","",VLOOKUP(K18,$AE$3:$AN$24,6,0)),"")</f>
        <v/>
      </c>
      <c r="R18" s="274" t="str">
        <f>IFERROR(Q18*360/DataBase!$AK$42,"")</f>
        <v/>
      </c>
      <c r="S18" s="273" t="str">
        <f>IFERROR(IF(VLOOKUP(K18,$AE$3:$AN$24,7,0)="","",VLOOKUP(K18,$AE$3:$AN$24,7,0)),"")</f>
        <v/>
      </c>
      <c r="T18" s="273" t="str">
        <f>IFERROR(IF(VLOOKUP(K18,$AE$3:$AN$24,9,0)="","",VLOOKUP(K18,$AE$3:$AN$24,9,0)),"")</f>
        <v/>
      </c>
      <c r="U18" s="275" t="str">
        <f>IFERROR((Q18*$C$78),"")</f>
        <v/>
      </c>
      <c r="V18" s="276" t="str">
        <f>IFERROR((N18*$C$78),"")</f>
        <v/>
      </c>
      <c r="AD18" s="59">
        <v>16</v>
      </c>
      <c r="AE18" s="59"/>
      <c r="AF18" s="59"/>
      <c r="AG18" s="267"/>
      <c r="AH18" s="267"/>
      <c r="AI18" s="267"/>
      <c r="AJ18" s="267"/>
      <c r="AK18" s="59"/>
      <c r="AL18" s="59"/>
      <c r="AM18" s="59"/>
      <c r="AN18" s="267"/>
    </row>
    <row r="19" spans="1:40" ht="11.25" customHeight="1" thickBot="1" x14ac:dyDescent="0.25">
      <c r="B19" s="4" t="s">
        <v>563</v>
      </c>
      <c r="C19" s="63" t="s">
        <v>173</v>
      </c>
      <c r="D19" s="62"/>
      <c r="E19" s="55" t="str">
        <f>IF(EFFECTIVE&lt;E18,"Antiguo","Nueva")</f>
        <v>Nueva</v>
      </c>
      <c r="F19" s="11"/>
      <c r="G19" s="11"/>
      <c r="H19" s="11"/>
      <c r="I19" s="380" t="s">
        <v>835</v>
      </c>
      <c r="J19" s="13" t="s">
        <v>829</v>
      </c>
      <c r="K19" s="14" t="s">
        <v>1650</v>
      </c>
      <c r="L19" s="14" t="s">
        <v>830</v>
      </c>
      <c r="M19" s="15" t="str">
        <f>IFERROR(IF((VLOOKUP(K19,$AE$3:$AN$24,3,0))="","",(VLOOKUP(K19,$AE$3:$AN$24,3,0))),"")</f>
        <v/>
      </c>
      <c r="N19" s="15" t="str">
        <f>IFERROR(IF(VLOOKUP(K19,$AE$3:$AN$24,4,0)="","",VLOOKUP(K19,$AE$3:$AN$24,4,0)),"")</f>
        <v/>
      </c>
      <c r="O19" s="15" t="str">
        <f>IFERROR(IF(VLOOKUP(K19,$AE$3:$AN$24,10,0)="","",VLOOKUP(K19,$AE$3:$AN$24,10,0)),"")</f>
        <v/>
      </c>
      <c r="P19" s="15" t="str">
        <f>IFERROR(IF(VLOOKUP(K19,$AE$3:$AN$24,5,0)="","",VLOOKUP(K19,$AE$3:$AN$24,5,0)),"")</f>
        <v/>
      </c>
      <c r="Q19" s="15" t="str">
        <f>IFERROR(IF(VLOOKUP(K19,$AE$3:$AN$24,6,0)="","",VLOOKUP(K19,$AE$3:$AN$24,6,0)),"")</f>
        <v/>
      </c>
      <c r="R19" s="274" t="str">
        <f>IFERROR(Q19*360/DataBase!$AK$42,"")</f>
        <v/>
      </c>
      <c r="S19" s="15" t="str">
        <f>IFERROR(IF(VLOOKUP(K19,$AE$3:$AN$24,7,0)="","",VLOOKUP(K19,$AE$3:$AN$24,7,0)),"")</f>
        <v/>
      </c>
      <c r="T19" s="15" t="str">
        <f>IFERROR(IF(VLOOKUP(K19,$AE$3:$AN$24,9,0)="","",VLOOKUP(K19,$AE$3:$AN$24,9,0)),"")</f>
        <v/>
      </c>
      <c r="U19" s="16" t="str">
        <f>IFERROR((Q19*$C$78),"")</f>
        <v/>
      </c>
      <c r="V19" s="277" t="str">
        <f>IFERROR((N19*$C$78),"")</f>
        <v/>
      </c>
      <c r="AD19" s="59">
        <v>17</v>
      </c>
      <c r="AE19" s="59"/>
      <c r="AF19" s="59"/>
      <c r="AG19" s="267"/>
      <c r="AH19" s="267"/>
      <c r="AI19" s="267"/>
      <c r="AJ19" s="267"/>
      <c r="AK19" s="59"/>
      <c r="AL19" s="59"/>
      <c r="AM19" s="59"/>
      <c r="AN19" s="267"/>
    </row>
    <row r="20" spans="1:40" ht="11.25" customHeight="1" thickBot="1" x14ac:dyDescent="0.25">
      <c r="B20" s="4" t="s">
        <v>71</v>
      </c>
      <c r="C20" s="63" t="str">
        <f ca="1">IF(C7&lt;&gt;"","Don't Change",(TODAY()))</f>
        <v>Don't Change</v>
      </c>
      <c r="D20" s="62"/>
      <c r="E20" s="11" t="s">
        <v>564</v>
      </c>
      <c r="F20" s="11"/>
      <c r="G20" s="11"/>
      <c r="H20" s="11"/>
      <c r="I20" s="381"/>
      <c r="J20" s="382" t="s">
        <v>1651</v>
      </c>
      <c r="K20" s="382"/>
      <c r="L20" s="265" t="s">
        <v>836</v>
      </c>
      <c r="M20" s="278"/>
      <c r="N20" s="278"/>
      <c r="O20" s="279"/>
      <c r="P20" s="278"/>
      <c r="Q20" s="278"/>
      <c r="R20" s="274" t="str">
        <f>IFERROR(Q20*360/DataBase!$AK$42,"")</f>
        <v/>
      </c>
      <c r="S20" s="280"/>
      <c r="T20" s="280"/>
      <c r="U20" s="278" t="str">
        <f>IFERROR((Q20*$C$78),"")</f>
        <v/>
      </c>
      <c r="V20" s="281"/>
      <c r="AD20" s="59">
        <v>18</v>
      </c>
      <c r="AE20" s="59"/>
      <c r="AF20" s="59"/>
      <c r="AG20" s="267"/>
      <c r="AH20" s="267"/>
      <c r="AI20" s="267"/>
      <c r="AJ20" s="267"/>
      <c r="AK20" s="59"/>
      <c r="AL20" s="59"/>
      <c r="AM20" s="59"/>
      <c r="AN20" s="267"/>
    </row>
    <row r="21" spans="1:40" ht="11.25" customHeight="1" thickBot="1" x14ac:dyDescent="0.25">
      <c r="B21" s="4" t="s">
        <v>73</v>
      </c>
      <c r="C21" s="62" t="str">
        <f>IFERROR(VLOOKUP(D21,DataBase!$H$13:$I$14,2,FALSE),"")</f>
        <v/>
      </c>
      <c r="D21" s="62" t="s">
        <v>208</v>
      </c>
      <c r="E21" s="18"/>
      <c r="F21" s="18"/>
      <c r="G21" s="18"/>
      <c r="H21" s="18"/>
      <c r="I21" s="270" t="s">
        <v>1652</v>
      </c>
      <c r="J21" s="271" t="s">
        <v>603</v>
      </c>
      <c r="K21" s="282" t="s">
        <v>833</v>
      </c>
      <c r="L21" s="272" t="s">
        <v>605</v>
      </c>
      <c r="M21" s="275"/>
      <c r="N21" s="273"/>
      <c r="O21" s="274"/>
      <c r="P21" s="275"/>
      <c r="Q21" s="275" t="str">
        <f>IFERROR(IF(J45&lt;&gt;"L046","",IF(VLOOKUP(K21,$AE$3:$AN$24,6,0)="","",VLOOKUP(K21,$AE$3:$AN$24,6,0))),"")</f>
        <v/>
      </c>
      <c r="R21" s="274" t="str">
        <f>IFERROR(Q21*360/DataBase!$AK$42,"")</f>
        <v/>
      </c>
      <c r="S21" s="283"/>
      <c r="T21" s="283"/>
      <c r="U21" s="275" t="str">
        <f>IFERROR((Q21*$C$78),"")</f>
        <v/>
      </c>
      <c r="V21" s="276"/>
      <c r="AD21" s="59">
        <v>19</v>
      </c>
      <c r="AE21" s="59"/>
      <c r="AF21" s="59"/>
      <c r="AG21" s="267"/>
      <c r="AH21" s="267"/>
      <c r="AI21" s="267"/>
      <c r="AJ21" s="267"/>
      <c r="AK21" s="59"/>
      <c r="AL21" s="59"/>
      <c r="AM21" s="59"/>
      <c r="AN21" s="267"/>
    </row>
    <row r="22" spans="1:40" ht="11.25" customHeight="1" x14ac:dyDescent="0.2">
      <c r="B22" s="4" t="s">
        <v>46</v>
      </c>
      <c r="C22" s="62" t="str">
        <f>IFERROR(VLOOKUP(D22,DataBase!$D$4:$E$124,2,FALSE),"")</f>
        <v/>
      </c>
      <c r="D22" s="62" t="s">
        <v>162</v>
      </c>
      <c r="F22" s="1"/>
      <c r="I22" s="268"/>
      <c r="AD22" s="59">
        <v>20</v>
      </c>
      <c r="AE22" s="59"/>
      <c r="AF22" s="59"/>
      <c r="AG22" s="267"/>
      <c r="AH22" s="267"/>
      <c r="AI22" s="267"/>
      <c r="AJ22" s="267"/>
      <c r="AK22" s="59"/>
      <c r="AL22" s="59"/>
      <c r="AM22" s="59"/>
      <c r="AN22" s="267"/>
    </row>
    <row r="23" spans="1:40" ht="11.25" customHeight="1" x14ac:dyDescent="0.2">
      <c r="A23" s="18"/>
      <c r="B23" s="4" t="s">
        <v>565</v>
      </c>
      <c r="C23" s="62" t="str">
        <f>IFERROR(VLOOKUP(D23,DataBase!$AG$3:$AI$30,3,0),"")</f>
        <v/>
      </c>
      <c r="D23" s="19" t="s">
        <v>240</v>
      </c>
      <c r="I23" s="56" t="s">
        <v>1645</v>
      </c>
      <c r="J23" s="59"/>
      <c r="K23" s="59" t="s">
        <v>1646</v>
      </c>
      <c r="AD23" s="59">
        <v>21</v>
      </c>
      <c r="AE23" s="59"/>
      <c r="AF23" s="59"/>
      <c r="AG23" s="267"/>
      <c r="AH23" s="267"/>
      <c r="AI23" s="267"/>
      <c r="AJ23" s="267"/>
      <c r="AK23" s="59"/>
      <c r="AL23" s="59"/>
      <c r="AM23" s="59"/>
      <c r="AN23" s="267"/>
    </row>
    <row r="24" spans="1:40" ht="11.25" customHeight="1" x14ac:dyDescent="0.2">
      <c r="B24" s="4" t="s">
        <v>1787</v>
      </c>
      <c r="C24" s="62" t="str">
        <f>+DataBase!BH17</f>
        <v/>
      </c>
      <c r="D24" s="62" t="str">
        <f>+DataBase!BG17</f>
        <v/>
      </c>
      <c r="E24" s="11" t="s">
        <v>567</v>
      </c>
      <c r="F24" s="11"/>
      <c r="G24" s="11"/>
      <c r="H24" s="11"/>
      <c r="I24" s="56" t="s">
        <v>1647</v>
      </c>
      <c r="J24" s="59" t="str">
        <f>IFERROR(VLOOKUP(K24,DataBase!$AK$17:$AN$24,3,0),"")</f>
        <v/>
      </c>
      <c r="K24" s="59" t="s">
        <v>1648</v>
      </c>
      <c r="AD24" s="59">
        <v>22</v>
      </c>
      <c r="AE24" s="59"/>
      <c r="AF24" s="59"/>
      <c r="AG24" s="267"/>
      <c r="AH24" s="267"/>
      <c r="AI24" s="267"/>
      <c r="AJ24" s="267"/>
      <c r="AK24" s="59"/>
      <c r="AL24" s="59"/>
      <c r="AM24" s="59"/>
      <c r="AN24" s="267"/>
    </row>
    <row r="25" spans="1:40" ht="11.25" customHeight="1" x14ac:dyDescent="0.2">
      <c r="B25" s="4" t="s">
        <v>5</v>
      </c>
      <c r="C25" s="62" t="str">
        <f>IFERROR(VLOOKUP(D25,DataBase!$H$17:$I$19,2,0),"")</f>
        <v/>
      </c>
      <c r="D25" s="62" t="str">
        <f>IF(E25="",DataBase!H19,E25)</f>
        <v>&amp;=Master.OPPORTUNITY_COVERAGE_TRIGGER_UL</v>
      </c>
      <c r="E25" s="253" t="s">
        <v>825</v>
      </c>
      <c r="F25" s="1"/>
      <c r="I25" s="268"/>
    </row>
    <row r="26" spans="1:40" ht="11.25" customHeight="1" x14ac:dyDescent="0.2">
      <c r="B26" s="4" t="s">
        <v>568</v>
      </c>
      <c r="C26" s="19" t="str">
        <f>IFERROR(VLOOKUP(D26,DataBase!$BD$4:$BE$7,2,0),"")</f>
        <v/>
      </c>
      <c r="D26" s="19" t="s">
        <v>569</v>
      </c>
      <c r="F26" s="1"/>
      <c r="I26" s="268"/>
      <c r="J26" s="364"/>
      <c r="K26" s="362"/>
      <c r="L26" s="363"/>
      <c r="M26" s="269"/>
      <c r="N26" s="269"/>
      <c r="O26" s="269"/>
      <c r="P26" s="269"/>
      <c r="Q26" s="269"/>
      <c r="R26" s="269"/>
      <c r="S26" s="269"/>
      <c r="T26" s="269"/>
      <c r="U26" s="269"/>
      <c r="V26" s="269"/>
    </row>
    <row r="27" spans="1:40" ht="11.25" customHeight="1" x14ac:dyDescent="0.2">
      <c r="B27" s="368" t="s">
        <v>570</v>
      </c>
      <c r="C27" s="369"/>
      <c r="D27" s="370"/>
      <c r="E27" s="286"/>
      <c r="G27" s="286"/>
      <c r="H27" s="286"/>
      <c r="I27" s="268"/>
      <c r="J27" s="364"/>
      <c r="K27" s="362"/>
      <c r="L27" s="363"/>
      <c r="M27" s="269"/>
      <c r="N27" s="269"/>
      <c r="O27" s="269"/>
      <c r="P27" s="269"/>
      <c r="Q27" s="269"/>
      <c r="R27" s="269"/>
      <c r="S27" s="269"/>
      <c r="T27" s="269"/>
      <c r="U27" s="269"/>
      <c r="V27" s="269"/>
    </row>
    <row r="28" spans="1:40" ht="11.25" customHeight="1" x14ac:dyDescent="0.2">
      <c r="A28" s="20"/>
      <c r="B28" s="4" t="s">
        <v>571</v>
      </c>
      <c r="C28" s="7" t="str">
        <f>IF(C29=1,"SGL","OTH")</f>
        <v>OTH</v>
      </c>
      <c r="D28" s="62" t="str">
        <f>IF(C29=1,"SINGLE","OTHER")</f>
        <v>OTHER</v>
      </c>
      <c r="F28" s="21"/>
      <c r="G28" s="21"/>
      <c r="H28" s="21"/>
      <c r="I28" s="384" t="s">
        <v>572</v>
      </c>
      <c r="J28" s="384"/>
      <c r="K28" s="384"/>
    </row>
    <row r="29" spans="1:40" ht="11.25" customHeight="1" x14ac:dyDescent="0.2">
      <c r="A29" s="20"/>
      <c r="B29" s="4" t="s">
        <v>50</v>
      </c>
      <c r="C29" s="8" t="str">
        <f>IF(H37&gt;0,H37,H36)</f>
        <v>&amp;=Master.OPPORTUNITY_NUMBEROFINSTALMENTS</v>
      </c>
      <c r="D29" s="22">
        <v>1</v>
      </c>
      <c r="G29" s="286"/>
      <c r="H29" s="286"/>
      <c r="I29" s="285" t="s">
        <v>542</v>
      </c>
      <c r="J29" s="285" t="s">
        <v>543</v>
      </c>
      <c r="K29" s="285" t="s">
        <v>544</v>
      </c>
    </row>
    <row r="30" spans="1:40" ht="11.25" customHeight="1" x14ac:dyDescent="0.2">
      <c r="B30" s="4" t="s">
        <v>573</v>
      </c>
      <c r="C30" s="8" t="s">
        <v>177</v>
      </c>
      <c r="D30" s="7" t="str">
        <f>IFERROR(VLOOKUP(C30,DataBase!$K$4:$L$19,2,0),"")</f>
        <v/>
      </c>
      <c r="E30" s="286"/>
      <c r="G30" s="286"/>
      <c r="H30" s="286"/>
      <c r="I30" s="8" t="s">
        <v>213</v>
      </c>
      <c r="J30" s="62" t="str">
        <f>IFERROR((VLOOKUP(K30,DataBase!$BA$16:$BB$18,2,0)),"")</f>
        <v/>
      </c>
      <c r="K30" s="23" t="s">
        <v>214</v>
      </c>
    </row>
    <row r="31" spans="1:40" ht="11.25" customHeight="1" x14ac:dyDescent="0.2">
      <c r="B31" s="4" t="s">
        <v>574</v>
      </c>
      <c r="C31" s="7" t="str">
        <f>IFERROR((IF(E31="","PRO",VLOOKUP(D31,DataBase!$N$4:$O$8,2,0))),"")</f>
        <v/>
      </c>
      <c r="D31" s="62" t="str">
        <f>IF(E31="","Pro-Rata",E31)</f>
        <v>&amp;=Master.OPPORTUNITY_CANCELLATION</v>
      </c>
      <c r="E31" s="253" t="s">
        <v>575</v>
      </c>
      <c r="F31" s="24"/>
      <c r="G31" s="24"/>
      <c r="H31" s="24"/>
      <c r="I31" s="8" t="s">
        <v>215</v>
      </c>
      <c r="J31" s="23" t="s">
        <v>177</v>
      </c>
      <c r="K31" s="62" t="str">
        <f>IFERROR((VLOOKUP(J31,DataBase!$K$4:$L$19,2,0)),"")</f>
        <v/>
      </c>
    </row>
    <row r="32" spans="1:40" ht="11.25" customHeight="1" x14ac:dyDescent="0.2">
      <c r="A32" s="20"/>
      <c r="B32" s="4" t="s">
        <v>203</v>
      </c>
      <c r="C32" s="7" t="s">
        <v>576</v>
      </c>
      <c r="D32" s="62"/>
      <c r="F32" s="1"/>
      <c r="I32" s="8" t="s">
        <v>216</v>
      </c>
      <c r="J32" s="23" t="s">
        <v>217</v>
      </c>
      <c r="K32" s="62"/>
    </row>
    <row r="33" spans="1:12" ht="11.25" customHeight="1" x14ac:dyDescent="0.2">
      <c r="B33" s="25" t="s">
        <v>204</v>
      </c>
      <c r="C33" s="26" t="s">
        <v>205</v>
      </c>
      <c r="D33" s="27"/>
      <c r="E33" s="286"/>
      <c r="G33" s="286"/>
      <c r="H33" s="286"/>
      <c r="I33" s="8" t="s">
        <v>218</v>
      </c>
      <c r="J33" s="23" t="s">
        <v>219</v>
      </c>
      <c r="K33" s="62"/>
    </row>
    <row r="34" spans="1:12" ht="11.25" customHeight="1" x14ac:dyDescent="0.2">
      <c r="A34" s="20"/>
      <c r="B34" s="385" t="s">
        <v>184</v>
      </c>
      <c r="C34" s="386"/>
      <c r="D34" s="386"/>
      <c r="E34" s="386"/>
      <c r="F34" s="386"/>
      <c r="G34" s="386"/>
      <c r="I34" s="8" t="s">
        <v>220</v>
      </c>
      <c r="J34" s="28" t="e">
        <f>IF(L34="","",(+L34/100))</f>
        <v>#VALUE!</v>
      </c>
      <c r="K34" s="62"/>
      <c r="L34" s="29" t="s">
        <v>221</v>
      </c>
    </row>
    <row r="35" spans="1:12" ht="11.25" customHeight="1" x14ac:dyDescent="0.2">
      <c r="B35" s="30" t="s">
        <v>577</v>
      </c>
      <c r="C35" s="30" t="s">
        <v>578</v>
      </c>
      <c r="D35" s="30" t="s">
        <v>51</v>
      </c>
      <c r="E35" s="30" t="s">
        <v>579</v>
      </c>
      <c r="F35" s="30" t="s">
        <v>580</v>
      </c>
      <c r="G35" s="30"/>
      <c r="H35" s="286"/>
      <c r="I35" s="383" t="s">
        <v>243</v>
      </c>
      <c r="J35" s="383"/>
      <c r="K35" s="383"/>
    </row>
    <row r="36" spans="1:12" ht="11.25" customHeight="1" x14ac:dyDescent="0.2">
      <c r="A36" s="20">
        <v>1</v>
      </c>
      <c r="B36" s="17" t="str">
        <f>IFERROR(IF($H$37&gt;=A36,E36,(IF(((C18+C33)&lt;DataBase!L21),DataBase!L21+C33,C18+C33))),"")</f>
        <v>&amp;=Instalments.INSTALMENT_DATE(Noadd)</v>
      </c>
      <c r="C36" s="62" t="e">
        <f>IF(B36="","",(B36-$C$18))</f>
        <v>#VALUE!</v>
      </c>
      <c r="D36" s="31" t="e">
        <f>IF($H$37&lt;&gt;0,F36,IF(B36&lt;&gt;"",(1/$C$29),""))</f>
        <v>#VALUE!</v>
      </c>
      <c r="E36" s="17" t="s">
        <v>185</v>
      </c>
      <c r="F36" s="31" t="e">
        <f>IF(G36="","",(G36/100))</f>
        <v>#VALUE!</v>
      </c>
      <c r="G36" s="32" t="s">
        <v>581</v>
      </c>
      <c r="H36" s="21" t="s">
        <v>193</v>
      </c>
      <c r="I36" s="285" t="s">
        <v>542</v>
      </c>
      <c r="J36" s="285" t="s">
        <v>543</v>
      </c>
      <c r="K36" s="285" t="s">
        <v>544</v>
      </c>
    </row>
    <row r="37" spans="1:12" ht="11.25" customHeight="1" x14ac:dyDescent="0.25">
      <c r="A37" s="20">
        <v>2</v>
      </c>
      <c r="B37" s="17">
        <f>IF($H$37&gt;=A37,E37,IF($C$29&gt;=A37,B36+$C$33,""))</f>
        <v>0</v>
      </c>
      <c r="C37" s="62" t="e">
        <f>IF(B37="","",(B37-$C$18))</f>
        <v>#VALUE!</v>
      </c>
      <c r="D37" s="31" t="str">
        <f>IF($H$37&lt;&gt;0,F37,IF(B37&lt;&gt;"",(1/$C$29),""))</f>
        <v/>
      </c>
      <c r="E37" s="17"/>
      <c r="F37" s="31" t="str">
        <f>IF(G37="","",(G37/100))</f>
        <v/>
      </c>
      <c r="G37" s="32"/>
      <c r="H37" s="21" t="s">
        <v>178</v>
      </c>
      <c r="I37" s="62" t="s">
        <v>244</v>
      </c>
      <c r="J37" s="62" t="str">
        <f>IFERROR(VLOOKUP(K37,DataBase!$BA$29:$BB$37,2,FALSE),"")</f>
        <v/>
      </c>
      <c r="K37" s="33" t="s">
        <v>245</v>
      </c>
    </row>
    <row r="38" spans="1:12" ht="11.25" customHeight="1" x14ac:dyDescent="0.25">
      <c r="A38" s="20">
        <v>3</v>
      </c>
      <c r="B38" s="17">
        <f t="shared" ref="B38:B73" si="2">IF($H$37&gt;=A38,E38,IF($C$29&gt;=A38,B37+$C$33,""))</f>
        <v>0</v>
      </c>
      <c r="C38" s="62" t="e">
        <f t="shared" ref="C38:C73" si="3">IF(B38="","",(B38-$C$18))</f>
        <v>#VALUE!</v>
      </c>
      <c r="D38" s="31" t="str">
        <f t="shared" ref="D38:D73" si="4">IF($H$37&lt;&gt;0,F38,IF(B38&lt;&gt;"",(1/$C$29),""))</f>
        <v/>
      </c>
      <c r="E38" s="17"/>
      <c r="F38" s="31" t="str">
        <f t="shared" ref="F38:F73" si="5">IF(G38="","",(G38/100))</f>
        <v/>
      </c>
      <c r="G38" s="32"/>
      <c r="I38" s="62" t="s">
        <v>246</v>
      </c>
      <c r="J38" s="35" t="s">
        <v>247</v>
      </c>
      <c r="K38" s="34"/>
    </row>
    <row r="39" spans="1:12" ht="11.25" customHeight="1" x14ac:dyDescent="0.25">
      <c r="A39" s="20">
        <v>4</v>
      </c>
      <c r="B39" s="17">
        <f t="shared" si="2"/>
        <v>0</v>
      </c>
      <c r="C39" s="62" t="e">
        <f t="shared" si="3"/>
        <v>#VALUE!</v>
      </c>
      <c r="D39" s="31" t="str">
        <f t="shared" si="4"/>
        <v/>
      </c>
      <c r="E39" s="17"/>
      <c r="F39" s="31" t="str">
        <f t="shared" si="5"/>
        <v/>
      </c>
      <c r="G39" s="32"/>
      <c r="I39" s="62" t="s">
        <v>248</v>
      </c>
      <c r="J39" s="62" t="str">
        <f>IFERROR(VLOOKUP(K39,DataBase!$BA$21:$BB$26,2,FALSE),"")</f>
        <v/>
      </c>
      <c r="K39" s="33" t="s">
        <v>249</v>
      </c>
    </row>
    <row r="40" spans="1:12" ht="11.25" customHeight="1" x14ac:dyDescent="0.2">
      <c r="A40" s="20">
        <v>5</v>
      </c>
      <c r="B40" s="17">
        <f t="shared" si="2"/>
        <v>0</v>
      </c>
      <c r="C40" s="62" t="e">
        <f t="shared" si="3"/>
        <v>#VALUE!</v>
      </c>
      <c r="D40" s="31" t="str">
        <f t="shared" si="4"/>
        <v/>
      </c>
      <c r="E40" s="17"/>
      <c r="F40" s="31" t="str">
        <f t="shared" si="5"/>
        <v/>
      </c>
      <c r="G40" s="32"/>
      <c r="I40" s="383" t="s">
        <v>582</v>
      </c>
      <c r="J40" s="383"/>
      <c r="K40" s="383"/>
    </row>
    <row r="41" spans="1:12" ht="11.25" customHeight="1" x14ac:dyDescent="0.2">
      <c r="A41" s="20">
        <v>6</v>
      </c>
      <c r="B41" s="17">
        <f t="shared" si="2"/>
        <v>0</v>
      </c>
      <c r="C41" s="62" t="e">
        <f t="shared" si="3"/>
        <v>#VALUE!</v>
      </c>
      <c r="D41" s="31" t="str">
        <f t="shared" si="4"/>
        <v/>
      </c>
      <c r="E41" s="17"/>
      <c r="F41" s="31" t="str">
        <f t="shared" si="5"/>
        <v/>
      </c>
      <c r="G41" s="32"/>
      <c r="I41" s="285" t="s">
        <v>542</v>
      </c>
      <c r="J41" s="285" t="s">
        <v>543</v>
      </c>
      <c r="K41" s="285" t="s">
        <v>544</v>
      </c>
    </row>
    <row r="42" spans="1:12" ht="11.25" customHeight="1" x14ac:dyDescent="0.2">
      <c r="A42" s="20">
        <v>7</v>
      </c>
      <c r="B42" s="17">
        <f t="shared" si="2"/>
        <v>0</v>
      </c>
      <c r="C42" s="62" t="e">
        <f t="shared" si="3"/>
        <v>#VALUE!</v>
      </c>
      <c r="D42" s="31" t="str">
        <f t="shared" si="4"/>
        <v/>
      </c>
      <c r="E42" s="17"/>
      <c r="F42" s="31" t="str">
        <f t="shared" si="5"/>
        <v/>
      </c>
      <c r="G42" s="32"/>
      <c r="I42" s="3" t="s">
        <v>36</v>
      </c>
      <c r="J42" s="23" t="s">
        <v>206</v>
      </c>
      <c r="K42" s="2"/>
    </row>
    <row r="43" spans="1:12" ht="11.25" customHeight="1" x14ac:dyDescent="0.2">
      <c r="A43" s="20">
        <v>8</v>
      </c>
      <c r="B43" s="17">
        <f t="shared" si="2"/>
        <v>0</v>
      </c>
      <c r="C43" s="62" t="e">
        <f t="shared" si="3"/>
        <v>#VALUE!</v>
      </c>
      <c r="D43" s="31" t="str">
        <f t="shared" si="4"/>
        <v/>
      </c>
      <c r="E43" s="17"/>
      <c r="F43" s="31" t="str">
        <f t="shared" si="5"/>
        <v/>
      </c>
      <c r="G43" s="32"/>
      <c r="I43" s="379" t="s">
        <v>1649</v>
      </c>
      <c r="J43" s="379"/>
      <c r="K43" s="379"/>
    </row>
    <row r="44" spans="1:12" ht="11.25" customHeight="1" x14ac:dyDescent="0.2">
      <c r="A44" s="20">
        <v>9</v>
      </c>
      <c r="B44" s="17">
        <f t="shared" si="2"/>
        <v>0</v>
      </c>
      <c r="C44" s="62" t="e">
        <f t="shared" si="3"/>
        <v>#VALUE!</v>
      </c>
      <c r="D44" s="31" t="str">
        <f t="shared" si="4"/>
        <v/>
      </c>
      <c r="E44" s="17"/>
      <c r="F44" s="31" t="str">
        <f t="shared" si="5"/>
        <v/>
      </c>
      <c r="G44" s="32"/>
      <c r="I44" s="144" t="s">
        <v>542</v>
      </c>
      <c r="J44" s="144" t="s">
        <v>543</v>
      </c>
      <c r="K44" s="144" t="s">
        <v>544</v>
      </c>
    </row>
    <row r="45" spans="1:12" ht="11.25" customHeight="1" x14ac:dyDescent="0.2">
      <c r="A45" s="20">
        <v>10</v>
      </c>
      <c r="B45" s="17">
        <f t="shared" si="2"/>
        <v>0</v>
      </c>
      <c r="C45" s="62" t="e">
        <f t="shared" si="3"/>
        <v>#VALUE!</v>
      </c>
      <c r="D45" s="31" t="str">
        <f t="shared" si="4"/>
        <v/>
      </c>
      <c r="E45" s="17"/>
      <c r="F45" s="31" t="str">
        <f t="shared" si="5"/>
        <v/>
      </c>
      <c r="G45" s="32"/>
      <c r="I45" s="64"/>
      <c r="J45" s="23" t="str">
        <f>+$C$5</f>
        <v/>
      </c>
      <c r="K45" s="23" t="str">
        <f>+$D$5</f>
        <v>&amp;=Master.OPPORTUNITY_TERRORISM_INCLUSION_EXCLUSION</v>
      </c>
    </row>
    <row r="46" spans="1:12" ht="11.25" customHeight="1" x14ac:dyDescent="0.2">
      <c r="A46" s="20">
        <v>11</v>
      </c>
      <c r="B46" s="17">
        <f t="shared" si="2"/>
        <v>0</v>
      </c>
      <c r="C46" s="62" t="e">
        <f t="shared" si="3"/>
        <v>#VALUE!</v>
      </c>
      <c r="D46" s="31" t="str">
        <f t="shared" si="4"/>
        <v/>
      </c>
      <c r="E46" s="17"/>
      <c r="F46" s="31" t="str">
        <f t="shared" si="5"/>
        <v/>
      </c>
      <c r="G46" s="32"/>
    </row>
    <row r="47" spans="1:12" ht="11.25" customHeight="1" x14ac:dyDescent="0.2">
      <c r="A47" s="20">
        <v>12</v>
      </c>
      <c r="B47" s="17">
        <f t="shared" si="2"/>
        <v>0</v>
      </c>
      <c r="C47" s="62" t="e">
        <f t="shared" si="3"/>
        <v>#VALUE!</v>
      </c>
      <c r="D47" s="31" t="str">
        <f t="shared" si="4"/>
        <v/>
      </c>
      <c r="E47" s="17"/>
      <c r="F47" s="31" t="str">
        <f t="shared" si="5"/>
        <v/>
      </c>
      <c r="G47" s="32"/>
    </row>
    <row r="48" spans="1:12" ht="11.25" customHeight="1" x14ac:dyDescent="0.2">
      <c r="A48" s="20">
        <v>13</v>
      </c>
      <c r="B48" s="17">
        <f t="shared" si="2"/>
        <v>0</v>
      </c>
      <c r="C48" s="62" t="e">
        <f t="shared" si="3"/>
        <v>#VALUE!</v>
      </c>
      <c r="D48" s="31" t="str">
        <f t="shared" si="4"/>
        <v/>
      </c>
      <c r="E48" s="17"/>
      <c r="F48" s="31" t="str">
        <f t="shared" si="5"/>
        <v/>
      </c>
      <c r="G48" s="32"/>
    </row>
    <row r="49" spans="1:39" ht="11.25" customHeight="1" x14ac:dyDescent="0.2">
      <c r="A49" s="20">
        <v>14</v>
      </c>
      <c r="B49" s="17">
        <f t="shared" si="2"/>
        <v>0</v>
      </c>
      <c r="C49" s="62" t="e">
        <f t="shared" si="3"/>
        <v>#VALUE!</v>
      </c>
      <c r="D49" s="31" t="str">
        <f t="shared" si="4"/>
        <v/>
      </c>
      <c r="E49" s="17"/>
      <c r="F49" s="31" t="str">
        <f t="shared" si="5"/>
        <v/>
      </c>
      <c r="G49" s="32"/>
    </row>
    <row r="50" spans="1:39" ht="11.25" customHeight="1" x14ac:dyDescent="0.2">
      <c r="A50" s="20">
        <v>15</v>
      </c>
      <c r="B50" s="17">
        <f t="shared" si="2"/>
        <v>0</v>
      </c>
      <c r="C50" s="62" t="e">
        <f t="shared" si="3"/>
        <v>#VALUE!</v>
      </c>
      <c r="D50" s="31" t="str">
        <f t="shared" si="4"/>
        <v/>
      </c>
      <c r="E50" s="17"/>
      <c r="F50" s="31" t="str">
        <f t="shared" si="5"/>
        <v/>
      </c>
      <c r="G50" s="32"/>
    </row>
    <row r="51" spans="1:39" ht="11.25" customHeight="1" x14ac:dyDescent="0.2">
      <c r="A51" s="20">
        <v>16</v>
      </c>
      <c r="B51" s="17">
        <f t="shared" si="2"/>
        <v>0</v>
      </c>
      <c r="C51" s="62" t="e">
        <f t="shared" si="3"/>
        <v>#VALUE!</v>
      </c>
      <c r="D51" s="31" t="str">
        <f t="shared" si="4"/>
        <v/>
      </c>
      <c r="E51" s="17"/>
      <c r="F51" s="31" t="str">
        <f t="shared" si="5"/>
        <v/>
      </c>
      <c r="G51" s="32"/>
    </row>
    <row r="52" spans="1:39" ht="11.25" customHeight="1" x14ac:dyDescent="0.2">
      <c r="A52" s="20">
        <v>17</v>
      </c>
      <c r="B52" s="17">
        <f t="shared" si="2"/>
        <v>0</v>
      </c>
      <c r="C52" s="62" t="e">
        <f t="shared" si="3"/>
        <v>#VALUE!</v>
      </c>
      <c r="D52" s="31" t="str">
        <f t="shared" si="4"/>
        <v/>
      </c>
      <c r="E52" s="17"/>
      <c r="F52" s="31" t="str">
        <f t="shared" si="5"/>
        <v/>
      </c>
      <c r="G52" s="32"/>
    </row>
    <row r="53" spans="1:39" ht="11.25" customHeight="1" x14ac:dyDescent="0.2">
      <c r="A53" s="20">
        <v>18</v>
      </c>
      <c r="B53" s="17">
        <f t="shared" si="2"/>
        <v>0</v>
      </c>
      <c r="C53" s="62" t="e">
        <f t="shared" si="3"/>
        <v>#VALUE!</v>
      </c>
      <c r="D53" s="31" t="str">
        <f t="shared" si="4"/>
        <v/>
      </c>
      <c r="E53" s="17"/>
      <c r="F53" s="31" t="str">
        <f t="shared" si="5"/>
        <v/>
      </c>
      <c r="G53" s="32"/>
    </row>
    <row r="54" spans="1:39" ht="11.25" customHeight="1" x14ac:dyDescent="0.2">
      <c r="A54" s="20">
        <v>19</v>
      </c>
      <c r="B54" s="17">
        <f t="shared" si="2"/>
        <v>0</v>
      </c>
      <c r="C54" s="62" t="e">
        <f t="shared" si="3"/>
        <v>#VALUE!</v>
      </c>
      <c r="D54" s="31" t="str">
        <f t="shared" si="4"/>
        <v/>
      </c>
      <c r="E54" s="17"/>
      <c r="F54" s="31" t="str">
        <f t="shared" si="5"/>
        <v/>
      </c>
      <c r="G54" s="32"/>
    </row>
    <row r="55" spans="1:39" ht="11.25" customHeight="1" x14ac:dyDescent="0.2">
      <c r="A55" s="20">
        <v>20</v>
      </c>
      <c r="B55" s="17">
        <f t="shared" si="2"/>
        <v>0</v>
      </c>
      <c r="C55" s="62" t="e">
        <f t="shared" si="3"/>
        <v>#VALUE!</v>
      </c>
      <c r="D55" s="31" t="str">
        <f t="shared" si="4"/>
        <v/>
      </c>
      <c r="E55" s="17"/>
      <c r="F55" s="31" t="str">
        <f t="shared" si="5"/>
        <v/>
      </c>
      <c r="G55" s="32"/>
    </row>
    <row r="56" spans="1:39" ht="11.25" customHeight="1" x14ac:dyDescent="0.2">
      <c r="A56" s="20">
        <v>21</v>
      </c>
      <c r="B56" s="17">
        <f t="shared" si="2"/>
        <v>0</v>
      </c>
      <c r="C56" s="62" t="e">
        <f t="shared" si="3"/>
        <v>#VALUE!</v>
      </c>
      <c r="D56" s="31" t="str">
        <f t="shared" si="4"/>
        <v/>
      </c>
      <c r="E56" s="17"/>
      <c r="F56" s="31" t="str">
        <f t="shared" si="5"/>
        <v/>
      </c>
      <c r="G56" s="32"/>
    </row>
    <row r="57" spans="1:39" ht="11.25" customHeight="1" x14ac:dyDescent="0.2">
      <c r="A57" s="20">
        <v>22</v>
      </c>
      <c r="B57" s="17">
        <f t="shared" si="2"/>
        <v>0</v>
      </c>
      <c r="C57" s="62" t="e">
        <f t="shared" si="3"/>
        <v>#VALUE!</v>
      </c>
      <c r="D57" s="31" t="str">
        <f t="shared" si="4"/>
        <v/>
      </c>
      <c r="E57" s="17"/>
      <c r="F57" s="31" t="str">
        <f t="shared" si="5"/>
        <v/>
      </c>
      <c r="G57" s="32"/>
    </row>
    <row r="58" spans="1:39" ht="11.25" customHeight="1" x14ac:dyDescent="0.2">
      <c r="A58" s="20">
        <v>23</v>
      </c>
      <c r="B58" s="17">
        <f t="shared" si="2"/>
        <v>0</v>
      </c>
      <c r="C58" s="62" t="e">
        <f t="shared" si="3"/>
        <v>#VALUE!</v>
      </c>
      <c r="D58" s="31" t="str">
        <f t="shared" si="4"/>
        <v/>
      </c>
      <c r="E58" s="17"/>
      <c r="F58" s="31" t="str">
        <f t="shared" si="5"/>
        <v/>
      </c>
      <c r="G58" s="32"/>
    </row>
    <row r="59" spans="1:39" ht="11.25" customHeight="1" x14ac:dyDescent="0.2">
      <c r="A59" s="20">
        <v>24</v>
      </c>
      <c r="B59" s="17">
        <f t="shared" si="2"/>
        <v>0</v>
      </c>
      <c r="C59" s="62" t="e">
        <f t="shared" si="3"/>
        <v>#VALUE!</v>
      </c>
      <c r="D59" s="31" t="str">
        <f t="shared" si="4"/>
        <v/>
      </c>
      <c r="E59" s="17"/>
      <c r="F59" s="31" t="str">
        <f t="shared" si="5"/>
        <v/>
      </c>
      <c r="G59" s="32"/>
    </row>
    <row r="60" spans="1:39" ht="11.25" customHeight="1" x14ac:dyDescent="0.2">
      <c r="A60" s="20">
        <v>25</v>
      </c>
      <c r="B60" s="17">
        <f t="shared" si="2"/>
        <v>0</v>
      </c>
      <c r="C60" s="62" t="e">
        <f t="shared" si="3"/>
        <v>#VALUE!</v>
      </c>
      <c r="D60" s="31" t="str">
        <f t="shared" si="4"/>
        <v/>
      </c>
      <c r="E60" s="17"/>
      <c r="F60" s="31" t="str">
        <f t="shared" si="5"/>
        <v/>
      </c>
      <c r="G60" s="32"/>
    </row>
    <row r="61" spans="1:39" ht="11.25" customHeight="1" x14ac:dyDescent="0.2">
      <c r="A61" s="20">
        <v>26</v>
      </c>
      <c r="B61" s="17">
        <f t="shared" si="2"/>
        <v>0</v>
      </c>
      <c r="C61" s="62" t="e">
        <f t="shared" si="3"/>
        <v>#VALUE!</v>
      </c>
      <c r="D61" s="31" t="str">
        <f t="shared" si="4"/>
        <v/>
      </c>
      <c r="E61" s="17"/>
      <c r="F61" s="31" t="str">
        <f t="shared" si="5"/>
        <v/>
      </c>
      <c r="G61" s="32"/>
      <c r="AD61" s="49"/>
      <c r="AE61" s="49"/>
      <c r="AF61" s="49"/>
      <c r="AG61" s="49"/>
      <c r="AH61" s="49"/>
      <c r="AI61" s="49"/>
      <c r="AJ61" s="49"/>
      <c r="AK61" s="49"/>
      <c r="AL61" s="49"/>
      <c r="AM61" s="49"/>
    </row>
    <row r="62" spans="1:39" ht="11.25" customHeight="1" x14ac:dyDescent="0.2">
      <c r="A62" s="20">
        <v>27</v>
      </c>
      <c r="B62" s="17">
        <f t="shared" si="2"/>
        <v>0</v>
      </c>
      <c r="C62" s="62" t="e">
        <f t="shared" si="3"/>
        <v>#VALUE!</v>
      </c>
      <c r="D62" s="31" t="str">
        <f t="shared" si="4"/>
        <v/>
      </c>
      <c r="E62" s="17"/>
      <c r="F62" s="31" t="str">
        <f t="shared" si="5"/>
        <v/>
      </c>
      <c r="G62" s="32"/>
    </row>
    <row r="63" spans="1:39" ht="11.25" customHeight="1" x14ac:dyDescent="0.2">
      <c r="A63" s="20">
        <v>28</v>
      </c>
      <c r="B63" s="17">
        <f t="shared" si="2"/>
        <v>0</v>
      </c>
      <c r="C63" s="62" t="e">
        <f t="shared" si="3"/>
        <v>#VALUE!</v>
      </c>
      <c r="D63" s="31" t="str">
        <f t="shared" si="4"/>
        <v/>
      </c>
      <c r="E63" s="17"/>
      <c r="F63" s="31" t="str">
        <f t="shared" si="5"/>
        <v/>
      </c>
      <c r="G63" s="32"/>
    </row>
    <row r="64" spans="1:39" ht="11.25" customHeight="1" x14ac:dyDescent="0.2">
      <c r="A64" s="20">
        <v>29</v>
      </c>
      <c r="B64" s="17">
        <f t="shared" si="2"/>
        <v>0</v>
      </c>
      <c r="C64" s="62" t="e">
        <f t="shared" si="3"/>
        <v>#VALUE!</v>
      </c>
      <c r="D64" s="31" t="str">
        <f t="shared" si="4"/>
        <v/>
      </c>
      <c r="E64" s="17"/>
      <c r="F64" s="31" t="str">
        <f t="shared" si="5"/>
        <v/>
      </c>
      <c r="G64" s="32"/>
    </row>
    <row r="65" spans="1:39" ht="11.25" customHeight="1" x14ac:dyDescent="0.2">
      <c r="A65" s="20">
        <v>30</v>
      </c>
      <c r="B65" s="17">
        <f t="shared" si="2"/>
        <v>0</v>
      </c>
      <c r="C65" s="62" t="e">
        <f t="shared" si="3"/>
        <v>#VALUE!</v>
      </c>
      <c r="D65" s="31" t="str">
        <f t="shared" si="4"/>
        <v/>
      </c>
      <c r="E65" s="17"/>
      <c r="F65" s="31" t="str">
        <f t="shared" si="5"/>
        <v/>
      </c>
      <c r="G65" s="32"/>
    </row>
    <row r="66" spans="1:39" ht="11.25" customHeight="1" x14ac:dyDescent="0.2">
      <c r="A66" s="20">
        <v>31</v>
      </c>
      <c r="B66" s="17">
        <f t="shared" si="2"/>
        <v>0</v>
      </c>
      <c r="C66" s="62" t="e">
        <f t="shared" si="3"/>
        <v>#VALUE!</v>
      </c>
      <c r="D66" s="31" t="str">
        <f t="shared" si="4"/>
        <v/>
      </c>
      <c r="E66" s="17"/>
      <c r="F66" s="31" t="str">
        <f t="shared" si="5"/>
        <v/>
      </c>
      <c r="G66" s="32"/>
    </row>
    <row r="67" spans="1:39" ht="11.25" customHeight="1" x14ac:dyDescent="0.2">
      <c r="A67" s="20">
        <v>32</v>
      </c>
      <c r="B67" s="17">
        <f t="shared" si="2"/>
        <v>0</v>
      </c>
      <c r="C67" s="62" t="e">
        <f t="shared" si="3"/>
        <v>#VALUE!</v>
      </c>
      <c r="D67" s="31" t="str">
        <f t="shared" si="4"/>
        <v/>
      </c>
      <c r="E67" s="17"/>
      <c r="F67" s="31" t="str">
        <f t="shared" si="5"/>
        <v/>
      </c>
      <c r="G67" s="32"/>
    </row>
    <row r="68" spans="1:39" ht="11.25" customHeight="1" x14ac:dyDescent="0.2">
      <c r="A68" s="20">
        <v>33</v>
      </c>
      <c r="B68" s="17">
        <f t="shared" si="2"/>
        <v>0</v>
      </c>
      <c r="C68" s="62" t="e">
        <f t="shared" si="3"/>
        <v>#VALUE!</v>
      </c>
      <c r="D68" s="31" t="str">
        <f t="shared" si="4"/>
        <v/>
      </c>
      <c r="E68" s="17"/>
      <c r="F68" s="31" t="str">
        <f t="shared" si="5"/>
        <v/>
      </c>
      <c r="G68" s="32"/>
    </row>
    <row r="69" spans="1:39" ht="11.25" customHeight="1" x14ac:dyDescent="0.2">
      <c r="A69" s="20">
        <v>34</v>
      </c>
      <c r="B69" s="17">
        <f t="shared" si="2"/>
        <v>0</v>
      </c>
      <c r="C69" s="62" t="e">
        <f t="shared" si="3"/>
        <v>#VALUE!</v>
      </c>
      <c r="D69" s="31" t="str">
        <f t="shared" si="4"/>
        <v/>
      </c>
      <c r="E69" s="17"/>
      <c r="F69" s="31" t="str">
        <f t="shared" si="5"/>
        <v/>
      </c>
      <c r="G69" s="32"/>
    </row>
    <row r="70" spans="1:39" ht="11.25" customHeight="1" x14ac:dyDescent="0.2">
      <c r="A70" s="20">
        <v>35</v>
      </c>
      <c r="B70" s="17">
        <f t="shared" si="2"/>
        <v>0</v>
      </c>
      <c r="C70" s="62" t="e">
        <f t="shared" si="3"/>
        <v>#VALUE!</v>
      </c>
      <c r="D70" s="31" t="str">
        <f t="shared" si="4"/>
        <v/>
      </c>
      <c r="E70" s="17"/>
      <c r="F70" s="31" t="str">
        <f t="shared" si="5"/>
        <v/>
      </c>
      <c r="G70" s="32"/>
    </row>
    <row r="71" spans="1:39" ht="11.25" customHeight="1" x14ac:dyDescent="0.25">
      <c r="A71" s="20">
        <v>36</v>
      </c>
      <c r="B71" s="17">
        <f t="shared" si="2"/>
        <v>0</v>
      </c>
      <c r="C71" s="62" t="e">
        <f t="shared" si="3"/>
        <v>#VALUE!</v>
      </c>
      <c r="D71" s="31" t="str">
        <f t="shared" si="4"/>
        <v/>
      </c>
      <c r="E71" s="17"/>
      <c r="F71" s="31" t="str">
        <f t="shared" si="5"/>
        <v/>
      </c>
      <c r="G71" s="32"/>
      <c r="AD71" s="50"/>
      <c r="AE71" s="50"/>
      <c r="AF71" s="50"/>
      <c r="AG71" s="50"/>
      <c r="AH71" s="50"/>
      <c r="AI71" s="50"/>
      <c r="AJ71" s="50"/>
      <c r="AK71" s="50"/>
      <c r="AL71" s="50"/>
      <c r="AM71" s="50"/>
    </row>
    <row r="72" spans="1:39" ht="11.25" customHeight="1" x14ac:dyDescent="0.2">
      <c r="A72" s="20">
        <v>37</v>
      </c>
      <c r="B72" s="17">
        <f t="shared" si="2"/>
        <v>0</v>
      </c>
      <c r="C72" s="62" t="e">
        <f t="shared" si="3"/>
        <v>#VALUE!</v>
      </c>
      <c r="D72" s="31" t="str">
        <f t="shared" si="4"/>
        <v/>
      </c>
      <c r="E72" s="17"/>
      <c r="F72" s="31" t="str">
        <f t="shared" si="5"/>
        <v/>
      </c>
      <c r="G72" s="32"/>
    </row>
    <row r="73" spans="1:39" ht="11.25" customHeight="1" x14ac:dyDescent="0.2">
      <c r="A73" s="20">
        <v>38</v>
      </c>
      <c r="B73" s="17">
        <f t="shared" si="2"/>
        <v>0</v>
      </c>
      <c r="C73" s="62" t="e">
        <f t="shared" si="3"/>
        <v>#VALUE!</v>
      </c>
      <c r="D73" s="31" t="str">
        <f t="shared" si="4"/>
        <v/>
      </c>
      <c r="E73" s="17"/>
      <c r="F73" s="31" t="str">
        <f t="shared" si="5"/>
        <v/>
      </c>
      <c r="G73" s="32"/>
    </row>
    <row r="74" spans="1:39" ht="11.25" customHeight="1" x14ac:dyDescent="0.2">
      <c r="A74" s="36"/>
      <c r="B74" s="62"/>
      <c r="C74" s="17"/>
      <c r="D74" s="31" t="e">
        <f>SUM(D36:D73)</f>
        <v>#VALUE!</v>
      </c>
      <c r="E74" s="19"/>
      <c r="F74" s="31" t="e">
        <f>SUM(F36:F73)</f>
        <v>#VALUE!</v>
      </c>
      <c r="G74" s="32">
        <f>SUM(G36:G73)</f>
        <v>0</v>
      </c>
    </row>
    <row r="75" spans="1:39" ht="11.25" customHeight="1" x14ac:dyDescent="0.2">
      <c r="B75" s="385" t="s">
        <v>583</v>
      </c>
      <c r="C75" s="386"/>
      <c r="D75" s="386"/>
      <c r="E75" s="369"/>
      <c r="F75" s="1"/>
    </row>
    <row r="76" spans="1:39" ht="11.25" customHeight="1" x14ac:dyDescent="0.2">
      <c r="B76" s="4" t="s">
        <v>48</v>
      </c>
      <c r="C76" s="37" t="e">
        <f>F76/100</f>
        <v>#VALUE!</v>
      </c>
      <c r="D76" s="4" t="s">
        <v>584</v>
      </c>
      <c r="E76" s="37" t="e">
        <f>IF(C76="","",C76)</f>
        <v>#VALUE!</v>
      </c>
      <c r="F76" s="253" t="s">
        <v>585</v>
      </c>
      <c r="G76" s="38"/>
      <c r="H76" s="38"/>
    </row>
    <row r="77" spans="1:39" ht="11.25" customHeight="1" x14ac:dyDescent="0.2">
      <c r="B77" s="4" t="s">
        <v>49</v>
      </c>
      <c r="C77" s="37" t="e">
        <f>F77/100</f>
        <v>#VALUE!</v>
      </c>
      <c r="D77" s="4" t="s">
        <v>586</v>
      </c>
      <c r="E77" s="37" t="e">
        <f>IF(C77="","",C77)</f>
        <v>#VALUE!</v>
      </c>
      <c r="F77" s="253" t="s">
        <v>176</v>
      </c>
    </row>
    <row r="78" spans="1:39" ht="11.25" customHeight="1" x14ac:dyDescent="0.2">
      <c r="B78" s="4" t="s">
        <v>583</v>
      </c>
      <c r="C78" s="37" t="e">
        <f>C76*C77</f>
        <v>#VALUE!</v>
      </c>
      <c r="E78" s="39"/>
      <c r="F78" s="39"/>
    </row>
    <row r="79" spans="1:39" ht="11.25" customHeight="1" x14ac:dyDescent="0.2">
      <c r="B79" s="367" t="s">
        <v>587</v>
      </c>
      <c r="C79" s="367"/>
      <c r="D79" s="367"/>
      <c r="E79" s="367" t="s">
        <v>588</v>
      </c>
      <c r="F79" s="367"/>
      <c r="G79" s="40"/>
    </row>
    <row r="80" spans="1:39" ht="11.25" customHeight="1" x14ac:dyDescent="0.2">
      <c r="B80" s="285" t="s">
        <v>542</v>
      </c>
      <c r="C80" s="285" t="s">
        <v>543</v>
      </c>
      <c r="D80" s="285" t="s">
        <v>51</v>
      </c>
      <c r="E80" s="367"/>
      <c r="F80" s="367"/>
      <c r="G80" s="40"/>
    </row>
    <row r="81" spans="1:40" ht="11.25" customHeight="1" x14ac:dyDescent="0.2">
      <c r="B81" s="41" t="s">
        <v>589</v>
      </c>
      <c r="C81" s="5" t="str">
        <f>IF(C9="3LMPR",DataBase!U4,DataBase!U5)</f>
        <v>COM</v>
      </c>
      <c r="D81" s="42">
        <f>IFERROR((+H81/100),0)</f>
        <v>0</v>
      </c>
      <c r="E81" s="62">
        <f>IFERROR(VLOOKUP(F81,DataBase!$Q$4:$R$5,2,FALSE),"")</f>
        <v>1</v>
      </c>
      <c r="F81" s="8" t="str">
        <f>IF(D81&lt;&gt;"","Broker","Please Select One")</f>
        <v>Broker</v>
      </c>
      <c r="G81" s="62" t="str">
        <f>VLOOKUP(C81,DataBase!T8:U11,2,0)</f>
        <v>Broker Commission</v>
      </c>
      <c r="H81" s="254" t="s">
        <v>591</v>
      </c>
      <c r="I81" s="254"/>
      <c r="J81" s="286"/>
    </row>
    <row r="82" spans="1:40" ht="11.25" customHeight="1" x14ac:dyDescent="0.2">
      <c r="A82" s="18"/>
      <c r="B82" s="62"/>
      <c r="C82" s="62"/>
      <c r="D82" s="42">
        <f t="shared" ref="D82:D87" si="6">IFERROR((+H82/100),0)</f>
        <v>0</v>
      </c>
      <c r="E82" s="62">
        <f>IFERROR(VLOOKUP(F82,DataBase!$Q$4:$R$5,2,FALSE),"")</f>
        <v>1</v>
      </c>
      <c r="F82" s="8" t="str">
        <f>IF(D82&lt;&gt;"","Broker","Please Select One")</f>
        <v>Broker</v>
      </c>
      <c r="G82" s="62"/>
      <c r="H82" s="288"/>
      <c r="I82" s="55"/>
      <c r="J82" s="286"/>
    </row>
    <row r="83" spans="1:40" ht="11.25" customHeight="1" x14ac:dyDescent="0.2">
      <c r="B83" s="43" t="s">
        <v>45</v>
      </c>
      <c r="C83" s="62" t="s">
        <v>148</v>
      </c>
      <c r="D83" s="42">
        <f t="shared" si="6"/>
        <v>0</v>
      </c>
      <c r="E83" s="62">
        <f>IFERROR(VLOOKUP(F83,DataBase!$Q$4:$R$5,2,FALSE),"")</f>
        <v>1</v>
      </c>
      <c r="F83" s="8" t="str">
        <f>IF(D83&lt;&gt;"","Broker","Please Select One")</f>
        <v>Broker</v>
      </c>
      <c r="G83" s="10" t="s">
        <v>740</v>
      </c>
      <c r="H83" s="254" t="s">
        <v>756</v>
      </c>
      <c r="I83" s="254"/>
      <c r="J83" s="286"/>
    </row>
    <row r="84" spans="1:40" ht="11.25" customHeight="1" x14ac:dyDescent="0.2">
      <c r="B84" s="44" t="s">
        <v>186</v>
      </c>
      <c r="C84" s="5" t="str">
        <f>IF('SF DATA'!C9&lt;&gt;DataBase!A33,"",IF(AND('SF DATA'!C9=DataBase!A33,'SF DATA'!C81="COM"),"RWT2",IF(AND('SF DATA'!C9=DataBase!A33,'SF DATA'!C81="COM1"),"RWT3","")))</f>
        <v/>
      </c>
      <c r="D84" s="42">
        <f t="shared" si="6"/>
        <v>0</v>
      </c>
      <c r="E84" s="62">
        <f>IFERROR(VLOOKUP(F84,DataBase!$Q$4:$R$5,2,FALSE),"")</f>
        <v>1</v>
      </c>
      <c r="F84" s="8" t="str">
        <f>IF(D84&lt;&gt;"","Broker","Please Select One")</f>
        <v>Broker</v>
      </c>
      <c r="G84" s="10" t="s">
        <v>741</v>
      </c>
      <c r="H84" s="254" t="s">
        <v>187</v>
      </c>
      <c r="I84" s="254"/>
      <c r="J84" s="286"/>
      <c r="AN84" s="49"/>
    </row>
    <row r="85" spans="1:40" ht="11.25" customHeight="1" x14ac:dyDescent="0.2">
      <c r="B85" s="44" t="s">
        <v>7</v>
      </c>
      <c r="C85" s="5" t="s">
        <v>742</v>
      </c>
      <c r="D85" s="42">
        <f t="shared" si="6"/>
        <v>0</v>
      </c>
      <c r="E85" s="62">
        <f>IFERROR(VLOOKUP(F85,DataBase!$Q$4:$R$5,2,FALSE),"")</f>
        <v>1</v>
      </c>
      <c r="F85" s="8" t="str">
        <f t="shared" ref="F85:F90" si="7">IF(D85&lt;&gt;"","Broker","Please Select One")</f>
        <v>Broker</v>
      </c>
      <c r="G85" s="62" t="s">
        <v>743</v>
      </c>
      <c r="H85" s="254" t="s">
        <v>179</v>
      </c>
      <c r="I85" s="254"/>
      <c r="J85" s="286"/>
    </row>
    <row r="86" spans="1:40" ht="11.25" customHeight="1" x14ac:dyDescent="0.2">
      <c r="A86" s="18"/>
      <c r="B86" s="44" t="s">
        <v>593</v>
      </c>
      <c r="C86" s="5" t="s">
        <v>749</v>
      </c>
      <c r="D86" s="42">
        <f t="shared" si="6"/>
        <v>0</v>
      </c>
      <c r="E86" s="62">
        <f>IFERROR(VLOOKUP(F86,DataBase!$Q$4:$R$5,2,FALSE),"")</f>
        <v>1</v>
      </c>
      <c r="F86" s="8" t="str">
        <f>IF(D86&lt;&gt;"","Broker","Please Select One")</f>
        <v>Broker</v>
      </c>
      <c r="G86" s="44" t="s">
        <v>750</v>
      </c>
      <c r="H86" s="254" t="s">
        <v>192</v>
      </c>
      <c r="I86" s="254"/>
      <c r="J86" s="286"/>
    </row>
    <row r="87" spans="1:40" ht="11.25" customHeight="1" x14ac:dyDescent="0.2">
      <c r="B87" s="44" t="s">
        <v>188</v>
      </c>
      <c r="C87" s="5" t="s">
        <v>745</v>
      </c>
      <c r="D87" s="204">
        <f t="shared" si="6"/>
        <v>0</v>
      </c>
      <c r="E87" s="62">
        <f>IFERROR(VLOOKUP(F87,DataBase!$Q$4:$R$5,2,FALSE),"")</f>
        <v>1</v>
      </c>
      <c r="F87" s="8" t="str">
        <f t="shared" si="7"/>
        <v>Broker</v>
      </c>
      <c r="G87" s="62" t="s">
        <v>744</v>
      </c>
      <c r="H87" s="254" t="s">
        <v>191</v>
      </c>
      <c r="I87" s="55"/>
      <c r="J87" s="286"/>
    </row>
    <row r="88" spans="1:40" ht="11.25" customHeight="1" x14ac:dyDescent="0.2">
      <c r="B88" s="62" t="s">
        <v>189</v>
      </c>
      <c r="C88" s="62" t="s">
        <v>746</v>
      </c>
      <c r="D88" s="205" t="str">
        <f>+H88</f>
        <v>&amp;=Master.OPPORTUNITY_PREMIUM_FINANCE_CHARGE</v>
      </c>
      <c r="E88" s="62">
        <f>IFERROR(VLOOKUP(F88,DataBase!$Q$4:$R$5,2,FALSE),"")</f>
        <v>1</v>
      </c>
      <c r="F88" s="8" t="str">
        <f t="shared" si="7"/>
        <v>Broker</v>
      </c>
      <c r="G88" s="62" t="s">
        <v>748</v>
      </c>
      <c r="H88" s="254" t="s">
        <v>747</v>
      </c>
      <c r="I88" s="254"/>
      <c r="J88" s="286"/>
    </row>
    <row r="89" spans="1:40" ht="11.25" customHeight="1" x14ac:dyDescent="0.2">
      <c r="B89" s="44" t="s">
        <v>1483</v>
      </c>
      <c r="C89" s="5" t="s">
        <v>594</v>
      </c>
      <c r="D89" s="205" t="str">
        <f>+H89</f>
        <v>&amp;=Master.OPPORTUNITY_ENGINEERING_FEES</v>
      </c>
      <c r="E89" s="62">
        <f>IFERROR(VLOOKUP(F89,DataBase!$Q$4:$R$5,2,FALSE),"")</f>
        <v>1</v>
      </c>
      <c r="F89" s="8" t="str">
        <f>IF(D89&lt;&gt;"","Broker","Please Select One")</f>
        <v>Broker</v>
      </c>
      <c r="G89" s="62" t="s">
        <v>595</v>
      </c>
      <c r="H89" s="254" t="s">
        <v>1541</v>
      </c>
      <c r="I89" s="254"/>
      <c r="J89" s="286"/>
    </row>
    <row r="90" spans="1:40" ht="11.25" customHeight="1" x14ac:dyDescent="0.2">
      <c r="A90" s="18"/>
      <c r="B90" s="62" t="s">
        <v>190</v>
      </c>
      <c r="C90" s="62" t="s">
        <v>752</v>
      </c>
      <c r="D90" s="42">
        <f>IFERROR((+H90/100),0)</f>
        <v>0</v>
      </c>
      <c r="E90" s="62">
        <f>IFERROR(VLOOKUP(F90,DataBase!$Q$4:$R$5,2,FALSE),"")</f>
        <v>1</v>
      </c>
      <c r="F90" s="8" t="str">
        <f t="shared" si="7"/>
        <v>Broker</v>
      </c>
      <c r="G90" s="62" t="s">
        <v>753</v>
      </c>
      <c r="H90" s="254" t="s">
        <v>751</v>
      </c>
      <c r="I90" s="254" t="str">
        <f>IF(OR(H90=5),"VERIFICAR CON UW","")</f>
        <v/>
      </c>
      <c r="J90" s="286"/>
    </row>
    <row r="91" spans="1:40" ht="11.25" customHeight="1" x14ac:dyDescent="0.2">
      <c r="A91" s="18"/>
      <c r="B91" s="62" t="s">
        <v>592</v>
      </c>
      <c r="C91" s="62" t="s">
        <v>2292</v>
      </c>
      <c r="D91" s="42">
        <f>IFERROR((+H91/100),0)</f>
        <v>0</v>
      </c>
      <c r="E91" s="62">
        <f>IFERROR(VLOOKUP(F91,DataBase!$Q$4:$R$5,2,FALSE),"")</f>
        <v>1</v>
      </c>
      <c r="F91" s="8" t="str">
        <f>IF(D91&lt;&gt;"","Broker","Please Select One")</f>
        <v>Broker</v>
      </c>
      <c r="G91" s="62" t="s">
        <v>2385</v>
      </c>
      <c r="H91" s="289" t="str">
        <f>IFERROR(IF(C18&lt;=E1,0,ROUND(J91,1)),"")</f>
        <v/>
      </c>
      <c r="I91" s="55">
        <f>IFERROR(IF(C9=DataBase!A40,ROUND(K91*0.003,0),0),0)</f>
        <v>0</v>
      </c>
      <c r="J91" s="286" t="str">
        <f>IF(D22="Puerto Rico",((I91/K91)*100),"")</f>
        <v/>
      </c>
      <c r="K91" s="1" t="s">
        <v>1456</v>
      </c>
      <c r="X91" s="49"/>
      <c r="Y91" s="49"/>
      <c r="Z91" s="49"/>
      <c r="AA91" s="49"/>
    </row>
    <row r="92" spans="1:40" ht="11.25" customHeight="1" x14ac:dyDescent="0.2">
      <c r="A92" s="18"/>
      <c r="B92" s="62" t="s">
        <v>242</v>
      </c>
      <c r="C92" s="62" t="s">
        <v>754</v>
      </c>
      <c r="D92" s="42">
        <f>IFERROR((+H92/100),0)</f>
        <v>0</v>
      </c>
      <c r="E92" s="62">
        <f>IFERROR(VLOOKUP(F92,DataBase!$Q$4:$R$5,2,FALSE),"")</f>
        <v>1</v>
      </c>
      <c r="F92" s="8" t="str">
        <f t="shared" ref="F92" si="8">IF(D92&lt;&gt;"","Broker","Please Select One")</f>
        <v>Broker</v>
      </c>
      <c r="G92" s="62" t="s">
        <v>755</v>
      </c>
      <c r="H92" s="254" t="s">
        <v>241</v>
      </c>
      <c r="I92" s="55"/>
      <c r="J92" s="286"/>
    </row>
    <row r="93" spans="1:40" ht="11.25" customHeight="1" x14ac:dyDescent="0.2">
      <c r="A93" s="18"/>
      <c r="B93" s="62"/>
      <c r="C93" s="62"/>
      <c r="D93" s="42"/>
      <c r="E93" s="62"/>
      <c r="F93" s="8"/>
      <c r="G93" s="62"/>
      <c r="H93" s="254"/>
      <c r="I93" s="254"/>
      <c r="J93" s="286"/>
    </row>
    <row r="94" spans="1:40" ht="11.25" customHeight="1" x14ac:dyDescent="0.25">
      <c r="A94" s="18"/>
      <c r="B94" s="62"/>
      <c r="C94" s="62"/>
      <c r="D94" s="42"/>
      <c r="E94" s="62"/>
      <c r="F94" s="8"/>
      <c r="G94" s="62"/>
      <c r="H94" s="254"/>
      <c r="I94" s="254"/>
      <c r="J94" s="286"/>
      <c r="AN94" s="50"/>
    </row>
    <row r="95" spans="1:40" ht="11.25" customHeight="1" x14ac:dyDescent="0.2">
      <c r="B95" s="368" t="s">
        <v>270</v>
      </c>
      <c r="C95" s="369"/>
      <c r="D95" s="369"/>
      <c r="AB95" s="49"/>
    </row>
    <row r="96" spans="1:40" ht="11.25" customHeight="1" x14ac:dyDescent="0.2">
      <c r="B96" s="4" t="s">
        <v>271</v>
      </c>
      <c r="C96" s="4" t="s">
        <v>149</v>
      </c>
      <c r="D96" s="4" t="s">
        <v>269</v>
      </c>
    </row>
    <row r="97" spans="2:41" ht="15" x14ac:dyDescent="0.2">
      <c r="B97" s="10">
        <v>10</v>
      </c>
      <c r="C97" s="45" t="s">
        <v>194</v>
      </c>
      <c r="D97" s="46"/>
    </row>
    <row r="98" spans="2:41" ht="11.25" customHeight="1" x14ac:dyDescent="0.2">
      <c r="B98" s="367" t="s">
        <v>596</v>
      </c>
      <c r="C98" s="367"/>
      <c r="D98" s="367"/>
    </row>
    <row r="99" spans="2:41" ht="11.25" customHeight="1" x14ac:dyDescent="0.2">
      <c r="B99" s="372" t="s">
        <v>209</v>
      </c>
      <c r="C99" s="372"/>
      <c r="D99" s="372"/>
    </row>
    <row r="100" spans="2:41" ht="11.25" customHeight="1" x14ac:dyDescent="0.2">
      <c r="B100" s="372"/>
      <c r="C100" s="372"/>
      <c r="D100" s="372"/>
    </row>
    <row r="101" spans="2:41" ht="11.25" customHeight="1" x14ac:dyDescent="0.25">
      <c r="B101" s="372"/>
      <c r="C101" s="372"/>
      <c r="D101" s="372"/>
      <c r="X101" s="50"/>
      <c r="Y101" s="50"/>
      <c r="Z101" s="50"/>
      <c r="AA101" s="50"/>
    </row>
    <row r="102" spans="2:41" ht="11.25" customHeight="1" x14ac:dyDescent="0.2">
      <c r="B102" s="372"/>
      <c r="C102" s="372"/>
      <c r="D102" s="372"/>
    </row>
    <row r="103" spans="2:41" ht="11.25" customHeight="1" x14ac:dyDescent="0.2">
      <c r="B103" s="373" t="s">
        <v>38</v>
      </c>
      <c r="C103" s="373"/>
      <c r="D103" s="373"/>
    </row>
    <row r="104" spans="2:41" ht="11.25" customHeight="1" x14ac:dyDescent="0.2">
      <c r="B104" s="374"/>
      <c r="C104" s="374"/>
      <c r="D104" s="374"/>
    </row>
    <row r="105" spans="2:41" ht="11.25" customHeight="1" x14ac:dyDescent="0.25">
      <c r="B105" s="374"/>
      <c r="C105" s="374"/>
      <c r="D105" s="374"/>
      <c r="AB105" s="50"/>
    </row>
    <row r="106" spans="2:41" ht="11.25" customHeight="1" x14ac:dyDescent="0.2">
      <c r="B106" s="374"/>
      <c r="C106" s="374"/>
      <c r="D106" s="374"/>
      <c r="L106" s="49"/>
      <c r="O106" s="49"/>
      <c r="R106" s="49"/>
      <c r="S106" s="49"/>
      <c r="T106" s="49"/>
      <c r="U106" s="49"/>
      <c r="V106" s="49"/>
      <c r="W106" s="49"/>
      <c r="AC106" s="49"/>
      <c r="AO106" s="49"/>
    </row>
    <row r="107" spans="2:41" ht="11.25" customHeight="1" x14ac:dyDescent="0.2">
      <c r="B107" s="374"/>
      <c r="C107" s="374"/>
      <c r="D107" s="374"/>
      <c r="M107" s="49"/>
      <c r="N107" s="49"/>
      <c r="P107" s="49"/>
      <c r="Q107" s="49"/>
    </row>
    <row r="108" spans="2:41" ht="15" x14ac:dyDescent="0.2">
      <c r="B108" s="47" t="s">
        <v>597</v>
      </c>
      <c r="F108" s="1"/>
    </row>
    <row r="109" spans="2:41" ht="11.25" customHeight="1" x14ac:dyDescent="0.2">
      <c r="B109" s="48" t="s">
        <v>601</v>
      </c>
      <c r="F109" s="1"/>
    </row>
    <row r="110" spans="2:41" ht="11.25" customHeight="1" x14ac:dyDescent="0.2">
      <c r="B110" s="19"/>
      <c r="F110" s="1"/>
    </row>
    <row r="111" spans="2:41" ht="11.25" customHeight="1" x14ac:dyDescent="0.2">
      <c r="B111" s="19"/>
      <c r="F111" s="1"/>
    </row>
    <row r="112" spans="2:41" ht="11.25" customHeight="1" x14ac:dyDescent="0.2">
      <c r="B112" s="19"/>
      <c r="F112" s="1"/>
    </row>
    <row r="113" spans="2:41" ht="11.25" customHeight="1" x14ac:dyDescent="0.2">
      <c r="B113" s="19"/>
      <c r="F113" s="1"/>
    </row>
    <row r="114" spans="2:41" ht="11.25" customHeight="1" x14ac:dyDescent="0.2">
      <c r="B114" s="19"/>
      <c r="F114" s="1"/>
    </row>
    <row r="115" spans="2:41" ht="11.25" customHeight="1" x14ac:dyDescent="0.2">
      <c r="B115" s="19"/>
      <c r="F115" s="1"/>
    </row>
    <row r="116" spans="2:41" ht="11.25" customHeight="1" x14ac:dyDescent="0.25">
      <c r="B116" s="19"/>
      <c r="F116" s="1"/>
      <c r="L116" s="50"/>
      <c r="O116" s="50"/>
      <c r="R116" s="50"/>
      <c r="S116" s="50"/>
      <c r="T116" s="50"/>
      <c r="U116" s="50"/>
      <c r="V116" s="50"/>
      <c r="W116" s="50"/>
      <c r="AC116" s="50"/>
      <c r="AO116" s="50"/>
    </row>
    <row r="117" spans="2:41" ht="11.25" customHeight="1" x14ac:dyDescent="0.25">
      <c r="B117" s="19"/>
      <c r="F117" s="1"/>
      <c r="K117" s="49"/>
      <c r="M117" s="50"/>
      <c r="N117" s="50"/>
      <c r="P117" s="50"/>
      <c r="Q117" s="50"/>
    </row>
    <row r="118" spans="2:41" ht="11.25" customHeight="1" x14ac:dyDescent="0.2">
      <c r="B118" s="19"/>
      <c r="F118" s="1"/>
    </row>
    <row r="119" spans="2:41" ht="11.25" customHeight="1" x14ac:dyDescent="0.2">
      <c r="B119" s="19"/>
      <c r="F119" s="1"/>
    </row>
    <row r="120" spans="2:41" ht="11.25" customHeight="1" x14ac:dyDescent="0.2">
      <c r="B120" s="19"/>
      <c r="F120" s="1"/>
    </row>
    <row r="121" spans="2:41" ht="11.25" customHeight="1" x14ac:dyDescent="0.2">
      <c r="B121" s="19"/>
      <c r="F121" s="1"/>
    </row>
    <row r="122" spans="2:41" ht="11.25" customHeight="1" x14ac:dyDescent="0.2">
      <c r="B122" s="19"/>
      <c r="F122" s="1"/>
    </row>
    <row r="123" spans="2:41" ht="11.25" customHeight="1" x14ac:dyDescent="0.2">
      <c r="B123" s="19"/>
      <c r="F123" s="1"/>
    </row>
    <row r="124" spans="2:41" ht="11.25" customHeight="1" x14ac:dyDescent="0.2">
      <c r="B124" s="19"/>
      <c r="F124" s="1"/>
    </row>
    <row r="125" spans="2:41" ht="11.25" customHeight="1" x14ac:dyDescent="0.2">
      <c r="B125" s="19"/>
      <c r="F125" s="1"/>
    </row>
    <row r="126" spans="2:41" ht="11.25" customHeight="1" x14ac:dyDescent="0.2">
      <c r="B126" s="19"/>
      <c r="F126" s="1"/>
    </row>
    <row r="127" spans="2:41" ht="11.25" customHeight="1" x14ac:dyDescent="0.25">
      <c r="B127" s="19"/>
      <c r="F127" s="1"/>
      <c r="I127" s="50"/>
      <c r="J127" s="50"/>
      <c r="K127" s="50"/>
    </row>
    <row r="128" spans="2:41" ht="11.25" customHeight="1" x14ac:dyDescent="0.2">
      <c r="B128" s="19"/>
    </row>
    <row r="129" spans="1:8" ht="11.25" customHeight="1" x14ac:dyDescent="0.2">
      <c r="B129" s="19"/>
    </row>
    <row r="130" spans="1:8" ht="11.25" customHeight="1" x14ac:dyDescent="0.2">
      <c r="B130" s="19"/>
    </row>
    <row r="131" spans="1:8" ht="11.25" customHeight="1" x14ac:dyDescent="0.2">
      <c r="B131" s="19"/>
    </row>
    <row r="132" spans="1:8" ht="11.25" customHeight="1" x14ac:dyDescent="0.2">
      <c r="A132" s="18"/>
    </row>
    <row r="133" spans="1:8" ht="11.25" customHeight="1" x14ac:dyDescent="0.2">
      <c r="A133" s="18"/>
      <c r="G133" s="49"/>
    </row>
    <row r="134" spans="1:8" ht="11.25" customHeight="1" x14ac:dyDescent="0.2">
      <c r="A134" s="18"/>
      <c r="H134" s="49"/>
    </row>
    <row r="135" spans="1:8" ht="11.25" customHeight="1" x14ac:dyDescent="0.2">
      <c r="A135" s="18"/>
    </row>
    <row r="136" spans="1:8" ht="11.25" customHeight="1" x14ac:dyDescent="0.2">
      <c r="A136" s="18"/>
    </row>
    <row r="137" spans="1:8" ht="11.25" customHeight="1" x14ac:dyDescent="0.2">
      <c r="A137" s="18"/>
    </row>
    <row r="138" spans="1:8" ht="11.25" customHeight="1" x14ac:dyDescent="0.2">
      <c r="A138" s="18"/>
    </row>
    <row r="139" spans="1:8" ht="11.25" customHeight="1" x14ac:dyDescent="0.2">
      <c r="A139" s="18"/>
    </row>
    <row r="140" spans="1:8" ht="11.25" customHeight="1" x14ac:dyDescent="0.2">
      <c r="A140" s="18"/>
    </row>
    <row r="141" spans="1:8" ht="11.25" customHeight="1" x14ac:dyDescent="0.2">
      <c r="A141" s="18"/>
    </row>
    <row r="142" spans="1:8" ht="11.25" customHeight="1" x14ac:dyDescent="0.2">
      <c r="A142" s="18"/>
    </row>
    <row r="143" spans="1:8" ht="11.25" customHeight="1" x14ac:dyDescent="0.25">
      <c r="A143" s="18"/>
      <c r="G143" s="50"/>
    </row>
    <row r="144" spans="1:8" ht="11.25" customHeight="1" x14ac:dyDescent="0.25">
      <c r="A144" s="18"/>
      <c r="H144" s="50"/>
    </row>
    <row r="145" spans="1:5" ht="11.25" customHeight="1" x14ac:dyDescent="0.2">
      <c r="A145" s="18"/>
    </row>
    <row r="146" spans="1:5" ht="11.25" customHeight="1" x14ac:dyDescent="0.2">
      <c r="A146" s="18"/>
    </row>
    <row r="155" spans="1:5" ht="11.25" customHeight="1" x14ac:dyDescent="0.2">
      <c r="B155" s="18"/>
      <c r="C155" s="18"/>
      <c r="D155" s="18"/>
      <c r="E155" s="18"/>
    </row>
    <row r="156" spans="1:5" ht="11.25" customHeight="1" x14ac:dyDescent="0.2">
      <c r="B156" s="286"/>
      <c r="C156" s="286"/>
      <c r="D156" s="286"/>
      <c r="E156" s="18"/>
    </row>
    <row r="157" spans="1:5" ht="11.25" customHeight="1" x14ac:dyDescent="0.2">
      <c r="D157" s="286"/>
      <c r="E157" s="18"/>
    </row>
    <row r="158" spans="1:5" ht="11.25" customHeight="1" x14ac:dyDescent="0.2">
      <c r="B158" s="375"/>
      <c r="C158" s="375"/>
      <c r="D158" s="286"/>
      <c r="E158" s="18"/>
    </row>
    <row r="159" spans="1:5" ht="11.25" customHeight="1" x14ac:dyDescent="0.2">
      <c r="B159" s="376"/>
      <c r="C159" s="376"/>
      <c r="D159" s="286"/>
      <c r="E159" s="51"/>
    </row>
    <row r="160" spans="1:5" ht="11.25" customHeight="1" x14ac:dyDescent="0.2">
      <c r="B160" s="371"/>
      <c r="C160" s="371"/>
      <c r="D160" s="52"/>
      <c r="E160" s="51"/>
    </row>
    <row r="161" spans="2:5" ht="11.25" customHeight="1" x14ac:dyDescent="0.2">
      <c r="B161" s="371"/>
      <c r="C161" s="371"/>
      <c r="D161" s="52"/>
      <c r="E161" s="51"/>
    </row>
    <row r="162" spans="2:5" ht="11.25" customHeight="1" x14ac:dyDescent="0.2">
      <c r="B162" s="371"/>
      <c r="C162" s="371"/>
      <c r="D162" s="52"/>
      <c r="E162" s="51"/>
    </row>
    <row r="168" spans="2:5" ht="11.25" customHeight="1" x14ac:dyDescent="0.2">
      <c r="E168" s="18"/>
    </row>
    <row r="169" spans="2:5" ht="11.25" customHeight="1" x14ac:dyDescent="0.2">
      <c r="E169" s="18"/>
    </row>
    <row r="170" spans="2:5" ht="11.25" customHeight="1" x14ac:dyDescent="0.2">
      <c r="E170" s="18"/>
    </row>
    <row r="171" spans="2:5" ht="11.25" customHeight="1" x14ac:dyDescent="0.2">
      <c r="E171" s="53"/>
    </row>
    <row r="172" spans="2:5" ht="11.25" customHeight="1" x14ac:dyDescent="0.2">
      <c r="E172" s="53"/>
    </row>
    <row r="173" spans="2:5" ht="11.25" customHeight="1" x14ac:dyDescent="0.2">
      <c r="E173" s="53"/>
    </row>
    <row r="174" spans="2:5" ht="11.25" customHeight="1" x14ac:dyDescent="0.2">
      <c r="E174" s="53"/>
    </row>
    <row r="175" spans="2:5" ht="11.25" customHeight="1" x14ac:dyDescent="0.2">
      <c r="E175" s="53"/>
    </row>
    <row r="176" spans="2:5" ht="11.25" customHeight="1" x14ac:dyDescent="0.2">
      <c r="E176" s="53"/>
    </row>
    <row r="177" spans="4:5" ht="11.25" customHeight="1" x14ac:dyDescent="0.2">
      <c r="E177" s="53"/>
    </row>
    <row r="178" spans="4:5" ht="11.25" customHeight="1" x14ac:dyDescent="0.2">
      <c r="E178" s="53"/>
    </row>
    <row r="179" spans="4:5" ht="11.25" customHeight="1" x14ac:dyDescent="0.2">
      <c r="E179" s="53"/>
    </row>
    <row r="180" spans="4:5" ht="11.25" customHeight="1" x14ac:dyDescent="0.2">
      <c r="E180" s="53"/>
    </row>
    <row r="181" spans="4:5" ht="11.25" customHeight="1" x14ac:dyDescent="0.2">
      <c r="E181" s="53"/>
    </row>
    <row r="182" spans="4:5" ht="11.25" customHeight="1" x14ac:dyDescent="0.2">
      <c r="E182" s="53"/>
    </row>
    <row r="183" spans="4:5" ht="11.25" customHeight="1" x14ac:dyDescent="0.2">
      <c r="D183" s="53"/>
    </row>
    <row r="184" spans="4:5" ht="11.25" customHeight="1" x14ac:dyDescent="0.2">
      <c r="D184" s="53"/>
    </row>
    <row r="185" spans="4:5" ht="11.25" customHeight="1" x14ac:dyDescent="0.2">
      <c r="D185" s="53"/>
    </row>
  </sheetData>
  <dataConsolidate/>
  <mergeCells count="29">
    <mergeCell ref="AD1:AN1"/>
    <mergeCell ref="I43:K43"/>
    <mergeCell ref="I19:I20"/>
    <mergeCell ref="J20:K20"/>
    <mergeCell ref="B161:C161"/>
    <mergeCell ref="B98:D98"/>
    <mergeCell ref="I35:K35"/>
    <mergeCell ref="I40:K40"/>
    <mergeCell ref="B27:D27"/>
    <mergeCell ref="I28:K28"/>
    <mergeCell ref="B34:G34"/>
    <mergeCell ref="B75:E75"/>
    <mergeCell ref="B79:D79"/>
    <mergeCell ref="E79:F80"/>
    <mergeCell ref="B95:D95"/>
    <mergeCell ref="B1:D1"/>
    <mergeCell ref="B162:C162"/>
    <mergeCell ref="B99:D102"/>
    <mergeCell ref="B103:D103"/>
    <mergeCell ref="B104:D107"/>
    <mergeCell ref="B158:C158"/>
    <mergeCell ref="B159:C159"/>
    <mergeCell ref="B160:C160"/>
    <mergeCell ref="K26:K27"/>
    <mergeCell ref="L26:L27"/>
    <mergeCell ref="J26:J27"/>
    <mergeCell ref="X1:AB1"/>
    <mergeCell ref="I1:K1"/>
    <mergeCell ref="I16:V16"/>
  </mergeCells>
  <conditionalFormatting sqref="E16">
    <cfRule type="expression" dxfId="50" priority="2">
      <formula>$E$16="NO EMITIR, VERIFICAR"</formula>
    </cfRule>
  </conditionalFormatting>
  <dataValidations count="1">
    <dataValidation type="list" allowBlank="1" showDropDown="1" showInputMessage="1" showErrorMessage="1" sqref="Y7:AA7" xr:uid="{193DF0E6-DE5B-4B92-9E0B-7D2F042C220B}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B54961-384E-48BE-95C9-46F8AF8DB998}">
          <x14:formula1>
            <xm:f>DataBase!$Q$4:$Q$5</xm:f>
          </x14:formula1>
          <xm:sqref>F81:F94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2B2A4-32D1-4243-8FDB-EFC84CDBF19D}">
  <sheetPr codeName="Sheet4">
    <tabColor rgb="FFFF0000"/>
  </sheetPr>
  <dimension ref="A1:B26"/>
  <sheetViews>
    <sheetView workbookViewId="0">
      <selection activeCell="B22" sqref="B22"/>
    </sheetView>
  </sheetViews>
  <sheetFormatPr defaultRowHeight="14.25" x14ac:dyDescent="0.2"/>
  <cols>
    <col min="1" max="1" width="19.125" customWidth="1"/>
    <col min="2" max="2" width="50.875" bestFit="1" customWidth="1"/>
  </cols>
  <sheetData>
    <row r="1" spans="1:2" x14ac:dyDescent="0.2">
      <c r="A1" s="311" t="s">
        <v>1467</v>
      </c>
    </row>
    <row r="2" spans="1:2" x14ac:dyDescent="0.2">
      <c r="A2" s="312" t="str">
        <f>'SF DATA'!C6</f>
        <v>&amp;=Master.OPPORTUNITY_OPP_POLICY_NUMBER</v>
      </c>
    </row>
    <row r="4" spans="1:2" x14ac:dyDescent="0.2">
      <c r="A4" s="311" t="s">
        <v>2293</v>
      </c>
      <c r="B4" t="str">
        <f>A2</f>
        <v>&amp;=Master.OPPORTUNITY_OPP_POLICY_NUMBER</v>
      </c>
    </row>
    <row r="5" spans="1:2" x14ac:dyDescent="0.2">
      <c r="A5" s="311" t="s">
        <v>2294</v>
      </c>
      <c r="B5" t="str">
        <f>GENIUS!T3</f>
        <v/>
      </c>
    </row>
    <row r="6" spans="1:2" x14ac:dyDescent="0.2">
      <c r="A6" s="311" t="s">
        <v>0</v>
      </c>
      <c r="B6" t="str">
        <f>GENIUS!T5</f>
        <v>&amp;=Master.OPPORTUNITY_COMPANYCODE</v>
      </c>
    </row>
    <row r="7" spans="1:2" x14ac:dyDescent="0.2">
      <c r="A7" s="311" t="s">
        <v>1</v>
      </c>
      <c r="B7" t="str">
        <f>GENIUS!T6</f>
        <v>&amp;=Master.OPPORTUNITY_BRANCHCODE</v>
      </c>
    </row>
    <row r="8" spans="1:2" x14ac:dyDescent="0.2">
      <c r="A8" s="311" t="s">
        <v>2</v>
      </c>
      <c r="B8" t="str">
        <f>GENIUS!T7</f>
        <v>&amp;=Master.ACCOUNT_GENIUSID</v>
      </c>
    </row>
    <row r="9" spans="1:2" x14ac:dyDescent="0.2">
      <c r="A9" s="311" t="s">
        <v>66</v>
      </c>
      <c r="B9" t="str">
        <f>GENIUS!T8</f>
        <v>&amp;=Brokers.BROKER_GENIUSID</v>
      </c>
    </row>
    <row r="10" spans="1:2" x14ac:dyDescent="0.2">
      <c r="A10" s="311" t="s">
        <v>3</v>
      </c>
      <c r="B10" t="str">
        <f>GENIUS!T9</f>
        <v>&amp;=Master.OPPORTUNITY_CEDENT_GENIUS_ID</v>
      </c>
    </row>
    <row r="11" spans="1:2" x14ac:dyDescent="0.2">
      <c r="A11" s="311" t="s">
        <v>2295</v>
      </c>
      <c r="B11" t="str">
        <f>GENIUS!T10</f>
        <v>&amp;=Underwriter.OPPORTUNITYUNDERWRITER_GENIUSID</v>
      </c>
    </row>
    <row r="12" spans="1:2" x14ac:dyDescent="0.2">
      <c r="A12" s="311" t="s">
        <v>70</v>
      </c>
      <c r="B12" s="322" t="str">
        <f>GENIUS!T14</f>
        <v>&amp;=Master.OPPORTUNITY_EFFECTIVEDATESFROM</v>
      </c>
    </row>
    <row r="13" spans="1:2" x14ac:dyDescent="0.2">
      <c r="A13" s="311" t="s">
        <v>72</v>
      </c>
      <c r="B13" s="322" t="str">
        <f>GENIUS!T15</f>
        <v>&amp;=Master.OPPORTUNITY_EFFECTIVEDATESENDFINAL</v>
      </c>
    </row>
    <row r="14" spans="1:2" x14ac:dyDescent="0.2">
      <c r="A14" s="311" t="s">
        <v>2296</v>
      </c>
      <c r="B14" t="str">
        <f>'SF DATA'!C22</f>
        <v/>
      </c>
    </row>
    <row r="15" spans="1:2" x14ac:dyDescent="0.2">
      <c r="A15" s="311" t="s">
        <v>75</v>
      </c>
      <c r="B15" t="str">
        <f>GENIUS!AA3</f>
        <v>OTH</v>
      </c>
    </row>
    <row r="16" spans="1:2" x14ac:dyDescent="0.2">
      <c r="A16" s="311" t="s">
        <v>8</v>
      </c>
      <c r="B16" t="str">
        <f>GENIUS!AA10</f>
        <v>&amp;=Master.OPPORTUNITY_CURRENCYISOCODE</v>
      </c>
    </row>
    <row r="17" spans="1:2" x14ac:dyDescent="0.2">
      <c r="A17" s="311" t="s">
        <v>757</v>
      </c>
      <c r="B17" t="str">
        <f>'SF DATA'!J3</f>
        <v>&amp;=Master.OPPORTUNITY_GENIUS_SIC_ID</v>
      </c>
    </row>
    <row r="18" spans="1:2" x14ac:dyDescent="0.2">
      <c r="A18" s="311" t="s">
        <v>12</v>
      </c>
      <c r="B18" t="str">
        <f>'SF DATA'!J6</f>
        <v/>
      </c>
    </row>
    <row r="19" spans="1:2" x14ac:dyDescent="0.2">
      <c r="A19" s="311" t="s">
        <v>760</v>
      </c>
      <c r="B19" t="str">
        <f>'SF DATA'!J9</f>
        <v/>
      </c>
    </row>
    <row r="20" spans="1:2" x14ac:dyDescent="0.2">
      <c r="A20" s="311" t="s">
        <v>16</v>
      </c>
      <c r="B20" t="str">
        <f>'SF DATA'!J13</f>
        <v/>
      </c>
    </row>
    <row r="21" spans="1:2" x14ac:dyDescent="0.2">
      <c r="A21" s="311" t="s">
        <v>1623</v>
      </c>
      <c r="B21" t="str">
        <f>'SF DATA'!AG3</f>
        <v>&amp;=OppLineItems.OPPORTUNITY_LINEITEM_EXPOSURE_BASE_AMOUNT(noadd)</v>
      </c>
    </row>
    <row r="22" spans="1:2" x14ac:dyDescent="0.2">
      <c r="A22" s="311" t="s">
        <v>539</v>
      </c>
      <c r="B22" t="str">
        <f>'SF DATA'!AH3</f>
        <v>&amp;=OppLineItems.OPPORTUNITY_LINEITEM_RISKLIMIT(noadd)</v>
      </c>
    </row>
    <row r="23" spans="1:2" x14ac:dyDescent="0.2">
      <c r="A23" s="311" t="s">
        <v>540</v>
      </c>
      <c r="B23" t="str">
        <f>IF('SF DATA'!AI3=0,"",'SF DATA'!AI3)</f>
        <v>&amp;=OppLineItems.OPPORTUNITY_LINEITEM_RETENTION(noadd)</v>
      </c>
    </row>
    <row r="24" spans="1:2" x14ac:dyDescent="0.2">
      <c r="A24" s="311" t="s">
        <v>556</v>
      </c>
      <c r="B24" t="str">
        <f>'SF DATA'!AJ3</f>
        <v>&amp;=OppLineItems.OPPORTUNITY_LINEITEM_TOTALPRICE(noadd)</v>
      </c>
    </row>
    <row r="25" spans="1:2" x14ac:dyDescent="0.2">
      <c r="A25" s="311" t="s">
        <v>541</v>
      </c>
      <c r="B25" t="str">
        <f>'SF DATA'!AK3</f>
        <v>&amp;=OppLineItems.OPPORTUNITY_LINEITEM_RETENTION_TYPE(noadd)</v>
      </c>
    </row>
    <row r="26" spans="1:2" x14ac:dyDescent="0.2">
      <c r="A26" s="311" t="s">
        <v>1626</v>
      </c>
      <c r="B26" t="str">
        <f>'SF DATA'!AN3</f>
        <v>&amp;=OppLineItems.OPPORTUNITY_LINEITEM_RISK(NOADD)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92D050"/>
  </sheetPr>
  <dimension ref="A1:EE94"/>
  <sheetViews>
    <sheetView showGridLines="0" tabSelected="1" zoomScale="70" zoomScaleNormal="70" workbookViewId="0">
      <pane xSplit="3" topLeftCell="D1" activePane="topRight" state="frozen"/>
      <selection pane="topRight" activeCell="P46" sqref="O46:P46"/>
    </sheetView>
  </sheetViews>
  <sheetFormatPr defaultColWidth="8.625" defaultRowHeight="15.75" customHeight="1" x14ac:dyDescent="0.2"/>
  <cols>
    <col min="1" max="4" width="7" style="207"/>
    <col min="5" max="5" width="9" style="76" bestFit="1" customWidth="1"/>
    <col min="6" max="10" width="13.5" style="76" customWidth="1"/>
    <col min="11" max="11" width="2.875" style="207" customWidth="1"/>
    <col min="12" max="17" width="13.5" style="76" customWidth="1"/>
    <col min="18" max="18" width="3" style="1" customWidth="1"/>
    <col min="19" max="19" width="17.625" style="76" bestFit="1" customWidth="1"/>
    <col min="20" max="20" width="13.875" style="76" customWidth="1"/>
    <col min="21" max="21" width="23.375" style="76" customWidth="1"/>
    <col min="22" max="24" width="16.5" style="76" customWidth="1"/>
    <col min="25" max="25" width="3" style="1" customWidth="1"/>
    <col min="26" max="26" width="16.5" style="76" customWidth="1"/>
    <col min="27" max="27" width="9.125" style="76" customWidth="1"/>
    <col min="28" max="28" width="13.625" style="76" customWidth="1"/>
    <col min="29" max="29" width="12" style="76" customWidth="1"/>
    <col min="30" max="30" width="13.375" style="76" bestFit="1" customWidth="1"/>
    <col min="31" max="31" width="16.5" style="76" customWidth="1"/>
    <col min="32" max="32" width="3" style="1" customWidth="1"/>
    <col min="33" max="33" width="16.375" style="76" customWidth="1"/>
    <col min="34" max="34" width="16.5" style="76" customWidth="1"/>
    <col min="35" max="35" width="14.625" style="76" customWidth="1"/>
    <col min="36" max="36" width="16.5" style="76" customWidth="1"/>
    <col min="37" max="37" width="10.625" style="76" customWidth="1"/>
    <col min="38" max="38" width="14.625" style="76" customWidth="1"/>
    <col min="39" max="39" width="3" style="1" customWidth="1"/>
    <col min="40" max="40" width="3.875" style="76" bestFit="1" customWidth="1"/>
    <col min="41" max="41" width="14.625" style="76" bestFit="1" customWidth="1"/>
    <col min="42" max="42" width="18.125" style="76" customWidth="1"/>
    <col min="43" max="43" width="25.875" style="76" bestFit="1" customWidth="1"/>
    <col min="44" max="44" width="15.875" style="76" customWidth="1"/>
    <col min="45" max="45" width="18.125" style="76" customWidth="1"/>
    <col min="46" max="46" width="11" style="76" bestFit="1" customWidth="1"/>
    <col min="47" max="47" width="3" style="1" customWidth="1"/>
    <col min="48" max="48" width="9.875" style="76" customWidth="1"/>
    <col min="49" max="50" width="8.75" style="76" customWidth="1"/>
    <col min="51" max="51" width="17" style="76" customWidth="1"/>
    <col min="52" max="52" width="8.625" style="76" customWidth="1"/>
    <col min="53" max="53" width="3" style="1" customWidth="1"/>
    <col min="54" max="54" width="7.125" style="76" customWidth="1"/>
    <col min="55" max="55" width="7" style="76" customWidth="1"/>
    <col min="56" max="56" width="29.75" style="76" customWidth="1"/>
    <col min="57" max="57" width="8.625" style="76" customWidth="1"/>
    <col min="58" max="58" width="3" style="1" customWidth="1"/>
    <col min="59" max="59" width="17" style="76" customWidth="1"/>
    <col min="60" max="60" width="18.75" style="76" customWidth="1"/>
    <col min="61" max="61" width="24.375" style="76" customWidth="1"/>
    <col min="62" max="62" width="9.375" style="76" customWidth="1"/>
    <col min="63" max="63" width="17" style="76" customWidth="1"/>
    <col min="64" max="64" width="18.75" style="76" customWidth="1"/>
    <col min="65" max="65" width="24.375" style="76" customWidth="1"/>
    <col min="66" max="66" width="3" style="1" customWidth="1"/>
    <col min="67" max="67" width="7.125" style="76" customWidth="1"/>
    <col min="68" max="68" width="7" style="76" customWidth="1"/>
    <col min="69" max="69" width="29.75" style="76" customWidth="1"/>
    <col min="70" max="70" width="8.625" style="76" customWidth="1"/>
    <col min="71" max="71" width="3" style="1" customWidth="1"/>
    <col min="72" max="72" width="17" style="76" customWidth="1"/>
    <col min="73" max="73" width="18.75" style="76" customWidth="1"/>
    <col min="74" max="74" width="24.375" style="76" customWidth="1"/>
    <col min="75" max="75" width="9.375" style="76" customWidth="1"/>
    <col min="76" max="76" width="17" style="76" customWidth="1"/>
    <col min="77" max="77" width="18.75" style="76" customWidth="1"/>
    <col min="78" max="78" width="24.375" style="76" customWidth="1"/>
    <col min="79" max="79" width="3" style="1" customWidth="1"/>
    <col min="80" max="80" width="8.625" style="76" customWidth="1"/>
    <col min="81" max="81" width="6" style="76" customWidth="1"/>
    <col min="82" max="84" width="8.625" style="76" customWidth="1"/>
    <col min="85" max="85" width="6" style="76" customWidth="1"/>
    <col min="86" max="87" width="8.625" style="76" customWidth="1"/>
    <col min="88" max="88" width="14.25" style="76" customWidth="1"/>
    <col min="89" max="89" width="12.25" style="76" customWidth="1"/>
    <col min="90" max="90" width="39.875" style="76" customWidth="1"/>
    <col min="91" max="92" width="8.625" style="76" customWidth="1"/>
    <col min="93" max="93" width="3.875" style="76" customWidth="1"/>
    <col min="94" max="94" width="14.75" style="76" customWidth="1"/>
    <col min="95" max="95" width="26.375" style="76" customWidth="1"/>
    <col min="96" max="96" width="30.5" style="76" customWidth="1"/>
    <col min="97" max="97" width="22.125" style="76" customWidth="1"/>
    <col min="98" max="98" width="30.125" style="76" customWidth="1"/>
    <col min="99" max="99" width="24.375" style="76" customWidth="1"/>
    <col min="100" max="100" width="43" style="76" customWidth="1"/>
    <col min="101" max="102" width="8.625" style="76" customWidth="1"/>
    <col min="103" max="103" width="6.625" style="76" customWidth="1"/>
    <col min="104" max="104" width="6" style="76" customWidth="1"/>
    <col min="105" max="106" width="8.625" style="76" customWidth="1"/>
    <col min="107" max="107" width="7" style="76"/>
    <col min="108" max="108" width="9.25" style="76" bestFit="1" customWidth="1"/>
    <col min="109" max="109" width="8.75" style="76" bestFit="1" customWidth="1"/>
    <col min="110" max="110" width="6.75" style="76" customWidth="1"/>
    <col min="111" max="111" width="9.25" style="76" bestFit="1" customWidth="1"/>
    <col min="112" max="112" width="19.125" style="76" customWidth="1"/>
    <col min="113" max="113" width="12.875" style="76" customWidth="1"/>
    <col min="114" max="114" width="7.375" style="76" bestFit="1" customWidth="1"/>
    <col min="115" max="117" width="7" style="76"/>
    <col min="118" max="124" width="11.375" style="76" customWidth="1"/>
    <col min="125" max="126" width="7" style="76"/>
    <col min="127" max="132" width="18.125" style="76" customWidth="1"/>
    <col min="133" max="16384" width="8.625" style="95"/>
  </cols>
  <sheetData>
    <row r="1" spans="1:135" ht="27" customHeight="1" thickBot="1" x14ac:dyDescent="0.25">
      <c r="A1" s="206"/>
      <c r="B1" s="206"/>
      <c r="C1" s="206"/>
      <c r="D1" s="206"/>
      <c r="E1" s="440" t="s">
        <v>837</v>
      </c>
      <c r="F1" s="441"/>
      <c r="G1" s="441"/>
      <c r="H1" s="441"/>
      <c r="I1" s="441"/>
      <c r="J1" s="442"/>
      <c r="K1" s="206"/>
      <c r="L1" s="440" t="s">
        <v>52</v>
      </c>
      <c r="M1" s="441"/>
      <c r="N1" s="441"/>
      <c r="O1" s="441"/>
      <c r="P1" s="441"/>
      <c r="Q1" s="442"/>
      <c r="R1" s="264"/>
      <c r="S1" s="440" t="s">
        <v>63</v>
      </c>
      <c r="T1" s="441"/>
      <c r="U1" s="441"/>
      <c r="V1" s="441"/>
      <c r="W1" s="441"/>
      <c r="X1" s="442"/>
      <c r="Y1" s="264"/>
      <c r="Z1" s="440" t="s">
        <v>74</v>
      </c>
      <c r="AA1" s="441"/>
      <c r="AB1" s="441"/>
      <c r="AC1" s="441"/>
      <c r="AD1" s="441"/>
      <c r="AE1" s="442"/>
      <c r="AF1" s="264"/>
      <c r="AG1" s="440" t="s">
        <v>83</v>
      </c>
      <c r="AH1" s="441"/>
      <c r="AI1" s="441"/>
      <c r="AJ1" s="441"/>
      <c r="AK1" s="441"/>
      <c r="AL1" s="442"/>
      <c r="AM1" s="264"/>
      <c r="AN1" s="440" t="s">
        <v>88</v>
      </c>
      <c r="AO1" s="441"/>
      <c r="AP1" s="441"/>
      <c r="AQ1" s="441"/>
      <c r="AR1" s="441"/>
      <c r="AS1" s="441"/>
      <c r="AT1" s="442"/>
      <c r="AU1" s="264"/>
      <c r="AV1" s="449" t="s">
        <v>98</v>
      </c>
      <c r="AW1" s="450"/>
      <c r="AX1" s="450"/>
      <c r="AY1" s="450"/>
      <c r="AZ1" s="451"/>
      <c r="BA1" s="264"/>
      <c r="BB1" s="428" t="s">
        <v>862</v>
      </c>
      <c r="BC1" s="429"/>
      <c r="BD1" s="429"/>
      <c r="BE1" s="429"/>
      <c r="BF1" s="429"/>
      <c r="BG1" s="429"/>
      <c r="BH1" s="429"/>
      <c r="BI1" s="429"/>
      <c r="BJ1" s="429"/>
      <c r="BK1" s="429"/>
      <c r="BL1" s="429"/>
      <c r="BM1" s="430"/>
      <c r="BN1" s="264"/>
      <c r="BO1" s="428" t="s">
        <v>1442</v>
      </c>
      <c r="BP1" s="429"/>
      <c r="BQ1" s="429"/>
      <c r="BR1" s="429"/>
      <c r="BS1" s="429"/>
      <c r="BT1" s="429"/>
      <c r="BU1" s="429"/>
      <c r="BV1" s="429"/>
      <c r="BW1" s="429"/>
      <c r="BX1" s="429"/>
      <c r="BY1" s="429"/>
      <c r="BZ1" s="430"/>
      <c r="CA1" s="264"/>
      <c r="CB1" s="446" t="s">
        <v>1447</v>
      </c>
      <c r="CC1" s="447"/>
      <c r="CD1" s="448"/>
      <c r="CE1" s="143"/>
      <c r="CF1" s="446" t="s">
        <v>98</v>
      </c>
      <c r="CG1" s="447"/>
      <c r="CH1" s="448"/>
      <c r="CI1" s="143"/>
      <c r="CJ1" s="446" t="s">
        <v>1448</v>
      </c>
      <c r="CK1" s="447"/>
      <c r="CL1" s="447"/>
      <c r="CM1" s="448"/>
      <c r="CN1" s="143"/>
      <c r="CO1" s="446" t="s">
        <v>120</v>
      </c>
      <c r="CP1" s="447"/>
      <c r="CQ1" s="447"/>
      <c r="CR1" s="447"/>
      <c r="CS1" s="447"/>
      <c r="CT1" s="447"/>
      <c r="CU1" s="447"/>
      <c r="CV1" s="447"/>
      <c r="CW1" s="448"/>
      <c r="CX1" s="143"/>
      <c r="CY1" s="446" t="s">
        <v>1451</v>
      </c>
      <c r="CZ1" s="447"/>
      <c r="DA1" s="448"/>
      <c r="DB1" s="143"/>
      <c r="DC1" s="446" t="s">
        <v>1452</v>
      </c>
      <c r="DD1" s="447"/>
      <c r="DE1" s="447"/>
      <c r="DF1" s="447"/>
      <c r="DG1" s="447"/>
      <c r="DH1" s="447"/>
      <c r="DI1" s="447"/>
      <c r="DJ1" s="448"/>
      <c r="DK1" s="143"/>
      <c r="DL1" s="446" t="s">
        <v>143</v>
      </c>
      <c r="DM1" s="447"/>
      <c r="DN1" s="447"/>
      <c r="DO1" s="447"/>
      <c r="DP1" s="447"/>
      <c r="DQ1" s="447"/>
      <c r="DR1" s="447"/>
      <c r="DS1" s="447"/>
      <c r="DT1" s="447"/>
      <c r="DU1" s="448"/>
      <c r="DV1" s="143"/>
      <c r="DW1" s="440" t="s">
        <v>83</v>
      </c>
      <c r="DX1" s="441"/>
      <c r="DY1" s="441"/>
      <c r="DZ1" s="441"/>
      <c r="EA1" s="441"/>
      <c r="EB1" s="442"/>
    </row>
    <row r="2" spans="1:135" ht="15.75" customHeight="1" thickBot="1" x14ac:dyDescent="0.25">
      <c r="E2" s="77"/>
      <c r="F2" s="21"/>
      <c r="G2" s="21"/>
      <c r="H2" s="21"/>
      <c r="I2" s="21"/>
      <c r="J2" s="78"/>
      <c r="L2" s="77"/>
      <c r="M2" s="21"/>
      <c r="N2" s="21"/>
      <c r="O2" s="21"/>
      <c r="P2" s="21"/>
      <c r="Q2" s="78"/>
      <c r="S2" s="79"/>
      <c r="X2" s="80"/>
      <c r="Z2" s="77"/>
      <c r="AA2" s="21"/>
      <c r="AB2" s="21"/>
      <c r="AC2" s="21"/>
      <c r="AD2" s="21"/>
      <c r="AE2" s="78"/>
      <c r="AG2" s="77"/>
      <c r="AH2" s="21"/>
      <c r="AI2" s="21"/>
      <c r="AJ2" s="21"/>
      <c r="AK2" s="21"/>
      <c r="AL2" s="78"/>
      <c r="AN2" s="77"/>
      <c r="AO2" s="21"/>
      <c r="AP2" s="21"/>
      <c r="AQ2" s="21"/>
      <c r="AR2" s="21"/>
      <c r="AS2" s="21"/>
      <c r="AT2" s="78"/>
      <c r="AV2" s="105"/>
      <c r="AZ2" s="106"/>
      <c r="BB2" s="431" t="s">
        <v>853</v>
      </c>
      <c r="BC2" s="432"/>
      <c r="BD2" s="432"/>
      <c r="BE2" s="433"/>
      <c r="BG2" s="443" t="s">
        <v>117</v>
      </c>
      <c r="BH2" s="444"/>
      <c r="BI2" s="444"/>
      <c r="BJ2" s="444"/>
      <c r="BK2" s="444"/>
      <c r="BL2" s="444"/>
      <c r="BM2" s="445"/>
      <c r="BO2" s="431" t="s">
        <v>853</v>
      </c>
      <c r="BP2" s="432"/>
      <c r="BQ2" s="432"/>
      <c r="BR2" s="433"/>
      <c r="BT2" s="434" t="s">
        <v>117</v>
      </c>
      <c r="BU2" s="435"/>
      <c r="BV2" s="435"/>
      <c r="BW2" s="435"/>
      <c r="BX2" s="435"/>
      <c r="BY2" s="435"/>
      <c r="BZ2" s="436"/>
      <c r="CB2" s="79"/>
      <c r="CD2" s="80"/>
      <c r="CF2" s="79"/>
      <c r="CH2" s="80"/>
      <c r="CJ2" s="262" t="s">
        <v>272</v>
      </c>
      <c r="CK2" s="76" t="str">
        <f>IF('SF DATA'!D23="","","F6")</f>
        <v>F6</v>
      </c>
      <c r="CM2" s="80"/>
      <c r="CO2" s="456" t="s">
        <v>37</v>
      </c>
      <c r="CP2" s="457"/>
      <c r="CQ2" s="457"/>
      <c r="CR2" s="457"/>
      <c r="CS2" s="457"/>
      <c r="CT2" s="457"/>
      <c r="CU2" s="457"/>
      <c r="CV2" s="457"/>
      <c r="CW2" s="458"/>
      <c r="CY2" s="79"/>
      <c r="DA2" s="80"/>
      <c r="DC2" s="79"/>
      <c r="DD2" s="142" t="s">
        <v>272</v>
      </c>
      <c r="DE2" s="147" t="s">
        <v>1453</v>
      </c>
      <c r="DH2" s="258" t="s">
        <v>1677</v>
      </c>
      <c r="DI2" s="303" t="s">
        <v>1456</v>
      </c>
      <c r="DJ2" s="80"/>
      <c r="DL2" s="79"/>
      <c r="DU2" s="80"/>
      <c r="DW2" s="77"/>
      <c r="DX2" s="21"/>
      <c r="DY2" s="21"/>
      <c r="DZ2" s="21"/>
      <c r="EA2" s="21"/>
      <c r="EB2" s="78"/>
      <c r="ED2" s="95" t="s">
        <v>1609</v>
      </c>
      <c r="EE2" s="95" t="s">
        <v>591</v>
      </c>
    </row>
    <row r="3" spans="1:135" ht="15.75" customHeight="1" x14ac:dyDescent="0.2">
      <c r="E3" s="77">
        <v>1</v>
      </c>
      <c r="F3" s="21" t="s">
        <v>838</v>
      </c>
      <c r="G3" s="21"/>
      <c r="H3" s="21"/>
      <c r="I3" s="21"/>
      <c r="J3" s="78"/>
      <c r="L3" s="262" t="s">
        <v>53</v>
      </c>
      <c r="M3" s="21">
        <v>1</v>
      </c>
      <c r="Q3" s="78"/>
      <c r="S3" s="263" t="s">
        <v>64</v>
      </c>
      <c r="T3" s="76" t="str">
        <f>IFERROR(CONCATENATE(DataBase!F2,"-",'SF DATA'!D4,"-",UPPER('SF DATA'!D10)),"")</f>
        <v/>
      </c>
      <c r="X3" s="80"/>
      <c r="Z3" s="262" t="s">
        <v>75</v>
      </c>
      <c r="AA3" s="21" t="str">
        <f>+'SF DATA'!C28</f>
        <v>OTH</v>
      </c>
      <c r="AB3" s="21" t="str">
        <f>+'SF DATA'!D28</f>
        <v>OTHER</v>
      </c>
      <c r="AC3" s="21"/>
      <c r="AD3" s="98" t="s">
        <v>76</v>
      </c>
      <c r="AE3" s="78" t="str">
        <f>+'SF DATA'!C29</f>
        <v>&amp;=Master.OPPORTUNITY_NUMBEROFINSTALMENTS</v>
      </c>
      <c r="AG3" s="389" t="s">
        <v>84</v>
      </c>
      <c r="AH3" s="390" t="s">
        <v>85</v>
      </c>
      <c r="AI3" s="390" t="s">
        <v>86</v>
      </c>
      <c r="AJ3" s="390" t="s">
        <v>87</v>
      </c>
      <c r="AK3" s="21"/>
      <c r="AL3" s="390" t="s">
        <v>51</v>
      </c>
      <c r="AN3" s="199"/>
      <c r="AO3" s="142" t="s">
        <v>48</v>
      </c>
      <c r="AP3" s="229" t="str">
        <f>+'SF DATA'!F76</f>
        <v>&amp;=Master.OPPORTUNITY_SIGNED_ORDER(Numeric)</v>
      </c>
      <c r="AQ3" s="21"/>
      <c r="AR3" s="142" t="s">
        <v>89</v>
      </c>
      <c r="AS3" s="229" t="str">
        <f>+AP3</f>
        <v>&amp;=Master.OPPORTUNITY_SIGNED_ORDER(Numeric)</v>
      </c>
      <c r="AT3" s="78"/>
      <c r="AV3" s="101" t="s">
        <v>91</v>
      </c>
      <c r="AW3" s="98" t="s">
        <v>99</v>
      </c>
      <c r="AX3" s="98" t="s">
        <v>99</v>
      </c>
      <c r="AY3" s="98" t="s">
        <v>100</v>
      </c>
      <c r="AZ3" s="106"/>
      <c r="BB3" s="132"/>
      <c r="BC3" s="95"/>
      <c r="BD3" s="95"/>
      <c r="BE3" s="133"/>
      <c r="BG3" s="77"/>
      <c r="BH3" s="21"/>
      <c r="BI3" s="21"/>
      <c r="BJ3" s="21"/>
      <c r="BK3" s="21"/>
      <c r="BL3" s="21"/>
      <c r="BM3" s="78"/>
      <c r="BO3" s="132"/>
      <c r="BP3" s="95"/>
      <c r="BQ3" s="95"/>
      <c r="BR3" s="133"/>
      <c r="BT3" s="99"/>
      <c r="BU3" s="21"/>
      <c r="BV3" s="21"/>
      <c r="BW3" s="21"/>
      <c r="BX3" s="21"/>
      <c r="BY3" s="21"/>
      <c r="BZ3" s="100"/>
      <c r="CB3" s="79"/>
      <c r="CD3" s="80"/>
      <c r="CF3" s="79"/>
      <c r="CH3" s="80"/>
      <c r="CJ3" s="79"/>
      <c r="CM3" s="80"/>
      <c r="CO3" s="79"/>
      <c r="CW3" s="80"/>
      <c r="CY3" s="79"/>
      <c r="DA3" s="80"/>
      <c r="DC3" s="79"/>
      <c r="DD3" s="142" t="s">
        <v>1454</v>
      </c>
      <c r="DE3" s="147" t="s">
        <v>1455</v>
      </c>
      <c r="DG3" s="95"/>
      <c r="DH3" s="259" t="s">
        <v>1678</v>
      </c>
      <c r="DI3" s="323" t="e">
        <f>DI2*((AP3/100)*(AP4/100))</f>
        <v>#VALUE!</v>
      </c>
      <c r="DJ3" s="80"/>
      <c r="DL3" s="79"/>
      <c r="DP3" s="142" t="s">
        <v>1457</v>
      </c>
      <c r="DQ3" s="76" t="str">
        <f>+'SF DATA'!C26</f>
        <v/>
      </c>
      <c r="DR3" s="76" t="str">
        <f>+'SF DATA'!D26</f>
        <v>&amp;=Master.OPPORTUNITY_LIBERTYROLE</v>
      </c>
      <c r="DU3" s="80"/>
      <c r="DW3" s="389" t="s">
        <v>84</v>
      </c>
      <c r="DX3" s="390" t="s">
        <v>85</v>
      </c>
      <c r="DY3" s="390" t="s">
        <v>86</v>
      </c>
      <c r="DZ3" s="390" t="s">
        <v>87</v>
      </c>
      <c r="EA3" s="21"/>
      <c r="EB3" s="390" t="s">
        <v>51</v>
      </c>
      <c r="ED3" s="95" t="s">
        <v>97</v>
      </c>
      <c r="EE3" s="95">
        <v>0</v>
      </c>
    </row>
    <row r="4" spans="1:135" ht="15.75" customHeight="1" x14ac:dyDescent="0.2">
      <c r="E4" s="77">
        <v>2</v>
      </c>
      <c r="F4" s="21" t="s">
        <v>839</v>
      </c>
      <c r="G4" s="21"/>
      <c r="H4" s="21"/>
      <c r="I4" s="21"/>
      <c r="J4" s="78"/>
      <c r="L4" s="262" t="s">
        <v>58</v>
      </c>
      <c r="M4" s="21" t="str">
        <f>IF(OR('SF DATA'!C7&lt;&gt;"",'SF DATA'!D24="renew"),"11","01")</f>
        <v>11</v>
      </c>
      <c r="N4" s="95"/>
      <c r="O4" s="21" t="s">
        <v>54</v>
      </c>
      <c r="P4" s="21" t="s">
        <v>55</v>
      </c>
      <c r="Q4" s="78"/>
      <c r="S4" s="263" t="s">
        <v>65</v>
      </c>
      <c r="T4" s="76" t="str">
        <f>IF('SF DATA'!C9="LSSPAULO","LS"&amp;'SF DATA'!C6,IF('SF DATA'!C6&lt;&gt;"",'SF DATA'!C6,""))</f>
        <v>&amp;=Master.OPPORTUNITY_OPP_POLICY_NUMBER</v>
      </c>
      <c r="X4" s="80"/>
      <c r="Z4" s="77"/>
      <c r="AA4" s="21"/>
      <c r="AB4" s="21"/>
      <c r="AC4" s="21"/>
      <c r="AD4" s="21"/>
      <c r="AE4" s="78"/>
      <c r="AG4" s="389"/>
      <c r="AH4" s="390"/>
      <c r="AI4" s="390"/>
      <c r="AJ4" s="390"/>
      <c r="AK4" s="21"/>
      <c r="AL4" s="390"/>
      <c r="AN4" s="199"/>
      <c r="AO4" s="142" t="s">
        <v>49</v>
      </c>
      <c r="AP4" s="229" t="str">
        <f>+'SF DATA'!F77</f>
        <v>&amp;=Master.OPPORTUNITY_SIGNED_LINE</v>
      </c>
      <c r="AQ4" s="21"/>
      <c r="AR4" s="142" t="s">
        <v>90</v>
      </c>
      <c r="AS4" s="229" t="str">
        <f>+AP4</f>
        <v>&amp;=Master.OPPORTUNITY_SIGNED_LINE</v>
      </c>
      <c r="AT4" s="78"/>
      <c r="AV4" s="107" t="str">
        <f>IF(('SF DATA'!$N$18=0)+('SF DATA'!$N$18=""),"",2)</f>
        <v/>
      </c>
      <c r="AW4" s="76">
        <v>1</v>
      </c>
      <c r="AX4" s="76" t="s">
        <v>103</v>
      </c>
      <c r="AY4" s="76" t="s">
        <v>103</v>
      </c>
      <c r="AZ4" s="100"/>
      <c r="BB4" s="132"/>
      <c r="BC4" s="95"/>
      <c r="BD4" s="95"/>
      <c r="BE4" s="133"/>
      <c r="BG4" s="284" t="s">
        <v>272</v>
      </c>
      <c r="BH4" s="125" t="s">
        <v>273</v>
      </c>
      <c r="BI4" s="21"/>
      <c r="BJ4" s="21"/>
      <c r="BK4" s="21"/>
      <c r="BL4" s="21"/>
      <c r="BM4" s="78"/>
      <c r="BO4" s="132"/>
      <c r="BP4" s="95"/>
      <c r="BQ4" s="95"/>
      <c r="BR4" s="133"/>
      <c r="BT4" s="124" t="s">
        <v>272</v>
      </c>
      <c r="BU4" s="125" t="s">
        <v>273</v>
      </c>
      <c r="BV4" s="21"/>
      <c r="BW4" s="21"/>
      <c r="BX4" s="21"/>
      <c r="BY4" s="21"/>
      <c r="BZ4" s="100"/>
      <c r="CB4" s="263" t="s">
        <v>1449</v>
      </c>
      <c r="CC4" s="147" t="s">
        <v>1450</v>
      </c>
      <c r="CD4" s="80"/>
      <c r="CF4" s="263" t="s">
        <v>1449</v>
      </c>
      <c r="CG4" s="147" t="s">
        <v>1450</v>
      </c>
      <c r="CH4" s="80"/>
      <c r="CJ4" s="262" t="s">
        <v>236</v>
      </c>
      <c r="CK4" s="76" t="str">
        <f>IF('SF DATA'!D23="","","P")</f>
        <v>P</v>
      </c>
      <c r="CM4" s="78"/>
      <c r="CO4" s="79"/>
      <c r="CQ4" s="146" t="s">
        <v>1444</v>
      </c>
      <c r="CR4" s="264"/>
      <c r="CS4" s="146" t="s">
        <v>268</v>
      </c>
      <c r="CT4" s="264"/>
      <c r="CU4" s="144" t="s">
        <v>1445</v>
      </c>
      <c r="CW4" s="80"/>
      <c r="CY4" s="263" t="s">
        <v>272</v>
      </c>
      <c r="CZ4" s="147" t="s">
        <v>1450</v>
      </c>
      <c r="DA4" s="80"/>
      <c r="DC4" s="79"/>
      <c r="DD4" s="142" t="s">
        <v>272</v>
      </c>
      <c r="DE4" s="147" t="s">
        <v>1450</v>
      </c>
      <c r="DG4" s="95"/>
      <c r="DH4" s="260" t="str">
        <f>IF(+AP7="","",+AP7)</f>
        <v>COM</v>
      </c>
      <c r="DI4" s="304" t="e">
        <f>IF(DH4="",0,(+$DI$3*(AR7/100)))*-1</f>
        <v>#VALUE!</v>
      </c>
      <c r="DJ4" s="80"/>
      <c r="DL4" s="79"/>
      <c r="DU4" s="80"/>
      <c r="DW4" s="389"/>
      <c r="DX4" s="390"/>
      <c r="DY4" s="390"/>
      <c r="DZ4" s="390"/>
      <c r="EA4" s="21"/>
      <c r="EB4" s="390"/>
      <c r="ED4" s="95" t="s">
        <v>148</v>
      </c>
      <c r="EE4" s="95" t="s">
        <v>756</v>
      </c>
    </row>
    <row r="5" spans="1:135" ht="15.75" customHeight="1" thickBot="1" x14ac:dyDescent="0.25">
      <c r="E5" s="77">
        <v>3</v>
      </c>
      <c r="F5" s="21" t="s">
        <v>840</v>
      </c>
      <c r="G5" s="21"/>
      <c r="H5" s="21"/>
      <c r="I5" s="21"/>
      <c r="J5" s="78"/>
      <c r="L5" s="77"/>
      <c r="M5" s="21"/>
      <c r="N5" s="95"/>
      <c r="O5" s="21" t="s">
        <v>56</v>
      </c>
      <c r="P5" s="21" t="s">
        <v>57</v>
      </c>
      <c r="Q5" s="78"/>
      <c r="S5" s="263" t="s">
        <v>0</v>
      </c>
      <c r="T5" s="76" t="str">
        <f>+'SF DATA'!C8</f>
        <v>&amp;=Master.OPPORTUNITY_COMPANYCODE</v>
      </c>
      <c r="U5" s="76" t="str">
        <f>+'SF DATA'!D8</f>
        <v/>
      </c>
      <c r="X5" s="80"/>
      <c r="Z5" s="77"/>
      <c r="AA5" s="21"/>
      <c r="AB5" s="21"/>
      <c r="AC5" s="21"/>
      <c r="AD5" s="21"/>
      <c r="AE5" s="78"/>
      <c r="AG5" s="97" t="str">
        <f>+'SF DATA'!C18</f>
        <v>&amp;=Master.OPPORTUNITY_EFFECTIVEDATESFROM</v>
      </c>
      <c r="AH5" s="81" t="str">
        <f>+'SF DATA'!C19</f>
        <v>&amp;=Master.OPPORTUNITY_EFFECTIVEDATESENDFINAL</v>
      </c>
      <c r="AI5" s="21" t="e">
        <f>+'SF DATA'!C36</f>
        <v>#VALUE!</v>
      </c>
      <c r="AJ5" s="81" t="str">
        <f>+'SF DATA'!B36</f>
        <v>&amp;=Instalments.INSTALMENT_DATE(Noadd)</v>
      </c>
      <c r="AK5" s="21"/>
      <c r="AL5" s="255" t="str">
        <f>IFERROR(((IF('SF DATA'!D36="","",'SF DATA'!D36))*100),"")</f>
        <v/>
      </c>
      <c r="AN5" s="77"/>
      <c r="AO5" s="230"/>
      <c r="AP5" s="21"/>
      <c r="AQ5" s="21"/>
      <c r="AR5" s="21"/>
      <c r="AS5" s="21"/>
      <c r="AT5" s="78"/>
      <c r="AV5" s="107"/>
      <c r="AW5" s="76">
        <v>2</v>
      </c>
      <c r="AX5" s="76" t="s">
        <v>104</v>
      </c>
      <c r="AY5" s="76" t="s">
        <v>110</v>
      </c>
      <c r="AZ5" s="100"/>
      <c r="BB5" s="101" t="s">
        <v>91</v>
      </c>
      <c r="BC5" s="98" t="s">
        <v>854</v>
      </c>
      <c r="BD5" s="98" t="s">
        <v>855</v>
      </c>
      <c r="BE5" s="133"/>
      <c r="BG5" s="77"/>
      <c r="BH5" s="21"/>
      <c r="BI5" s="21"/>
      <c r="BJ5" s="21"/>
      <c r="BK5" s="21"/>
      <c r="BL5" s="21"/>
      <c r="BM5" s="78"/>
      <c r="BO5" s="101" t="s">
        <v>91</v>
      </c>
      <c r="BP5" s="98" t="s">
        <v>854</v>
      </c>
      <c r="BQ5" s="98" t="s">
        <v>855</v>
      </c>
      <c r="BR5" s="133"/>
      <c r="BT5" s="99"/>
      <c r="BU5" s="21"/>
      <c r="BV5" s="21"/>
      <c r="BW5" s="21"/>
      <c r="BX5" s="21"/>
      <c r="BY5" s="21"/>
      <c r="BZ5" s="100"/>
      <c r="CB5" s="79"/>
      <c r="CD5" s="80"/>
      <c r="CF5" s="79"/>
      <c r="CH5" s="80"/>
      <c r="CJ5" s="262" t="s">
        <v>238</v>
      </c>
      <c r="CK5" s="76" t="str">
        <f>IF('SF DATA'!D23="","","AFF")</f>
        <v>AFF</v>
      </c>
      <c r="CM5" s="78"/>
      <c r="CO5" s="79"/>
      <c r="CS5" s="76" t="str">
        <f>IFERROR((IF('SF DATA'!$C$18&gt;=DataBase!$AA$3,VLOOKUP($T$6,DataBase!$W$4:$AA$27,5,0),IF('SF DATA'!$C$18&gt;=DataBase!$Z$3,VLOOKUP($T$6,DataBase!$W$4:$Z$27,4,0),IF('SF DATA'!$C$18&gt;DataBase!Y3,VLOOKUP($T$6,DataBase!$W$4:$Z$27,3,0),IF('SF DATA'!$C$18&gt;=DataBase!$X$3,VLOOKUP($T$6,DataBase!$W$4:$Z$27,2,0),""))))),"")</f>
        <v/>
      </c>
      <c r="CU5" s="76" t="str">
        <f>IF((CS5=0)+(CS5=""),"",FAC!I30*100)</f>
        <v/>
      </c>
      <c r="CW5" s="80"/>
      <c r="CY5" s="79"/>
      <c r="DA5" s="80"/>
      <c r="DC5" s="79"/>
      <c r="DD5" s="142" t="s">
        <v>272</v>
      </c>
      <c r="DE5" s="147" t="s">
        <v>1458</v>
      </c>
      <c r="DH5" s="260" t="str">
        <f t="shared" ref="DH5:DH18" si="0">IF(+AP8="","",+AP8)</f>
        <v>UPT</v>
      </c>
      <c r="DI5" s="304">
        <f>IF('SF DATA'!D22="Puerto Rico", "INGRESA UPT DE GENIUS PARA CALCULAR",0)</f>
        <v>0</v>
      </c>
      <c r="DJ5" s="80"/>
      <c r="DL5" s="79"/>
      <c r="DP5" s="264" t="s">
        <v>177</v>
      </c>
      <c r="DQ5" s="142" t="s">
        <v>20</v>
      </c>
      <c r="DR5" s="148" t="str">
        <f>+DI2</f>
        <v>&amp;=Master.OPPORTUNITY_PREMIUMGROSS</v>
      </c>
      <c r="DU5" s="80"/>
      <c r="DW5" s="97" t="str">
        <f t="shared" ref="DW5:DW42" si="1">+AG5</f>
        <v>&amp;=Master.OPPORTUNITY_EFFECTIVEDATESFROM</v>
      </c>
      <c r="DX5" s="81" t="str">
        <f t="shared" ref="DX5:DX42" si="2">+AH5</f>
        <v>&amp;=Master.OPPORTUNITY_EFFECTIVEDATESENDFINAL</v>
      </c>
      <c r="DY5" s="21" t="e">
        <f t="shared" ref="DY5:DY42" si="3">+AI5</f>
        <v>#VALUE!</v>
      </c>
      <c r="DZ5" s="81" t="str">
        <f t="shared" ref="DZ5:DZ42" si="4">+AJ5</f>
        <v>&amp;=Instalments.INSTALMENT_DATE(Noadd)</v>
      </c>
      <c r="EA5" s="21"/>
      <c r="EB5" s="255" t="str">
        <f t="shared" ref="EB5:EB42" si="5">+AL5</f>
        <v/>
      </c>
      <c r="ED5" s="95" t="s">
        <v>742</v>
      </c>
      <c r="EE5" s="95" t="s">
        <v>179</v>
      </c>
    </row>
    <row r="6" spans="1:135" ht="15.75" customHeight="1" thickBot="1" x14ac:dyDescent="0.25">
      <c r="E6" s="77">
        <v>4</v>
      </c>
      <c r="F6" s="81" t="s">
        <v>841</v>
      </c>
      <c r="G6" s="21"/>
      <c r="H6" s="21"/>
      <c r="I6" s="21"/>
      <c r="J6" s="78"/>
      <c r="L6" s="262" t="s">
        <v>59</v>
      </c>
      <c r="M6" s="81" t="str">
        <f>IF('SF DATA'!C7="",'SF DATA'!D18,"")</f>
        <v/>
      </c>
      <c r="N6" s="21"/>
      <c r="O6" s="21"/>
      <c r="P6" s="21"/>
      <c r="Q6" s="78"/>
      <c r="S6" s="263" t="s">
        <v>1</v>
      </c>
      <c r="T6" s="76" t="str">
        <f>+'SF DATA'!C9</f>
        <v>&amp;=Master.OPPORTUNITY_BRANCHCODE</v>
      </c>
      <c r="U6" s="76" t="str">
        <f>+'SF DATA'!D9</f>
        <v/>
      </c>
      <c r="X6" s="80"/>
      <c r="Z6" s="262" t="s">
        <v>77</v>
      </c>
      <c r="AA6" s="21" t="str">
        <f>+'SF DATA'!C31</f>
        <v/>
      </c>
      <c r="AB6" s="21" t="str">
        <f>+'SF DATA'!D31</f>
        <v>&amp;=Master.OPPORTUNITY_CANCELLATION</v>
      </c>
      <c r="AC6" s="21"/>
      <c r="AD6" s="142" t="s">
        <v>9</v>
      </c>
      <c r="AE6" s="78" t="str">
        <f>+'SF DATA'!C32</f>
        <v>&amp;=Master.OPPORTUNITY_CANCELLATIONPERIOD</v>
      </c>
      <c r="AG6" s="97" t="str">
        <f t="shared" ref="AG6:AG42" si="6">IF(AJ6="","",$AG$5)</f>
        <v>&amp;=Master.OPPORTUNITY_EFFECTIVEDATESFROM</v>
      </c>
      <c r="AH6" s="81" t="str">
        <f t="shared" ref="AH6:AH42" si="7">IF(AJ6="","",$AH$5)</f>
        <v>&amp;=Master.OPPORTUNITY_EFFECTIVEDATESENDFINAL</v>
      </c>
      <c r="AI6" s="21" t="e">
        <f>IF((+'SF DATA'!C37="")+(+'SF DATA'!C37=0),"",+'SF DATA'!C37)</f>
        <v>#VALUE!</v>
      </c>
      <c r="AJ6" s="81">
        <f>IF('SF DATA'!B37="","",'SF DATA'!B37)</f>
        <v>0</v>
      </c>
      <c r="AK6" s="21"/>
      <c r="AL6" s="255" t="str">
        <f>IFERROR(((IF('SF DATA'!D37="","",'SF DATA'!D37))*100),"")</f>
        <v/>
      </c>
      <c r="AN6" s="262" t="s">
        <v>91</v>
      </c>
      <c r="AO6" s="98" t="s">
        <v>92</v>
      </c>
      <c r="AP6" s="98" t="s">
        <v>93</v>
      </c>
      <c r="AQ6" s="98" t="s">
        <v>852</v>
      </c>
      <c r="AR6" s="98" t="s">
        <v>94</v>
      </c>
      <c r="AS6" s="98" t="s">
        <v>95</v>
      </c>
      <c r="AT6" s="200" t="s">
        <v>96</v>
      </c>
      <c r="AV6" s="107" t="str">
        <f>IF(('SF DATA'!$N$19=0)+('SF DATA'!$N$19=""),"",2)</f>
        <v/>
      </c>
      <c r="AW6" s="76">
        <v>3</v>
      </c>
      <c r="AX6" s="76" t="s">
        <v>29</v>
      </c>
      <c r="AY6" s="76" t="s">
        <v>111</v>
      </c>
      <c r="AZ6" s="100"/>
      <c r="BB6" s="99" t="str">
        <f>IF(('SF DATA'!$N$18=0)+('SF DATA'!$N$18=""),"",2)</f>
        <v/>
      </c>
      <c r="BC6" s="111" t="s">
        <v>829</v>
      </c>
      <c r="BD6" s="111" t="s">
        <v>860</v>
      </c>
      <c r="BE6" s="133"/>
      <c r="BG6" s="391" t="s">
        <v>117</v>
      </c>
      <c r="BH6" s="392"/>
      <c r="BI6" s="392"/>
      <c r="BJ6" s="392"/>
      <c r="BK6" s="392"/>
      <c r="BL6" s="392"/>
      <c r="BM6" s="393"/>
      <c r="BO6" s="99" t="str">
        <f>IF(('SF DATA'!$N$19=0)+('SF DATA'!$N$19=""),"",2)</f>
        <v/>
      </c>
      <c r="BP6" s="111" t="s">
        <v>829</v>
      </c>
      <c r="BQ6" s="111" t="s">
        <v>860</v>
      </c>
      <c r="BR6" s="133"/>
      <c r="BT6" s="437" t="s">
        <v>117</v>
      </c>
      <c r="BU6" s="438"/>
      <c r="BV6" s="438"/>
      <c r="BW6" s="438"/>
      <c r="BX6" s="438"/>
      <c r="BY6" s="438"/>
      <c r="BZ6" s="439"/>
      <c r="CB6" s="79"/>
      <c r="CD6" s="80"/>
      <c r="CF6" s="79"/>
      <c r="CH6" s="80"/>
      <c r="CJ6" s="262" t="s">
        <v>239</v>
      </c>
      <c r="CK6" s="76" t="str">
        <f>IFERROR(VLOOKUP(CL6,DataBase!$AG$3:$AI$40,3,0),"")</f>
        <v/>
      </c>
      <c r="CL6" s="21" t="str">
        <f>IF(OR('SF DATA'!$D$23=DataBase!AG27,'SF DATA'!$D$23=DataBase!AG28),DataBase!AG26,"")</f>
        <v/>
      </c>
      <c r="CM6" s="78"/>
      <c r="CO6" s="79"/>
      <c r="CW6" s="80"/>
      <c r="CY6" s="79"/>
      <c r="DA6" s="80"/>
      <c r="DC6" s="79"/>
      <c r="DD6" s="142" t="s">
        <v>1459</v>
      </c>
      <c r="DE6" s="147">
        <v>3</v>
      </c>
      <c r="DH6" s="260" t="str">
        <f>IF(+AP9="","",+AP9)</f>
        <v/>
      </c>
      <c r="DI6" s="304">
        <f>IF(DH6="",0,(+$DI$3*(AR9/100)))*-1</f>
        <v>0</v>
      </c>
      <c r="DJ6" s="80"/>
      <c r="DL6" s="79"/>
      <c r="DU6" s="80"/>
      <c r="DW6" s="97" t="str">
        <f t="shared" si="1"/>
        <v>&amp;=Master.OPPORTUNITY_EFFECTIVEDATESFROM</v>
      </c>
      <c r="DX6" s="81" t="str">
        <f t="shared" si="2"/>
        <v>&amp;=Master.OPPORTUNITY_EFFECTIVEDATESENDFINAL</v>
      </c>
      <c r="DY6" s="21" t="e">
        <f t="shared" si="3"/>
        <v>#VALUE!</v>
      </c>
      <c r="DZ6" s="81">
        <f t="shared" si="4"/>
        <v>0</v>
      </c>
      <c r="EA6" s="21"/>
      <c r="EB6" s="255" t="str">
        <f t="shared" si="5"/>
        <v/>
      </c>
      <c r="ED6" s="95" t="s">
        <v>749</v>
      </c>
      <c r="EE6" s="95" t="s">
        <v>192</v>
      </c>
    </row>
    <row r="7" spans="1:135" ht="15.75" customHeight="1" x14ac:dyDescent="0.2">
      <c r="E7" s="77">
        <v>5</v>
      </c>
      <c r="F7" s="21" t="s">
        <v>842</v>
      </c>
      <c r="G7" s="21"/>
      <c r="H7" s="21"/>
      <c r="I7" s="21"/>
      <c r="J7" s="78"/>
      <c r="L7" s="262" t="s">
        <v>60</v>
      </c>
      <c r="M7" s="21" t="str">
        <f>'SF DATA'!D4</f>
        <v>CAS</v>
      </c>
      <c r="N7" s="21"/>
      <c r="O7" s="21"/>
      <c r="P7" s="21"/>
      <c r="Q7" s="78"/>
      <c r="S7" s="263" t="s">
        <v>2</v>
      </c>
      <c r="T7" s="76" t="str">
        <f>+'SF DATA'!C10</f>
        <v>&amp;=Master.ACCOUNT_GENIUSID</v>
      </c>
      <c r="U7" s="76" t="str">
        <f>+'SF DATA'!D10</f>
        <v>&amp;=Master.OPPORTUNITY_ACCOUNT_NAME</v>
      </c>
      <c r="W7" s="93"/>
      <c r="X7" s="80"/>
      <c r="Z7" s="77"/>
      <c r="AA7" s="21"/>
      <c r="AB7" s="21"/>
      <c r="AC7" s="21"/>
      <c r="AD7" s="21"/>
      <c r="AE7" s="78"/>
      <c r="AG7" s="97" t="str">
        <f t="shared" si="6"/>
        <v>&amp;=Master.OPPORTUNITY_EFFECTIVEDATESFROM</v>
      </c>
      <c r="AH7" s="81" t="str">
        <f t="shared" si="7"/>
        <v>&amp;=Master.OPPORTUNITY_EFFECTIVEDATESENDFINAL</v>
      </c>
      <c r="AI7" s="21" t="e">
        <f>IF((+'SF DATA'!C38="")+(+'SF DATA'!C38=0),"",+'SF DATA'!C38)</f>
        <v>#VALUE!</v>
      </c>
      <c r="AJ7" s="81">
        <f>IF('SF DATA'!B38="","",'SF DATA'!B38)</f>
        <v>0</v>
      </c>
      <c r="AK7" s="21"/>
      <c r="AL7" s="255" t="str">
        <f>IFERROR(((IF('SF DATA'!D38="","",'SF DATA'!D38))*100),"")</f>
        <v/>
      </c>
      <c r="AN7" s="77"/>
      <c r="AO7" s="21">
        <f>IF(AP7="",0,10)</f>
        <v>10</v>
      </c>
      <c r="AP7" s="21" t="str">
        <f>IF(AR7="","",'SF DATA'!C81)</f>
        <v>COM</v>
      </c>
      <c r="AQ7" s="21" t="str">
        <f>IF(AR7&lt;&gt;"",'SF DATA'!G81,"")</f>
        <v>Broker Commission</v>
      </c>
      <c r="AR7" s="231" t="str">
        <f>IF(('SF DATA'!H81="")+('SF DATA'!H81=0),"",'SF DATA'!H81)</f>
        <v>&amp;=Master.OPPORTUNITY_TOTALBROKERCOMISSION(Numeric)</v>
      </c>
      <c r="AS7" s="232"/>
      <c r="AT7" s="78">
        <f>IFERROR(IF(AR7&lt;&gt;"",'SF DATA'!E81,""),"")</f>
        <v>1</v>
      </c>
      <c r="AV7" s="107"/>
      <c r="AW7" s="76">
        <v>4</v>
      </c>
      <c r="AX7" s="76" t="s">
        <v>105</v>
      </c>
      <c r="AY7" s="76" t="s">
        <v>112</v>
      </c>
      <c r="AZ7" s="100"/>
      <c r="BB7" s="99" t="str">
        <f>IF(BB6&lt;&gt;2,"",IF('SF DATA'!$J$24&lt;&gt;"CAS","",IF('SF DATA'!$J$32&lt;&gt;"",19,IF('SF DATA'!$J$33&lt;&gt;"",19,IF('SF DATA'!$J$34&lt;&gt;"",19,"")))))</f>
        <v/>
      </c>
      <c r="BC7" s="111" t="s">
        <v>222</v>
      </c>
      <c r="BD7" s="111" t="s">
        <v>856</v>
      </c>
      <c r="BE7" s="133"/>
      <c r="BG7" s="77"/>
      <c r="BH7" s="21"/>
      <c r="BI7" s="21"/>
      <c r="BJ7" s="21"/>
      <c r="BK7" s="21"/>
      <c r="BL7" s="21"/>
      <c r="BM7" s="78"/>
      <c r="BO7" s="99" t="str">
        <f>IF(BO6&lt;&gt;2,"",IF('SF DATA'!$J$24&lt;&gt;"EXC","",IF('SF DATA'!$J$32&lt;&gt;"",19,IF('SF DATA'!$J$33&lt;&gt;"",19,IF('SF DATA'!$J$34&lt;&gt;"",19,"")))))</f>
        <v/>
      </c>
      <c r="BP7" s="111" t="s">
        <v>222</v>
      </c>
      <c r="BQ7" s="111" t="s">
        <v>856</v>
      </c>
      <c r="BR7" s="133"/>
      <c r="BT7" s="99"/>
      <c r="BU7" s="21"/>
      <c r="BV7" s="21"/>
      <c r="BW7" s="21"/>
      <c r="BX7" s="21"/>
      <c r="BY7" s="21"/>
      <c r="BZ7" s="100"/>
      <c r="CB7" s="79"/>
      <c r="CC7" s="93"/>
      <c r="CD7" s="80"/>
      <c r="CF7" s="79"/>
      <c r="CG7" s="93"/>
      <c r="CH7" s="80"/>
      <c r="CJ7" s="79"/>
      <c r="CK7" s="76" t="str">
        <f>IFERROR(VLOOKUP(CL7,DataBase!$AG$3:$AI$40,3,0),"")</f>
        <v/>
      </c>
      <c r="CL7" s="76" t="str">
        <f>IF('SF DATA'!B109="","",'SF DATA'!B109)</f>
        <v>&amp;=CampaignInfluence.CAMPAIGN</v>
      </c>
      <c r="CM7" s="78"/>
      <c r="CO7" s="79"/>
      <c r="CS7" s="198"/>
      <c r="CW7" s="80"/>
      <c r="CY7" s="79"/>
      <c r="DA7" s="80"/>
      <c r="DC7" s="79"/>
      <c r="DD7" s="142" t="s">
        <v>272</v>
      </c>
      <c r="DE7" s="147" t="s">
        <v>1450</v>
      </c>
      <c r="DG7" s="95"/>
      <c r="DH7" s="260" t="str">
        <f>IF(+AP10="","",+AP10)</f>
        <v>RWT</v>
      </c>
      <c r="DI7" s="304" t="e">
        <f>IF(DH7="",0,(+$DI$3*(AR10/100)))*-1</f>
        <v>#VALUE!</v>
      </c>
      <c r="DJ7" s="80"/>
      <c r="DL7" s="394" t="s">
        <v>144</v>
      </c>
      <c r="DM7" s="395"/>
      <c r="DN7" s="76" t="str">
        <f>+'SF DATA'!C24</f>
        <v/>
      </c>
      <c r="DO7" s="76" t="str">
        <f>+'SF DATA'!D24</f>
        <v/>
      </c>
      <c r="DQ7" s="142" t="s">
        <v>145</v>
      </c>
      <c r="DR7" s="76" t="s">
        <v>118</v>
      </c>
      <c r="DS7" s="76" t="s">
        <v>146</v>
      </c>
      <c r="DT7" s="76" t="s">
        <v>147</v>
      </c>
      <c r="DU7" s="80"/>
      <c r="DW7" s="97" t="str">
        <f t="shared" si="1"/>
        <v>&amp;=Master.OPPORTUNITY_EFFECTIVEDATESFROM</v>
      </c>
      <c r="DX7" s="81" t="str">
        <f t="shared" si="2"/>
        <v>&amp;=Master.OPPORTUNITY_EFFECTIVEDATESENDFINAL</v>
      </c>
      <c r="DY7" s="21" t="e">
        <f t="shared" si="3"/>
        <v>#VALUE!</v>
      </c>
      <c r="DZ7" s="81">
        <f t="shared" si="4"/>
        <v>0</v>
      </c>
      <c r="EA7" s="21"/>
      <c r="EB7" s="255" t="str">
        <f t="shared" si="5"/>
        <v/>
      </c>
      <c r="ED7" s="95" t="s">
        <v>745</v>
      </c>
      <c r="EE7" s="95" t="s">
        <v>191</v>
      </c>
    </row>
    <row r="8" spans="1:135" ht="15.75" customHeight="1" x14ac:dyDescent="0.2">
      <c r="E8" s="77">
        <v>6</v>
      </c>
      <c r="F8" s="21" t="s">
        <v>843</v>
      </c>
      <c r="G8" s="21"/>
      <c r="H8" s="21"/>
      <c r="I8" s="21"/>
      <c r="J8" s="78"/>
      <c r="L8" s="77"/>
      <c r="M8" s="21"/>
      <c r="N8" s="21"/>
      <c r="O8" s="21"/>
      <c r="P8" s="21"/>
      <c r="Q8" s="78"/>
      <c r="S8" s="263" t="s">
        <v>66</v>
      </c>
      <c r="T8" s="76" t="str">
        <f>+'SF DATA'!C12</f>
        <v>&amp;=Brokers.BROKER_GENIUSID</v>
      </c>
      <c r="U8" s="76" t="str">
        <f>+'SF DATA'!D12</f>
        <v>&amp;=Master.OPPORTUNITY_BROKER_NAME</v>
      </c>
      <c r="X8" s="80"/>
      <c r="Z8" s="262" t="s">
        <v>79</v>
      </c>
      <c r="AA8" s="21" t="s">
        <v>1622</v>
      </c>
      <c r="AB8" s="21" t="s">
        <v>1621</v>
      </c>
      <c r="AC8" s="21"/>
      <c r="AD8" s="21"/>
      <c r="AE8" s="78"/>
      <c r="AG8" s="97" t="str">
        <f t="shared" si="6"/>
        <v>&amp;=Master.OPPORTUNITY_EFFECTIVEDATESFROM</v>
      </c>
      <c r="AH8" s="81" t="str">
        <f t="shared" si="7"/>
        <v>&amp;=Master.OPPORTUNITY_EFFECTIVEDATESENDFINAL</v>
      </c>
      <c r="AI8" s="21" t="e">
        <f>IF((+'SF DATA'!C39="")+(+'SF DATA'!C39=0),"",+'SF DATA'!C39)</f>
        <v>#VALUE!</v>
      </c>
      <c r="AJ8" s="81">
        <f>IF('SF DATA'!B39="","",'SF DATA'!B39)</f>
        <v>0</v>
      </c>
      <c r="AK8" s="21"/>
      <c r="AL8" s="255" t="str">
        <f>IFERROR(((IF('SF DATA'!D39="","",'SF DATA'!D39))*100),"")</f>
        <v/>
      </c>
      <c r="AN8" s="77"/>
      <c r="AO8" s="21">
        <f>IF(AP8="","",AO7+10)</f>
        <v>20</v>
      </c>
      <c r="AP8" s="21" t="s">
        <v>97</v>
      </c>
      <c r="AQ8" s="21" t="str">
        <f>IF(AP8="","","Undisclosed Premium Tax")</f>
        <v>Undisclosed Premium Tax</v>
      </c>
      <c r="AR8" s="231"/>
      <c r="AS8" s="232"/>
      <c r="AT8" s="78" t="str">
        <f>IFERROR(IF(AP8&lt;&gt;"","7",""),"")</f>
        <v>7</v>
      </c>
      <c r="AV8" s="107"/>
      <c r="AW8" s="76">
        <v>5</v>
      </c>
      <c r="AX8" s="76" t="s">
        <v>27</v>
      </c>
      <c r="AY8" s="76" t="s">
        <v>113</v>
      </c>
      <c r="AZ8" s="100"/>
      <c r="BB8" s="99" t="str">
        <f>IF(BB6&lt;&gt;2,"",IF('SF DATA'!$J$37&lt;&gt;"",19,IF('SF DATA'!$J$38&lt;&gt;0,19,IF('SF DATA'!$J$39&lt;&gt;"",19,""))))</f>
        <v/>
      </c>
      <c r="BC8" s="111" t="s">
        <v>857</v>
      </c>
      <c r="BD8" s="111" t="s">
        <v>858</v>
      </c>
      <c r="BE8" s="123"/>
      <c r="BG8" s="262" t="s">
        <v>757</v>
      </c>
      <c r="BH8" s="21" t="str">
        <f>+'SF DATA'!$J$3</f>
        <v>&amp;=Master.OPPORTUNITY_GENIUS_SIC_ID</v>
      </c>
      <c r="BI8" s="21" t="str">
        <f>+'SF DATA'!$K$3</f>
        <v/>
      </c>
      <c r="BJ8" s="21"/>
      <c r="BK8" s="126" t="s">
        <v>864</v>
      </c>
      <c r="BL8" s="21" t="str">
        <f>IF('SF DATA'!$AA$12="","",'SF DATA'!$AA$12)</f>
        <v/>
      </c>
      <c r="BM8" s="78" t="str">
        <f>IF('SF DATA'!$Z$12="","",'SF DATA'!$Z$12)</f>
        <v/>
      </c>
      <c r="BO8" s="99" t="str">
        <f>IF(BO6&lt;&gt;2,"",IF('SF DATA'!$J$37&lt;&gt;"",19,IF('SF DATA'!$J$38&lt;&gt;0,19,IF('SF DATA'!$J$39&lt;&gt;"",19,""))))</f>
        <v/>
      </c>
      <c r="BP8" s="111" t="s">
        <v>857</v>
      </c>
      <c r="BQ8" s="111" t="s">
        <v>858</v>
      </c>
      <c r="BR8" s="123"/>
      <c r="BT8" s="101" t="s">
        <v>757</v>
      </c>
      <c r="BU8" s="21" t="str">
        <f>+'SF DATA'!$J$3</f>
        <v>&amp;=Master.OPPORTUNITY_GENIUS_SIC_ID</v>
      </c>
      <c r="BV8" s="21" t="str">
        <f>+'SF DATA'!$K$3</f>
        <v/>
      </c>
      <c r="BW8" s="21"/>
      <c r="BX8" s="126" t="s">
        <v>864</v>
      </c>
      <c r="BY8" s="21" t="str">
        <f>IF('SF DATA'!$AA$13="","",'SF DATA'!$AA$13)</f>
        <v/>
      </c>
      <c r="BZ8" s="78" t="str">
        <f>IF('SF DATA'!$Z$13="","",'SF DATA'!$Z$13)</f>
        <v/>
      </c>
      <c r="CB8" s="149"/>
      <c r="CD8" s="80"/>
      <c r="CF8" s="149"/>
      <c r="CH8" s="80"/>
      <c r="CJ8" s="79"/>
      <c r="CK8" s="76" t="str">
        <f>IFERROR(VLOOKUP(CL8,DataBase!$AG$3:$AI$40,3,0),"")</f>
        <v/>
      </c>
      <c r="CL8" s="76" t="str">
        <f>IF('SF DATA'!B110="","",'SF DATA'!B110)</f>
        <v/>
      </c>
      <c r="CM8" s="78"/>
      <c r="CO8" s="79"/>
      <c r="CW8" s="80"/>
      <c r="CY8" s="79"/>
      <c r="DA8" s="80"/>
      <c r="DC8" s="79"/>
      <c r="DH8" s="260" t="str">
        <f>IF(+AP11="","",+AP11)</f>
        <v/>
      </c>
      <c r="DI8" s="304">
        <f>IF(DH8="",0,((+DI3+DI4+DI6)*(AR11/100)))*-1</f>
        <v>0</v>
      </c>
      <c r="DJ8" s="80"/>
      <c r="DL8" s="79"/>
      <c r="DU8" s="80"/>
      <c r="DW8" s="97" t="str">
        <f t="shared" si="1"/>
        <v>&amp;=Master.OPPORTUNITY_EFFECTIVEDATESFROM</v>
      </c>
      <c r="DX8" s="81" t="str">
        <f t="shared" si="2"/>
        <v>&amp;=Master.OPPORTUNITY_EFFECTIVEDATESENDFINAL</v>
      </c>
      <c r="DY8" s="21" t="e">
        <f t="shared" si="3"/>
        <v>#VALUE!</v>
      </c>
      <c r="DZ8" s="81">
        <f t="shared" si="4"/>
        <v>0</v>
      </c>
      <c r="EA8" s="21"/>
      <c r="EB8" s="255" t="str">
        <f t="shared" si="5"/>
        <v/>
      </c>
      <c r="ED8" s="95" t="s">
        <v>746</v>
      </c>
    </row>
    <row r="9" spans="1:135" ht="15.75" customHeight="1" thickBot="1" x14ac:dyDescent="0.25">
      <c r="E9" s="77">
        <v>7</v>
      </c>
      <c r="F9" s="21" t="s">
        <v>844</v>
      </c>
      <c r="G9" s="21"/>
      <c r="H9" s="21"/>
      <c r="I9" s="21"/>
      <c r="J9" s="78"/>
      <c r="L9" s="77"/>
      <c r="M9" s="21"/>
      <c r="N9" s="21"/>
      <c r="O9" s="21"/>
      <c r="P9" s="21"/>
      <c r="Q9" s="78"/>
      <c r="S9" s="263" t="s">
        <v>3</v>
      </c>
      <c r="T9" s="76" t="str">
        <f>IF(+'SF DATA'!C15="","",+'SF DATA'!C15)</f>
        <v>&amp;=Master.OPPORTUNITY_CEDENT_GENIUS_ID</v>
      </c>
      <c r="U9" s="76" t="str">
        <f>IF(+'SF DATA'!D15="","",+'SF DATA'!D15)</f>
        <v>&amp;=Master.OPPORTUNITY_CEDENT_NAME</v>
      </c>
      <c r="X9" s="80"/>
      <c r="Z9" s="77"/>
      <c r="AA9" s="21"/>
      <c r="AB9" s="21"/>
      <c r="AC9" s="21"/>
      <c r="AD9" s="21"/>
      <c r="AE9" s="78"/>
      <c r="AG9" s="97" t="str">
        <f t="shared" si="6"/>
        <v>&amp;=Master.OPPORTUNITY_EFFECTIVEDATESFROM</v>
      </c>
      <c r="AH9" s="81" t="str">
        <f t="shared" si="7"/>
        <v>&amp;=Master.OPPORTUNITY_EFFECTIVEDATESENDFINAL</v>
      </c>
      <c r="AI9" s="21" t="e">
        <f>IF((+'SF DATA'!C40="")+(+'SF DATA'!C40=0),"",+'SF DATA'!C40)</f>
        <v>#VALUE!</v>
      </c>
      <c r="AJ9" s="81">
        <f>IF('SF DATA'!B40="","",'SF DATA'!B40)</f>
        <v>0</v>
      </c>
      <c r="AK9" s="21"/>
      <c r="AL9" s="255" t="str">
        <f>IFERROR(((IF('SF DATA'!D40="","",'SF DATA'!D40))*100),"")</f>
        <v/>
      </c>
      <c r="AN9" s="77"/>
      <c r="AO9" s="21" t="str">
        <f>IF(AP9="","",IF(AO8&lt;&gt;"",$AO$8+10,IF(AO8="",AO7+10)))</f>
        <v/>
      </c>
      <c r="AP9" s="21" t="str">
        <f>IF(AR9="","",'SF DATA'!C82)</f>
        <v/>
      </c>
      <c r="AQ9" s="21" t="str">
        <f>IF(AR9&lt;&gt;"",'SF DATA'!G82,"")</f>
        <v/>
      </c>
      <c r="AR9" s="231" t="str">
        <f>IF(('SF DATA'!H82="")+('SF DATA'!H82=0),"",'SF DATA'!H82)</f>
        <v/>
      </c>
      <c r="AS9" s="232"/>
      <c r="AT9" s="78" t="str">
        <f>IFERROR(IF(AR9&lt;&gt;"",'SF DATA'!E82,""),"")</f>
        <v/>
      </c>
      <c r="AV9" s="107"/>
      <c r="AW9" s="76">
        <v>6</v>
      </c>
      <c r="AX9" s="76" t="s">
        <v>101</v>
      </c>
      <c r="AY9" s="76" t="s">
        <v>102</v>
      </c>
      <c r="AZ9" s="100"/>
      <c r="BB9" s="99" t="str">
        <f>IF(BB6&lt;&gt;2,"",IF('SF DATA'!$J$45="L043",2,""))</f>
        <v/>
      </c>
      <c r="BC9" s="111" t="s">
        <v>183</v>
      </c>
      <c r="BD9" s="111" t="s">
        <v>604</v>
      </c>
      <c r="BE9" s="133"/>
      <c r="BG9" s="262" t="s">
        <v>10</v>
      </c>
      <c r="BH9" s="21" t="str">
        <f>+'SF DATA'!$J$4</f>
        <v/>
      </c>
      <c r="BI9" s="21" t="str">
        <f>+'SF DATA'!$K$4</f>
        <v>&amp;=Master.OPPORTUNITY_MARKET_HAZARD</v>
      </c>
      <c r="BJ9" s="21"/>
      <c r="BK9" s="126" t="s">
        <v>12</v>
      </c>
      <c r="BL9" s="21" t="str">
        <f>IF(+'SF DATA'!$J$6="","",+'SF DATA'!$J$6)</f>
        <v/>
      </c>
      <c r="BM9" s="78" t="str">
        <f>IF('SF DATA'!$K$6="","",'SF DATA'!$K$6)</f>
        <v>&amp;=Master.OPPORTUNITY_JURISDICTION</v>
      </c>
      <c r="BO9" s="99" t="str">
        <f>IF(BO6&lt;&gt;2,"",IF('SF DATA'!$J$45="L043",2,""))</f>
        <v/>
      </c>
      <c r="BP9" s="111" t="s">
        <v>183</v>
      </c>
      <c r="BQ9" s="111" t="s">
        <v>604</v>
      </c>
      <c r="BR9" s="133"/>
      <c r="BT9" s="101" t="s">
        <v>10</v>
      </c>
      <c r="BU9" s="21" t="str">
        <f>+'SF DATA'!$J$4</f>
        <v/>
      </c>
      <c r="BV9" s="21" t="str">
        <f>+'SF DATA'!$K$4</f>
        <v>&amp;=Master.OPPORTUNITY_MARKET_HAZARD</v>
      </c>
      <c r="BW9" s="21"/>
      <c r="BX9" s="126" t="s">
        <v>12</v>
      </c>
      <c r="BY9" s="21" t="str">
        <f>IF(+'SF DATA'!$J$6="","",+'SF DATA'!$J$6)</f>
        <v/>
      </c>
      <c r="BZ9" s="78" t="str">
        <f>IF('SF DATA'!$K$6="","",'SF DATA'!$K$6)</f>
        <v>&amp;=Master.OPPORTUNITY_JURISDICTION</v>
      </c>
      <c r="CB9" s="79"/>
      <c r="CD9" s="80"/>
      <c r="CF9" s="79"/>
      <c r="CH9" s="80"/>
      <c r="CJ9" s="77"/>
      <c r="CK9" s="76" t="str">
        <f>IFERROR(VLOOKUP(CL9,DataBase!$AG$3:$AI$40,3,0),"")</f>
        <v/>
      </c>
      <c r="CL9" s="76" t="str">
        <f>IF('SF DATA'!B111="","",'SF DATA'!B111)</f>
        <v/>
      </c>
      <c r="CM9" s="78"/>
      <c r="CO9" s="79"/>
      <c r="CW9" s="80"/>
      <c r="CY9" s="79"/>
      <c r="DA9" s="80"/>
      <c r="DC9" s="79"/>
      <c r="DD9" s="202"/>
      <c r="DH9" s="260" t="str">
        <f t="shared" si="0"/>
        <v>FD2A</v>
      </c>
      <c r="DI9" s="304" t="e">
        <f>IF(DH9="",0,(+$DI$3*(AR12/100)))*-1</f>
        <v>#VALUE!</v>
      </c>
      <c r="DJ9" s="80"/>
      <c r="DL9" s="79"/>
      <c r="DU9" s="80"/>
      <c r="DW9" s="97" t="str">
        <f t="shared" si="1"/>
        <v>&amp;=Master.OPPORTUNITY_EFFECTIVEDATESFROM</v>
      </c>
      <c r="DX9" s="81" t="str">
        <f t="shared" si="2"/>
        <v>&amp;=Master.OPPORTUNITY_EFFECTIVEDATESENDFINAL</v>
      </c>
      <c r="DY9" s="21" t="e">
        <f t="shared" si="3"/>
        <v>#VALUE!</v>
      </c>
      <c r="DZ9" s="81">
        <f t="shared" si="4"/>
        <v>0</v>
      </c>
      <c r="EA9" s="21"/>
      <c r="EB9" s="255" t="str">
        <f t="shared" si="5"/>
        <v/>
      </c>
      <c r="ED9" s="95" t="s">
        <v>594</v>
      </c>
    </row>
    <row r="10" spans="1:135" ht="15.75" customHeight="1" thickBot="1" x14ac:dyDescent="0.25">
      <c r="E10" s="77">
        <v>8</v>
      </c>
      <c r="F10" s="21" t="s">
        <v>845</v>
      </c>
      <c r="G10" s="21"/>
      <c r="H10" s="21"/>
      <c r="I10" s="21"/>
      <c r="J10" s="78"/>
      <c r="L10" s="262" t="s">
        <v>61</v>
      </c>
      <c r="M10" s="21" t="str">
        <f>IF('SF DATA'!C9="LSSPAULO","LS"&amp;'SF DATA'!C7,IF('SF DATA'!C7&lt;&gt;"",'SF DATA'!C7,""))</f>
        <v>&amp;=Master.OPPORTUNITY_GENIUS_EXPIRING_POLICY</v>
      </c>
      <c r="N10" s="21"/>
      <c r="O10" s="21"/>
      <c r="P10" s="21"/>
      <c r="Q10" s="78"/>
      <c r="S10" s="263" t="s">
        <v>67</v>
      </c>
      <c r="T10" s="76" t="str">
        <f>+'SF DATA'!C16</f>
        <v>&amp;=Underwriter.OPPORTUNITYUNDERWRITER_GENIUSID</v>
      </c>
      <c r="U10" s="76" t="str">
        <f>+'SF DATA'!D16</f>
        <v>&amp;=Master.OPPORTUNITY_UNDERWRITERNAME</v>
      </c>
      <c r="X10" s="80"/>
      <c r="Z10" s="262" t="s">
        <v>8</v>
      </c>
      <c r="AA10" s="21" t="str">
        <f>+'SF DATA'!C30</f>
        <v>&amp;=Master.OPPORTUNITY_CURRENCYISOCODE</v>
      </c>
      <c r="AB10" s="21" t="str">
        <f>+'SF DATA'!D30</f>
        <v/>
      </c>
      <c r="AC10" s="98" t="s">
        <v>80</v>
      </c>
      <c r="AD10" s="21" t="s">
        <v>81</v>
      </c>
      <c r="AE10" s="78" t="s">
        <v>82</v>
      </c>
      <c r="AG10" s="97" t="str">
        <f t="shared" si="6"/>
        <v>&amp;=Master.OPPORTUNITY_EFFECTIVEDATESFROM</v>
      </c>
      <c r="AH10" s="81" t="str">
        <f t="shared" si="7"/>
        <v>&amp;=Master.OPPORTUNITY_EFFECTIVEDATESENDFINAL</v>
      </c>
      <c r="AI10" s="21" t="e">
        <f>IF((+'SF DATA'!C41="")+(+'SF DATA'!C41=0),"",+'SF DATA'!C41)</f>
        <v>#VALUE!</v>
      </c>
      <c r="AJ10" s="81">
        <f>IF('SF DATA'!B41="","",'SF DATA'!B41)</f>
        <v>0</v>
      </c>
      <c r="AK10" s="21"/>
      <c r="AL10" s="255" t="str">
        <f>IFERROR(((IF('SF DATA'!D41="","",'SF DATA'!D41))*100),"")</f>
        <v/>
      </c>
      <c r="AN10" s="77"/>
      <c r="AO10" s="21">
        <f>IF(AP10="","",IF(AO9&lt;&gt;"",$AO$9+10,IF(AO8&lt;&gt;"",AO8+10,IF(AO7&lt;&gt;"",AO7+10,""))))</f>
        <v>30</v>
      </c>
      <c r="AP10" s="21" t="str">
        <f>IF(AR10="","",'SF DATA'!C83)</f>
        <v>RWT</v>
      </c>
      <c r="AQ10" s="21" t="str">
        <f>IF(AR10&lt;&gt;"",'SF DATA'!G83,"")</f>
        <v>Reinsurance Withholding Tax</v>
      </c>
      <c r="AR10" s="231" t="str">
        <f>IF(('SF DATA'!H83="")+('SF DATA'!H83=0),"",'SF DATA'!H83)</f>
        <v>&amp;=Master.OPPORTUNITY_RWT(Numeric)</v>
      </c>
      <c r="AS10" s="232"/>
      <c r="AT10" s="78">
        <f>IFERROR(IF(AR10&lt;&gt;"",'SF DATA'!E83,""),"")</f>
        <v>1</v>
      </c>
      <c r="AV10" s="107"/>
      <c r="AW10" s="76">
        <v>7</v>
      </c>
      <c r="AX10" s="76" t="s">
        <v>106</v>
      </c>
      <c r="AY10" s="76" t="s">
        <v>114</v>
      </c>
      <c r="AZ10" s="100"/>
      <c r="BB10" s="99" t="str">
        <f>IF(BB6&lt;&gt;2,"",IF('SF DATA'!$J$45="L046",2,""))</f>
        <v/>
      </c>
      <c r="BC10" s="111" t="s">
        <v>603</v>
      </c>
      <c r="BD10" s="111" t="s">
        <v>605</v>
      </c>
      <c r="BE10" s="133"/>
      <c r="BG10" s="79"/>
      <c r="BH10" s="21"/>
      <c r="BI10" s="21"/>
      <c r="BJ10" s="21"/>
      <c r="BK10" s="126" t="s">
        <v>14</v>
      </c>
      <c r="BL10" s="21" t="str">
        <f>IF(+'SF DATA'!$J$7="","",+'SF DATA'!$J$7)</f>
        <v/>
      </c>
      <c r="BM10" s="78" t="str">
        <f>IF(+'SF DATA'!$K$7="","",+'SF DATA'!$K$7)</f>
        <v>&amp;=Master.OPPORTUNITY_FINANCIAL_LOSS</v>
      </c>
      <c r="BO10" s="99" t="str">
        <f>IF(BO6&lt;&gt;2,"",IF('SF DATA'!$J$45="L046",2,""))</f>
        <v/>
      </c>
      <c r="BP10" s="111" t="s">
        <v>603</v>
      </c>
      <c r="BQ10" s="111" t="s">
        <v>605</v>
      </c>
      <c r="BR10" s="133"/>
      <c r="BT10" s="101" t="s">
        <v>762</v>
      </c>
      <c r="BU10" s="21" t="s">
        <v>118</v>
      </c>
      <c r="BV10" s="21" t="s">
        <v>31</v>
      </c>
      <c r="BW10" s="21"/>
      <c r="BX10" s="21"/>
      <c r="BY10" s="21"/>
      <c r="BZ10" s="100"/>
      <c r="CB10" s="79"/>
      <c r="CD10" s="80"/>
      <c r="CF10" s="79"/>
      <c r="CH10" s="80"/>
      <c r="CJ10" s="77"/>
      <c r="CK10" s="76" t="str">
        <f>IFERROR(VLOOKUP(CL10,DataBase!$AG$3:$AI$40,3,0),"")</f>
        <v/>
      </c>
      <c r="CL10" s="76" t="str">
        <f>IF('SF DATA'!B112="","",'SF DATA'!B112)</f>
        <v/>
      </c>
      <c r="CM10" s="78"/>
      <c r="CO10" s="456" t="s">
        <v>1446</v>
      </c>
      <c r="CP10" s="457"/>
      <c r="CQ10" s="457"/>
      <c r="CR10" s="457"/>
      <c r="CS10" s="457"/>
      <c r="CT10" s="457"/>
      <c r="CU10" s="457"/>
      <c r="CV10" s="457"/>
      <c r="CW10" s="458"/>
      <c r="CY10" s="79"/>
      <c r="DA10" s="80"/>
      <c r="DC10" s="79"/>
      <c r="DD10" s="202"/>
      <c r="DE10" s="95"/>
      <c r="DH10" s="260" t="str">
        <f t="shared" si="0"/>
        <v>INT2</v>
      </c>
      <c r="DI10" s="304" t="e">
        <f>IF(DH10="",0,(+$DI$3*(AR13/100)))*-1</f>
        <v>#VALUE!</v>
      </c>
      <c r="DJ10" s="80"/>
      <c r="DL10" s="263" t="s">
        <v>272</v>
      </c>
      <c r="DM10" s="147" t="s">
        <v>1450</v>
      </c>
      <c r="DU10" s="80"/>
      <c r="DW10" s="97" t="str">
        <f t="shared" si="1"/>
        <v>&amp;=Master.OPPORTUNITY_EFFECTIVEDATESFROM</v>
      </c>
      <c r="DX10" s="81" t="str">
        <f t="shared" si="2"/>
        <v>&amp;=Master.OPPORTUNITY_EFFECTIVEDATESENDFINAL</v>
      </c>
      <c r="DY10" s="21" t="e">
        <f t="shared" si="3"/>
        <v>#VALUE!</v>
      </c>
      <c r="DZ10" s="81">
        <f t="shared" si="4"/>
        <v>0</v>
      </c>
      <c r="EA10" s="21"/>
      <c r="EB10" s="255" t="str">
        <f t="shared" si="5"/>
        <v/>
      </c>
      <c r="ED10" s="95" t="s">
        <v>752</v>
      </c>
      <c r="EE10" s="95" t="s">
        <v>751</v>
      </c>
    </row>
    <row r="11" spans="1:135" ht="15.75" customHeight="1" thickBot="1" x14ac:dyDescent="0.25">
      <c r="E11" s="77">
        <v>9</v>
      </c>
      <c r="F11" s="21" t="s">
        <v>846</v>
      </c>
      <c r="G11" s="21"/>
      <c r="H11" s="21"/>
      <c r="I11" s="21"/>
      <c r="J11" s="78"/>
      <c r="L11" s="77"/>
      <c r="M11" s="21"/>
      <c r="N11" s="21"/>
      <c r="O11" s="21"/>
      <c r="P11" s="21"/>
      <c r="Q11" s="78"/>
      <c r="S11" s="387" t="str">
        <f>'SF DATA'!E16</f>
        <v/>
      </c>
      <c r="T11" s="388"/>
      <c r="U11" s="388"/>
      <c r="V11" s="142" t="s">
        <v>68</v>
      </c>
      <c r="W11" s="76" t="str">
        <f>+'SF DATA'!C14</f>
        <v/>
      </c>
      <c r="X11" s="76" t="str">
        <f>+'SF DATA'!D14</f>
        <v>&amp;=Master.OPPORTUNITY_DIRECTASSUMED</v>
      </c>
      <c r="Z11" s="77"/>
      <c r="AA11" s="21"/>
      <c r="AB11" s="21"/>
      <c r="AC11" s="21"/>
      <c r="AD11" s="21"/>
      <c r="AE11" s="78"/>
      <c r="AG11" s="97" t="str">
        <f t="shared" si="6"/>
        <v>&amp;=Master.OPPORTUNITY_EFFECTIVEDATESFROM</v>
      </c>
      <c r="AH11" s="81" t="str">
        <f t="shared" si="7"/>
        <v>&amp;=Master.OPPORTUNITY_EFFECTIVEDATESENDFINAL</v>
      </c>
      <c r="AI11" s="21" t="e">
        <f>IF((+'SF DATA'!C42="")+(+'SF DATA'!C42=0),"",+'SF DATA'!C42)</f>
        <v>#VALUE!</v>
      </c>
      <c r="AJ11" s="81">
        <f>IF('SF DATA'!B42="","",'SF DATA'!B42)</f>
        <v>0</v>
      </c>
      <c r="AK11" s="21"/>
      <c r="AL11" s="255" t="str">
        <f>IFERROR(((IF('SF DATA'!D42="","",'SF DATA'!D42))*100),"")</f>
        <v/>
      </c>
      <c r="AN11" s="77"/>
      <c r="AO11" s="21" t="str">
        <f>IF(AP11="","",IF(AO10&lt;&gt;"",AO10+10,IF(AO9&lt;&gt;"",AO9+10,IF(AO8&lt;&gt;"",$AO$8+10,IF(AO8="",AO7+10)))))</f>
        <v/>
      </c>
      <c r="AP11" s="21" t="str">
        <f>IF(AR11="","",'SF DATA'!C84)</f>
        <v/>
      </c>
      <c r="AQ11" s="21" t="str">
        <f>IF(AR11&lt;&gt;"",'SF DATA'!G84,"")</f>
        <v>COM1 RI w/h Tax Net</v>
      </c>
      <c r="AR11" s="231" t="str">
        <f>IF(('SF DATA'!H84="")+('SF DATA'!H84=0),"",'SF DATA'!H84)</f>
        <v>&amp;=Master.OPPORTUNITY_RWT_3</v>
      </c>
      <c r="AS11" s="232"/>
      <c r="AT11" s="78">
        <f>IFERROR(IF(AR11&lt;&gt;"",'SF DATA'!E84,""),"")</f>
        <v>1</v>
      </c>
      <c r="AV11" s="107"/>
      <c r="AW11" s="76">
        <v>8</v>
      </c>
      <c r="AX11" s="76" t="s">
        <v>107</v>
      </c>
      <c r="AY11" s="76" t="s">
        <v>115</v>
      </c>
      <c r="AZ11" s="100"/>
      <c r="BB11" s="99"/>
      <c r="BC11" s="111"/>
      <c r="BD11" s="111"/>
      <c r="BE11" s="133"/>
      <c r="BG11" s="262" t="s">
        <v>863</v>
      </c>
      <c r="BH11" s="21" t="str">
        <f>+'SF DATA'!$C$22</f>
        <v/>
      </c>
      <c r="BI11" s="21" t="str">
        <f>+'SF DATA'!$D$22</f>
        <v>&amp;=Master.OPPORTUNITY_COUNTRYRISK</v>
      </c>
      <c r="BJ11" s="21"/>
      <c r="BK11" s="126" t="s">
        <v>759</v>
      </c>
      <c r="BL11" s="21" t="str">
        <f>IF(+'SF DATA'!$J$8="","",+'SF DATA'!$J$8)</f>
        <v/>
      </c>
      <c r="BM11" s="78" t="str">
        <f>IF(+'SF DATA'!$K$8="","",+'SF DATA'!K8)</f>
        <v>&amp;=Master.OPPORTUNITY_COVERAGE_TERRITORY</v>
      </c>
      <c r="BO11" s="99" t="str">
        <f>IF(BO6&lt;&gt;2,"",IF('SF DATA'!$J$42&lt;&gt;"",2,""))</f>
        <v/>
      </c>
      <c r="BP11" s="111" t="s">
        <v>859</v>
      </c>
      <c r="BQ11" s="111" t="s">
        <v>529</v>
      </c>
      <c r="BR11" s="133"/>
      <c r="BT11" s="101" t="s">
        <v>863</v>
      </c>
      <c r="BU11" s="21" t="str">
        <f>+'SF DATA'!$C$22</f>
        <v/>
      </c>
      <c r="BV11" s="21" t="str">
        <f>+'SF DATA'!$D$22</f>
        <v>&amp;=Master.OPPORTUNITY_COUNTRYRISK</v>
      </c>
      <c r="BW11" s="21"/>
      <c r="BX11" s="126" t="s">
        <v>759</v>
      </c>
      <c r="BY11" s="21" t="str">
        <f>IF(+'SF DATA'!$J$8="","",+'SF DATA'!$J$8)</f>
        <v/>
      </c>
      <c r="BZ11" s="78" t="str">
        <f>IF(+'SF DATA'!$K$8="","",+'SF DATA'!X8)</f>
        <v/>
      </c>
      <c r="CB11" s="79"/>
      <c r="CD11" s="80"/>
      <c r="CF11" s="79"/>
      <c r="CH11" s="80"/>
      <c r="CJ11" s="77"/>
      <c r="CK11" s="76" t="str">
        <f>IFERROR(VLOOKUP(CL11,DataBase!$AG$3:$AI$40,3,0),"")</f>
        <v/>
      </c>
      <c r="CL11" s="76" t="str">
        <f>IF('SF DATA'!B113="","",'SF DATA'!B113)</f>
        <v/>
      </c>
      <c r="CM11" s="78"/>
      <c r="CO11" s="77"/>
      <c r="CP11" s="459" t="str">
        <f>IF((CP13="")+(CP13=0),"","Ejecutar Macro FAC Regular")</f>
        <v>Ejecutar Macro FAC Regular</v>
      </c>
      <c r="CQ11" s="459"/>
      <c r="CR11" s="459"/>
      <c r="CS11" s="459"/>
      <c r="CT11" s="459"/>
      <c r="CU11" s="459"/>
      <c r="CV11" s="459"/>
      <c r="CW11" s="78"/>
      <c r="CY11" s="79"/>
      <c r="DA11" s="80"/>
      <c r="DC11" s="79"/>
      <c r="DE11" s="95"/>
      <c r="DH11" s="260" t="str">
        <f t="shared" si="0"/>
        <v>CFC</v>
      </c>
      <c r="DI11" s="304" t="e">
        <f>IF(DH11="",0,(+$DI$3*(AR14/100)))*-1</f>
        <v>#VALUE!</v>
      </c>
      <c r="DJ11" s="80"/>
      <c r="DL11" s="150" t="s">
        <v>272</v>
      </c>
      <c r="DM11" s="151" t="s">
        <v>1460</v>
      </c>
      <c r="DN11" s="89"/>
      <c r="DO11" s="89"/>
      <c r="DP11" s="89"/>
      <c r="DQ11" s="89"/>
      <c r="DR11" s="89"/>
      <c r="DS11" s="89"/>
      <c r="DT11" s="89"/>
      <c r="DU11" s="80"/>
      <c r="DW11" s="97" t="str">
        <f t="shared" si="1"/>
        <v>&amp;=Master.OPPORTUNITY_EFFECTIVEDATESFROM</v>
      </c>
      <c r="DX11" s="81" t="str">
        <f t="shared" si="2"/>
        <v>&amp;=Master.OPPORTUNITY_EFFECTIVEDATESENDFINAL</v>
      </c>
      <c r="DY11" s="21" t="e">
        <f t="shared" si="3"/>
        <v>#VALUE!</v>
      </c>
      <c r="DZ11" s="81">
        <f t="shared" si="4"/>
        <v>0</v>
      </c>
      <c r="EA11" s="21"/>
      <c r="EB11" s="255" t="str">
        <f t="shared" si="5"/>
        <v/>
      </c>
      <c r="ED11" s="95" t="s">
        <v>754</v>
      </c>
      <c r="EE11" s="95" t="s">
        <v>241</v>
      </c>
    </row>
    <row r="12" spans="1:135" ht="15.75" customHeight="1" thickBot="1" x14ac:dyDescent="0.25">
      <c r="E12" s="77">
        <v>10</v>
      </c>
      <c r="F12" s="21" t="s">
        <v>847</v>
      </c>
      <c r="G12" s="21"/>
      <c r="H12" s="21"/>
      <c r="I12" s="21"/>
      <c r="J12" s="78"/>
      <c r="L12" s="77"/>
      <c r="M12" s="21"/>
      <c r="N12" s="21"/>
      <c r="O12" s="21"/>
      <c r="P12" s="21"/>
      <c r="Q12" s="78"/>
      <c r="S12" s="263" t="s">
        <v>4</v>
      </c>
      <c r="T12" s="76" t="str">
        <f>+'SF DATA'!C17</f>
        <v>NA</v>
      </c>
      <c r="U12" s="76" t="str">
        <f>+'SF DATA'!D17</f>
        <v>Not Applicable</v>
      </c>
      <c r="X12" s="80"/>
      <c r="Z12" s="77"/>
      <c r="AA12" s="21"/>
      <c r="AB12" s="21"/>
      <c r="AC12" s="21"/>
      <c r="AD12" s="21"/>
      <c r="AE12" s="78"/>
      <c r="AG12" s="97" t="str">
        <f t="shared" si="6"/>
        <v>&amp;=Master.OPPORTUNITY_EFFECTIVEDATESFROM</v>
      </c>
      <c r="AH12" s="81" t="str">
        <f t="shared" si="7"/>
        <v>&amp;=Master.OPPORTUNITY_EFFECTIVEDATESENDFINAL</v>
      </c>
      <c r="AI12" s="21" t="e">
        <f>IF((+'SF DATA'!C43="")+(+'SF DATA'!C43=0),"",+'SF DATA'!C43)</f>
        <v>#VALUE!</v>
      </c>
      <c r="AJ12" s="81">
        <f>IF('SF DATA'!B43="","",'SF DATA'!B43)</f>
        <v>0</v>
      </c>
      <c r="AK12" s="21"/>
      <c r="AL12" s="255" t="str">
        <f>IFERROR(((IF('SF DATA'!D43="","",'SF DATA'!D43))*100),"")</f>
        <v/>
      </c>
      <c r="AN12" s="77"/>
      <c r="AO12" s="21">
        <f>IF(AP12="","",IF(AO11&lt;&gt;"",AO11+10,IF(AO10&lt;&gt;"",AO10+10,IF(AO9&lt;&gt;"",AO9+10,IF(AO8&lt;&gt;"",$AO$8+10,IF(AO8="",AO7+10))))))</f>
        <v>40</v>
      </c>
      <c r="AP12" s="21" t="str">
        <f>IF(AR12="","",'SF DATA'!C85)</f>
        <v>FD2A</v>
      </c>
      <c r="AQ12" s="21" t="str">
        <f>IF(AR12&lt;&gt;"",'SF DATA'!G85,"")</f>
        <v>Fronting Fee - Dfr Gross %</v>
      </c>
      <c r="AR12" s="231" t="str">
        <f>IF(('SF DATA'!H85="")+('SF DATA'!H85=0),"",'SF DATA'!H85)</f>
        <v>&amp;=Master.OPPORTUNITY_FRONTING_FEE</v>
      </c>
      <c r="AS12" s="232"/>
      <c r="AT12" s="78">
        <f>IFERROR(IF(AR12&lt;&gt;"",'SF DATA'!E85,""),"")</f>
        <v>1</v>
      </c>
      <c r="AV12" s="107"/>
      <c r="AW12" s="76">
        <v>9</v>
      </c>
      <c r="AX12" s="76" t="s">
        <v>108</v>
      </c>
      <c r="AY12" s="76" t="s">
        <v>116</v>
      </c>
      <c r="AZ12" s="100"/>
      <c r="BB12" s="99"/>
      <c r="BC12" s="111"/>
      <c r="BD12" s="111"/>
      <c r="BE12" s="133"/>
      <c r="BG12" s="79"/>
      <c r="BH12" s="21"/>
      <c r="BI12" s="21"/>
      <c r="BJ12" s="21"/>
      <c r="BK12" s="21"/>
      <c r="BL12" s="21"/>
      <c r="BM12" s="78"/>
      <c r="BO12" s="99" t="str">
        <f>IF($BO$6&lt;&gt;2,"",2)</f>
        <v/>
      </c>
      <c r="BP12" s="111" t="s">
        <v>1653</v>
      </c>
      <c r="BQ12" s="111" t="s">
        <v>1659</v>
      </c>
      <c r="BR12" s="133"/>
      <c r="BT12" s="105"/>
      <c r="BU12" s="21"/>
      <c r="BV12" s="21"/>
      <c r="BW12" s="21"/>
      <c r="BX12" s="21"/>
      <c r="BY12" s="21"/>
      <c r="BZ12" s="100"/>
      <c r="CB12" s="79"/>
      <c r="CD12" s="80"/>
      <c r="CF12" s="79"/>
      <c r="CH12" s="80"/>
      <c r="CJ12" s="77"/>
      <c r="CK12" s="76" t="str">
        <f>IFERROR(VLOOKUP(CL12,DataBase!$AG$3:$AI$40,3,0),"")</f>
        <v/>
      </c>
      <c r="CL12" s="76" t="str">
        <f>IF('SF DATA'!B114="","",'SF DATA'!B114)</f>
        <v/>
      </c>
      <c r="CM12" s="78"/>
      <c r="CO12" s="77"/>
      <c r="CP12" s="144" t="s">
        <v>1443</v>
      </c>
      <c r="CQ12" s="145" t="s">
        <v>716</v>
      </c>
      <c r="CR12" s="145" t="s">
        <v>717</v>
      </c>
      <c r="CS12" s="145" t="s">
        <v>718</v>
      </c>
      <c r="CT12" s="145" t="s">
        <v>719</v>
      </c>
      <c r="CU12" s="145" t="s">
        <v>720</v>
      </c>
      <c r="CV12" s="144" t="s">
        <v>721</v>
      </c>
      <c r="CW12" s="78"/>
      <c r="CY12" s="79"/>
      <c r="DA12" s="80"/>
      <c r="DC12" s="79"/>
      <c r="DE12" s="95"/>
      <c r="DH12" s="260" t="str">
        <f t="shared" si="0"/>
        <v>PFC</v>
      </c>
      <c r="DI12" s="304" t="e">
        <f>IF(DH12="",0,AS15)*-1</f>
        <v>#VALUE!</v>
      </c>
      <c r="DJ12" s="80"/>
      <c r="DL12" s="460" t="s">
        <v>1461</v>
      </c>
      <c r="DM12" s="461"/>
      <c r="DN12" s="461"/>
      <c r="DO12" s="461"/>
      <c r="DP12" s="461"/>
      <c r="DQ12" s="461"/>
      <c r="DR12" s="461"/>
      <c r="DS12" s="461"/>
      <c r="DT12" s="461"/>
      <c r="DU12" s="462"/>
      <c r="DW12" s="97" t="str">
        <f t="shared" si="1"/>
        <v>&amp;=Master.OPPORTUNITY_EFFECTIVEDATESFROM</v>
      </c>
      <c r="DX12" s="81" t="str">
        <f t="shared" si="2"/>
        <v>&amp;=Master.OPPORTUNITY_EFFECTIVEDATESENDFINAL</v>
      </c>
      <c r="DY12" s="21" t="e">
        <f t="shared" si="3"/>
        <v>#VALUE!</v>
      </c>
      <c r="DZ12" s="81">
        <f t="shared" si="4"/>
        <v>0</v>
      </c>
      <c r="EA12" s="21"/>
      <c r="EB12" s="255" t="str">
        <f t="shared" si="5"/>
        <v/>
      </c>
    </row>
    <row r="13" spans="1:135" ht="15.75" customHeight="1" thickBot="1" x14ac:dyDescent="0.25">
      <c r="E13" s="77">
        <v>11</v>
      </c>
      <c r="F13" s="21" t="s">
        <v>848</v>
      </c>
      <c r="G13" s="21"/>
      <c r="H13" s="21"/>
      <c r="I13" s="21"/>
      <c r="J13" s="78"/>
      <c r="L13" s="77"/>
      <c r="M13" s="21"/>
      <c r="N13" s="21"/>
      <c r="O13" s="21"/>
      <c r="P13" s="21"/>
      <c r="Q13" s="78"/>
      <c r="S13" s="263" t="s">
        <v>69</v>
      </c>
      <c r="X13" s="80"/>
      <c r="Z13" s="77"/>
      <c r="AA13" s="21"/>
      <c r="AB13" s="21"/>
      <c r="AC13" s="21"/>
      <c r="AD13" s="21"/>
      <c r="AE13" s="78"/>
      <c r="AG13" s="97" t="str">
        <f t="shared" si="6"/>
        <v>&amp;=Master.OPPORTUNITY_EFFECTIVEDATESFROM</v>
      </c>
      <c r="AH13" s="81" t="str">
        <f t="shared" si="7"/>
        <v>&amp;=Master.OPPORTUNITY_EFFECTIVEDATESENDFINAL</v>
      </c>
      <c r="AI13" s="21" t="e">
        <f>IF((+'SF DATA'!C44="")+(+'SF DATA'!C44=0),"",+'SF DATA'!C44)</f>
        <v>#VALUE!</v>
      </c>
      <c r="AJ13" s="81">
        <f>IF('SF DATA'!B44="","",'SF DATA'!B44)</f>
        <v>0</v>
      </c>
      <c r="AK13" s="21"/>
      <c r="AL13" s="255" t="str">
        <f>IFERROR(((IF('SF DATA'!D44="","",'SF DATA'!D44))*100),"")</f>
        <v/>
      </c>
      <c r="AN13" s="77"/>
      <c r="AO13" s="21">
        <f>IF(AP13="","",IF(AO12&lt;&gt;"",AO12+10,IF(AO11&lt;&gt;"",AO11+10,IF(AO10&lt;&gt;"",AO10+10,IF(AO9&lt;&gt;"",AO9+10,IF(AO8&lt;&gt;"",$AO$8+10,IF(AO8="",AO7+10)))))))</f>
        <v>50</v>
      </c>
      <c r="AP13" s="21" t="str">
        <f>IF(AR13="","",'SF DATA'!C86)</f>
        <v>INT2</v>
      </c>
      <c r="AQ13" s="21" t="str">
        <f>IF(AR13&lt;&gt;"",'SF DATA'!G86,"")</f>
        <v>Introduction Fee - Gross %</v>
      </c>
      <c r="AR13" s="231" t="str">
        <f>IF(('SF DATA'!H86="")+('SF DATA'!H86=0),"",'SF DATA'!H86)</f>
        <v>&amp;=Master.OPPORTUNITY_INTRODUCTION_FEE</v>
      </c>
      <c r="AS13" s="232"/>
      <c r="AT13" s="78">
        <f>IFERROR(IF(AR13&lt;&gt;"",'SF DATA'!E86,""),"")</f>
        <v>1</v>
      </c>
      <c r="AV13" s="107"/>
      <c r="AW13" s="76">
        <v>10</v>
      </c>
      <c r="AX13" s="76" t="s">
        <v>109</v>
      </c>
      <c r="AY13" s="76" t="s">
        <v>109</v>
      </c>
      <c r="AZ13" s="100"/>
      <c r="BB13" s="99"/>
      <c r="BC13" s="111"/>
      <c r="BD13" s="111"/>
      <c r="BE13" s="133"/>
      <c r="BG13" s="79"/>
      <c r="BH13" s="21"/>
      <c r="BI13" s="21"/>
      <c r="BJ13" s="21"/>
      <c r="BK13" s="21"/>
      <c r="BL13" s="21"/>
      <c r="BM13" s="78"/>
      <c r="BO13" s="99" t="str">
        <f t="shared" ref="BO13:BO17" si="8">IF($BO$6&lt;&gt;2,"",2)</f>
        <v/>
      </c>
      <c r="BP13" s="111" t="s">
        <v>1654</v>
      </c>
      <c r="BQ13" s="111" t="s">
        <v>1660</v>
      </c>
      <c r="BR13" s="133"/>
      <c r="BT13" s="105"/>
      <c r="BU13" s="21"/>
      <c r="BV13" s="21"/>
      <c r="BW13" s="21"/>
      <c r="BX13" s="21"/>
      <c r="BY13" s="21"/>
      <c r="BZ13" s="100"/>
      <c r="CB13" s="79"/>
      <c r="CD13" s="80"/>
      <c r="CF13" s="79"/>
      <c r="CH13" s="80"/>
      <c r="CJ13" s="77"/>
      <c r="CK13" s="76" t="str">
        <f>IFERROR(VLOOKUP(CL13,DataBase!$AG$3:$AI$40,3,0),"")</f>
        <v/>
      </c>
      <c r="CL13" s="76" t="str">
        <f>IF('SF DATA'!B115="","",'SF DATA'!B115)</f>
        <v/>
      </c>
      <c r="CM13" s="78"/>
      <c r="CO13" s="79"/>
      <c r="CP13" s="19" t="str">
        <f>IF((FAC!A3="")+(FAC!A3=0),"",FAC!A3)</f>
        <v>&amp;=FAC.FAC_NAME(noadd)</v>
      </c>
      <c r="CQ13" s="19" t="str">
        <f>IF((FAC!C3="")+(FAC!C3=0),"",FAC!C3)</f>
        <v>&amp;=FAC.FAC_FAC_TYPE(NOADD)</v>
      </c>
      <c r="CR13" s="19" t="str">
        <f>IF((FAC!D3="")+(FAC!D3=0),"",FAC!D3)</f>
        <v>&amp;=FAC.FAC__CBROKER_NAME_NAME(Noadd)</v>
      </c>
      <c r="CS13" s="19" t="str">
        <f>IF((FAC!E3="")+(FAC!E3=0),"",FAC!E3)</f>
        <v>&amp;=FAC.BROKER_NAME_GENIUSID(noadd)</v>
      </c>
      <c r="CT13" s="19" t="str">
        <f>IF((FAC!F3="")+(FAC!F3=0),"",FAC!F3)</f>
        <v>&amp;=FAC.FAC__CINSURANCE_NAME(Noadd)</v>
      </c>
      <c r="CU13" s="19" t="str">
        <f>IF((FAC!G3="")+(FAC!G3=0),"",FAC!G3)</f>
        <v>&amp;=FAC.FAC__CINSURANCE_GENIUSID(Noadd)</v>
      </c>
      <c r="CV13" s="261" t="str">
        <f>IF((FAC!I3="")+(FAC!I3=0),"",FAC!I3*100)</f>
        <v/>
      </c>
      <c r="CW13" s="80"/>
      <c r="CY13" s="79"/>
      <c r="DA13" s="80"/>
      <c r="DC13" s="79"/>
      <c r="DE13" s="95"/>
      <c r="DH13" s="260" t="str">
        <f t="shared" si="0"/>
        <v>ENG</v>
      </c>
      <c r="DI13" s="304" t="e">
        <f>IF(DH13="",0,AS16)*-1</f>
        <v>#VALUE!</v>
      </c>
      <c r="DJ13" s="80"/>
      <c r="DL13" s="152"/>
      <c r="DM13" s="153"/>
      <c r="DN13" s="153"/>
      <c r="DO13" s="153"/>
      <c r="DP13" s="153"/>
      <c r="DQ13" s="153"/>
      <c r="DR13" s="153"/>
      <c r="DS13" s="153"/>
      <c r="DT13" s="153"/>
      <c r="DU13" s="154"/>
      <c r="DW13" s="97" t="str">
        <f t="shared" si="1"/>
        <v>&amp;=Master.OPPORTUNITY_EFFECTIVEDATESFROM</v>
      </c>
      <c r="DX13" s="81" t="str">
        <f t="shared" si="2"/>
        <v>&amp;=Master.OPPORTUNITY_EFFECTIVEDATESENDFINAL</v>
      </c>
      <c r="DY13" s="21" t="e">
        <f t="shared" si="3"/>
        <v>#VALUE!</v>
      </c>
      <c r="DZ13" s="81">
        <f t="shared" si="4"/>
        <v>0</v>
      </c>
      <c r="EA13" s="21"/>
      <c r="EB13" s="255" t="str">
        <f t="shared" si="5"/>
        <v/>
      </c>
    </row>
    <row r="14" spans="1:135" ht="15.75" customHeight="1" x14ac:dyDescent="0.2">
      <c r="E14" s="77">
        <v>12</v>
      </c>
      <c r="F14" s="21" t="s">
        <v>849</v>
      </c>
      <c r="G14" s="82"/>
      <c r="H14" s="82"/>
      <c r="I14" s="82"/>
      <c r="J14" s="78"/>
      <c r="L14" s="77"/>
      <c r="M14" s="21"/>
      <c r="N14" s="82"/>
      <c r="O14" s="82"/>
      <c r="P14" s="82"/>
      <c r="Q14" s="78"/>
      <c r="S14" s="263" t="s">
        <v>70</v>
      </c>
      <c r="T14" s="94" t="str">
        <f>+'SF DATA'!C18</f>
        <v>&amp;=Master.OPPORTUNITY_EFFECTIVEDATESFROM</v>
      </c>
      <c r="W14" s="95"/>
      <c r="X14" s="96"/>
      <c r="Z14" s="77"/>
      <c r="AA14" s="21"/>
      <c r="AB14" s="21"/>
      <c r="AC14" s="21"/>
      <c r="AD14" s="21"/>
      <c r="AE14" s="78"/>
      <c r="AG14" s="97" t="str">
        <f t="shared" si="6"/>
        <v>&amp;=Master.OPPORTUNITY_EFFECTIVEDATESFROM</v>
      </c>
      <c r="AH14" s="81" t="str">
        <f t="shared" si="7"/>
        <v>&amp;=Master.OPPORTUNITY_EFFECTIVEDATESENDFINAL</v>
      </c>
      <c r="AI14" s="21" t="e">
        <f>IF((+'SF DATA'!C45="")+(+'SF DATA'!C45=0),"",+'SF DATA'!C45)</f>
        <v>#VALUE!</v>
      </c>
      <c r="AJ14" s="81">
        <f>IF('SF DATA'!B45="","",'SF DATA'!B45)</f>
        <v>0</v>
      </c>
      <c r="AK14" s="21"/>
      <c r="AL14" s="255" t="str">
        <f>IFERROR(((IF('SF DATA'!D45="","",'SF DATA'!D45))*100),"")</f>
        <v/>
      </c>
      <c r="AN14" s="77"/>
      <c r="AO14" s="21">
        <f>IF(AP14="","",IF(AO13&lt;&gt;"",AO13+10,IF(AO12&lt;&gt;"",AO12+10,IF(AO11&lt;&gt;"",AO11+10,IF(AO10&lt;&gt;"",AO10+10,IF(AO9&lt;&gt;"",AO9+10,IF(AO8&lt;&gt;"",$AO$8+10,IF(AO8="",AO7+10))))))))</f>
        <v>60</v>
      </c>
      <c r="AP14" s="21" t="str">
        <f>IF(AR14="","",'SF DATA'!C87)</f>
        <v>CFC</v>
      </c>
      <c r="AQ14" s="21" t="str">
        <f>IF(AR14&lt;&gt;"",'SF DATA'!G87,"")</f>
        <v>Commission Finance Charge</v>
      </c>
      <c r="AR14" s="231" t="str">
        <f>IF(('SF DATA'!H87="")+('SF DATA'!H87=0),"",'SF DATA'!H87)</f>
        <v>&amp;=Master.OPPORTUNITY_COMMISSION_FINANCE_CHARGE</v>
      </c>
      <c r="AS14" s="231"/>
      <c r="AT14" s="78">
        <f>IFERROR(IF(AR14&lt;&gt;"",'SF DATA'!E87,""),"")</f>
        <v>1</v>
      </c>
      <c r="AV14" s="105"/>
      <c r="AZ14" s="106"/>
      <c r="BB14" s="417" t="s">
        <v>861</v>
      </c>
      <c r="BC14" s="418"/>
      <c r="BD14" s="418"/>
      <c r="BE14" s="419"/>
      <c r="BG14" s="79"/>
      <c r="BH14" s="21"/>
      <c r="BI14" s="21"/>
      <c r="BJ14" s="21"/>
      <c r="BK14" s="21"/>
      <c r="BL14" s="21"/>
      <c r="BM14" s="78"/>
      <c r="BO14" s="99" t="str">
        <f t="shared" si="8"/>
        <v/>
      </c>
      <c r="BP14" s="111" t="s">
        <v>1656</v>
      </c>
      <c r="BQ14" s="111" t="s">
        <v>1661</v>
      </c>
      <c r="BR14" s="133"/>
      <c r="BT14" s="105"/>
      <c r="BU14" s="21"/>
      <c r="BV14" s="21"/>
      <c r="BW14" s="21"/>
      <c r="BX14" s="21"/>
      <c r="BY14" s="21"/>
      <c r="BZ14" s="100"/>
      <c r="CB14" s="79"/>
      <c r="CD14" s="80"/>
      <c r="CF14" s="79"/>
      <c r="CH14" s="80"/>
      <c r="CJ14" s="77"/>
      <c r="CK14" s="76" t="str">
        <f>IFERROR(VLOOKUP(CL14,DataBase!$AG$3:$AI$40,3,0),"")</f>
        <v/>
      </c>
      <c r="CL14" s="76" t="str">
        <f>IF('SF DATA'!B116="","",'SF DATA'!B116)</f>
        <v/>
      </c>
      <c r="CM14" s="78"/>
      <c r="CO14" s="79"/>
      <c r="CP14" s="19" t="str">
        <f>IF((FAC!A4="")+(FAC!A4=0),"",FAC!A4)</f>
        <v/>
      </c>
      <c r="CQ14" s="19" t="str">
        <f>IF((FAC!C4="")+(FAC!C4=0),"",FAC!C4)</f>
        <v/>
      </c>
      <c r="CR14" s="19" t="str">
        <f>IF((FAC!D4="")+(FAC!D4=0),"",FAC!D4)</f>
        <v/>
      </c>
      <c r="CS14" s="19" t="str">
        <f>IF((FAC!E4="")+(FAC!E4=0),"",FAC!E4)</f>
        <v/>
      </c>
      <c r="CT14" s="19" t="str">
        <f>IF((FAC!F4="")+(FAC!F4=0),"",FAC!F4)</f>
        <v/>
      </c>
      <c r="CU14" s="19" t="str">
        <f>IF((FAC!G4="")+(FAC!G4=0),"",FAC!G4)</f>
        <v/>
      </c>
      <c r="CV14" s="261" t="str">
        <f>IF((FAC!I4="")+(FAC!I4=0),"",FAC!I4*100)</f>
        <v/>
      </c>
      <c r="CW14" s="80"/>
      <c r="CY14" s="79"/>
      <c r="DA14" s="80"/>
      <c r="DC14" s="79"/>
      <c r="DE14" s="95"/>
      <c r="DH14" s="260" t="str">
        <f t="shared" si="0"/>
        <v>ELT</v>
      </c>
      <c r="DI14" s="304" t="e">
        <f>IF(DH14="",0,(+$DI$3*(AR17/100)))*-1</f>
        <v>#VALUE!</v>
      </c>
      <c r="DJ14" s="80"/>
      <c r="DL14" s="121" t="s">
        <v>1462</v>
      </c>
      <c r="DM14" s="155"/>
      <c r="DN14" s="76" t="str">
        <f>+'SF DATA'!C8</f>
        <v>&amp;=Master.OPPORTUNITY_COMPANYCODE</v>
      </c>
      <c r="DO14" s="76" t="str">
        <f>+'SF DATA'!C9</f>
        <v>&amp;=Master.OPPORTUNITY_BRANCHCODE</v>
      </c>
      <c r="DP14" s="76" t="s">
        <v>1463</v>
      </c>
      <c r="DQ14" s="76" t="str">
        <f>+'SF DATA'!C12</f>
        <v>&amp;=Brokers.BROKER_GENIUSID</v>
      </c>
      <c r="DU14" s="80"/>
      <c r="DW14" s="97" t="str">
        <f t="shared" si="1"/>
        <v>&amp;=Master.OPPORTUNITY_EFFECTIVEDATESFROM</v>
      </c>
      <c r="DX14" s="81" t="str">
        <f t="shared" si="2"/>
        <v>&amp;=Master.OPPORTUNITY_EFFECTIVEDATESENDFINAL</v>
      </c>
      <c r="DY14" s="21" t="e">
        <f t="shared" si="3"/>
        <v>#VALUE!</v>
      </c>
      <c r="DZ14" s="81">
        <f t="shared" si="4"/>
        <v>0</v>
      </c>
      <c r="EA14" s="21"/>
      <c r="EB14" s="255" t="str">
        <f t="shared" si="5"/>
        <v/>
      </c>
    </row>
    <row r="15" spans="1:135" ht="15.75" customHeight="1" x14ac:dyDescent="0.2">
      <c r="E15" s="77"/>
      <c r="F15" s="21"/>
      <c r="G15" s="83"/>
      <c r="H15" s="83"/>
      <c r="I15" s="83"/>
      <c r="J15" s="78"/>
      <c r="L15" s="77"/>
      <c r="M15" s="21"/>
      <c r="N15" s="83"/>
      <c r="O15" s="82"/>
      <c r="P15" s="82"/>
      <c r="Q15" s="78"/>
      <c r="S15" s="263" t="s">
        <v>72</v>
      </c>
      <c r="T15" s="94" t="str">
        <f>+'SF DATA'!C19</f>
        <v>&amp;=Master.OPPORTUNITY_EFFECTIVEDATESENDFINAL</v>
      </c>
      <c r="W15" s="142" t="s">
        <v>71</v>
      </c>
      <c r="X15" s="252" t="str">
        <f ca="1">+'SF DATA'!C20</f>
        <v>Don't Change</v>
      </c>
      <c r="Z15" s="77"/>
      <c r="AA15" s="21"/>
      <c r="AB15" s="21"/>
      <c r="AC15" s="21"/>
      <c r="AD15" s="21"/>
      <c r="AE15" s="78"/>
      <c r="AG15" s="97" t="str">
        <f t="shared" si="6"/>
        <v>&amp;=Master.OPPORTUNITY_EFFECTIVEDATESFROM</v>
      </c>
      <c r="AH15" s="81" t="str">
        <f t="shared" si="7"/>
        <v>&amp;=Master.OPPORTUNITY_EFFECTIVEDATESENDFINAL</v>
      </c>
      <c r="AI15" s="21" t="e">
        <f>IF((+'SF DATA'!C46="")+(+'SF DATA'!C46=0),"",+'SF DATA'!C46)</f>
        <v>#VALUE!</v>
      </c>
      <c r="AJ15" s="81">
        <f>IF('SF DATA'!B46="","",'SF DATA'!B46)</f>
        <v>0</v>
      </c>
      <c r="AK15" s="21"/>
      <c r="AL15" s="255" t="str">
        <f>IFERROR(((IF('SF DATA'!D46="","",'SF DATA'!D46))*100),"")</f>
        <v/>
      </c>
      <c r="AN15" s="77"/>
      <c r="AO15" s="21">
        <f>IF(AP15="","",IF(AO14&lt;&gt;"",AO14+10,IF(AO13&lt;&gt;"",AO13+10,IF(AO12&lt;&gt;"",AO12+10,IF(AO11&lt;&gt;"",AO11+10,IF(AO10&lt;&gt;"",AO10+10,IF(AO9&lt;&gt;"",AO9+10,IF(AO8&lt;&gt;"",$AO$8+10,IF(AO8="",AO7+10)))))))))</f>
        <v>70</v>
      </c>
      <c r="AP15" s="21" t="str">
        <f>IF(AS15="","",'SF DATA'!C88)</f>
        <v>PFC</v>
      </c>
      <c r="AQ15" s="21" t="str">
        <f>IF(AS15&lt;&gt;"",'SF DATA'!G88,"")</f>
        <v>Premium Finance Charge</v>
      </c>
      <c r="AR15" s="231"/>
      <c r="AS15" s="232" t="str">
        <f>IF(('SF DATA'!H88="")+('SF DATA'!H88=0),"",'SF DATA'!H88)</f>
        <v>&amp;=Master.OPPORTUNITY_PREMIUM_FINANCE_CHARGE</v>
      </c>
      <c r="AT15" s="78" t="str">
        <f>IFERROR(IF(AR15&lt;&gt;"",'SF DATA'!E88,""),"")</f>
        <v/>
      </c>
      <c r="AV15" s="107"/>
      <c r="AZ15" s="100"/>
      <c r="BB15" s="420" t="s">
        <v>209</v>
      </c>
      <c r="BC15" s="421"/>
      <c r="BD15" s="421"/>
      <c r="BE15" s="422"/>
      <c r="BG15" s="79"/>
      <c r="BH15" s="21"/>
      <c r="BI15" s="21"/>
      <c r="BJ15" s="21"/>
      <c r="BK15" s="21"/>
      <c r="BL15" s="21"/>
      <c r="BM15" s="78"/>
      <c r="BO15" s="99" t="str">
        <f t="shared" si="8"/>
        <v/>
      </c>
      <c r="BP15" s="111" t="s">
        <v>1657</v>
      </c>
      <c r="BQ15" s="111" t="s">
        <v>1662</v>
      </c>
      <c r="BR15" s="133"/>
      <c r="BT15" s="105"/>
      <c r="BU15" s="21"/>
      <c r="BV15" s="21"/>
      <c r="BW15" s="21"/>
      <c r="BX15" s="21"/>
      <c r="BY15" s="21"/>
      <c r="BZ15" s="100"/>
      <c r="CB15" s="79"/>
      <c r="CD15" s="80"/>
      <c r="CF15" s="79"/>
      <c r="CH15" s="80"/>
      <c r="CJ15" s="77"/>
      <c r="CK15" s="76" t="str">
        <f>IFERROR(VLOOKUP(CL15,DataBase!$AG$3:$AI$40,3,0),"")</f>
        <v/>
      </c>
      <c r="CL15" s="76" t="str">
        <f>IF('SF DATA'!B117="","",'SF DATA'!B117)</f>
        <v/>
      </c>
      <c r="CM15" s="78"/>
      <c r="CO15" s="79"/>
      <c r="CP15" s="19" t="str">
        <f>IF((FAC!A5="")+(FAC!A5=0),"",FAC!A5)</f>
        <v/>
      </c>
      <c r="CQ15" s="19" t="str">
        <f>IF((FAC!C5="")+(FAC!C5=0),"",FAC!C5)</f>
        <v/>
      </c>
      <c r="CR15" s="19" t="str">
        <f>IF((FAC!D5="")+(FAC!D5=0),"",FAC!D5)</f>
        <v/>
      </c>
      <c r="CS15" s="19" t="str">
        <f>IF((FAC!E5="")+(FAC!E5=0),"",FAC!E5)</f>
        <v/>
      </c>
      <c r="CT15" s="19" t="str">
        <f>IF((FAC!F5="")+(FAC!F5=0),"",FAC!F5)</f>
        <v/>
      </c>
      <c r="CU15" s="19" t="str">
        <f>IF((FAC!G5="")+(FAC!G5=0),"",FAC!G5)</f>
        <v/>
      </c>
      <c r="CV15" s="261" t="str">
        <f>IF((FAC!I5="")+(FAC!I5=0),"",FAC!I5*100)</f>
        <v/>
      </c>
      <c r="CW15" s="80"/>
      <c r="CY15" s="79"/>
      <c r="DA15" s="80"/>
      <c r="DC15" s="79"/>
      <c r="DE15" s="95"/>
      <c r="DH15" s="260" t="str">
        <f>IF(+AP18="","",+AP18)</f>
        <v/>
      </c>
      <c r="DI15" s="304">
        <f>IF(DH15="",0,(AS18))</f>
        <v>0</v>
      </c>
      <c r="DJ15" s="80"/>
      <c r="DL15" s="79"/>
      <c r="DU15" s="80"/>
      <c r="DW15" s="97" t="str">
        <f t="shared" si="1"/>
        <v>&amp;=Master.OPPORTUNITY_EFFECTIVEDATESFROM</v>
      </c>
      <c r="DX15" s="81" t="str">
        <f t="shared" si="2"/>
        <v>&amp;=Master.OPPORTUNITY_EFFECTIVEDATESENDFINAL</v>
      </c>
      <c r="DY15" s="21" t="e">
        <f t="shared" si="3"/>
        <v>#VALUE!</v>
      </c>
      <c r="DZ15" s="81">
        <f t="shared" si="4"/>
        <v>0</v>
      </c>
      <c r="EA15" s="21"/>
      <c r="EB15" s="255" t="str">
        <f t="shared" si="5"/>
        <v/>
      </c>
    </row>
    <row r="16" spans="1:135" ht="15.75" customHeight="1" x14ac:dyDescent="0.2">
      <c r="E16" s="77">
        <v>90</v>
      </c>
      <c r="F16" s="21" t="s">
        <v>850</v>
      </c>
      <c r="G16" s="21"/>
      <c r="H16" s="21"/>
      <c r="I16" s="21"/>
      <c r="J16" s="78"/>
      <c r="L16" s="77"/>
      <c r="M16" s="21"/>
      <c r="N16" s="21"/>
      <c r="O16" s="21"/>
      <c r="P16" s="21"/>
      <c r="Q16" s="78"/>
      <c r="S16" s="79"/>
      <c r="X16" s="80"/>
      <c r="Z16" s="77"/>
      <c r="AA16" s="21"/>
      <c r="AB16" s="21"/>
      <c r="AC16" s="21"/>
      <c r="AD16" s="21"/>
      <c r="AE16" s="78"/>
      <c r="AG16" s="97" t="str">
        <f t="shared" si="6"/>
        <v>&amp;=Master.OPPORTUNITY_EFFECTIVEDATESFROM</v>
      </c>
      <c r="AH16" s="81" t="str">
        <f t="shared" si="7"/>
        <v>&amp;=Master.OPPORTUNITY_EFFECTIVEDATESENDFINAL</v>
      </c>
      <c r="AI16" s="21" t="e">
        <f>IF((+'SF DATA'!C47="")+(+'SF DATA'!C47=0),"",+'SF DATA'!C47)</f>
        <v>#VALUE!</v>
      </c>
      <c r="AJ16" s="81">
        <f>IF('SF DATA'!B47="","",'SF DATA'!B47)</f>
        <v>0</v>
      </c>
      <c r="AK16" s="21"/>
      <c r="AL16" s="255" t="str">
        <f>IFERROR(((IF('SF DATA'!D47="","",'SF DATA'!D47))*100),"")</f>
        <v/>
      </c>
      <c r="AN16" s="77"/>
      <c r="AO16" s="21">
        <f>IF(AP16="","",IF(AO15&lt;&gt;"",AO15+10,IF(AO14&lt;&gt;"",AO14+10,IF(AO13&lt;&gt;"",AO13+10,IF(AO12&lt;&gt;"",AO12+10,IF(AO11&lt;&gt;"",AO11+10,IF(AO10&lt;&gt;"",AO10+10,IF(AO9&lt;&gt;"",AO9+10,IF(AO8&lt;&gt;"",$AO$8+10,IF(AO8="",AO7+10))))))))))</f>
        <v>80</v>
      </c>
      <c r="AP16" s="21" t="str">
        <f>IF(AS16="","",'SF DATA'!C89)</f>
        <v>ENG</v>
      </c>
      <c r="AQ16" s="21" t="str">
        <f>IF(AS16&lt;&gt;"",'SF DATA'!G89,"")</f>
        <v>Engineering Fees Flat $</v>
      </c>
      <c r="AR16" s="231"/>
      <c r="AS16" s="232" t="str">
        <f>IF(('SF DATA'!H89="")+('SF DATA'!H89=0),"",'SF DATA'!H89)</f>
        <v>&amp;=Master.OPPORTUNITY_ENGINEERING_FEES</v>
      </c>
      <c r="AT16" s="78" t="str">
        <f>IFERROR(IF(AR16&lt;&gt;"",'SF DATA'!E89,""),"")</f>
        <v/>
      </c>
      <c r="AV16" s="107"/>
      <c r="AZ16" s="100"/>
      <c r="BB16" s="420"/>
      <c r="BC16" s="421"/>
      <c r="BD16" s="421"/>
      <c r="BE16" s="422"/>
      <c r="BG16" s="79"/>
      <c r="BH16" s="21"/>
      <c r="BI16" s="21"/>
      <c r="BJ16" s="21"/>
      <c r="BK16" s="21"/>
      <c r="BL16" s="21"/>
      <c r="BM16" s="78"/>
      <c r="BO16" s="99" t="str">
        <f t="shared" si="8"/>
        <v/>
      </c>
      <c r="BP16" s="111" t="s">
        <v>1658</v>
      </c>
      <c r="BQ16" s="76" t="s">
        <v>1664</v>
      </c>
      <c r="BR16" s="133"/>
      <c r="BT16" s="105"/>
      <c r="BU16" s="21"/>
      <c r="BV16" s="21"/>
      <c r="BW16" s="21"/>
      <c r="BX16" s="21"/>
      <c r="BY16" s="21"/>
      <c r="BZ16" s="100"/>
      <c r="CB16" s="79"/>
      <c r="CD16" s="80"/>
      <c r="CF16" s="79"/>
      <c r="CH16" s="80"/>
      <c r="CJ16" s="77"/>
      <c r="CK16" s="76" t="str">
        <f>IFERROR(VLOOKUP(CL16,DataBase!$AG$3:$AI$40,3,0),"")</f>
        <v/>
      </c>
      <c r="CL16" s="76" t="str">
        <f>IF('SF DATA'!B118="","",'SF DATA'!B118)</f>
        <v/>
      </c>
      <c r="CM16" s="78"/>
      <c r="CO16" s="79"/>
      <c r="CP16" s="19" t="str">
        <f>IF((FAC!A6="")+(FAC!A6=0),"",FAC!A6)</f>
        <v/>
      </c>
      <c r="CQ16" s="19" t="str">
        <f>IF((FAC!C6="")+(FAC!C6=0),"",FAC!C6)</f>
        <v/>
      </c>
      <c r="CR16" s="19" t="str">
        <f>IF((FAC!D6="")+(FAC!D6=0),"",FAC!D6)</f>
        <v/>
      </c>
      <c r="CS16" s="19" t="str">
        <f>IF((FAC!E6="")+(FAC!E6=0),"",FAC!E6)</f>
        <v/>
      </c>
      <c r="CT16" s="19" t="str">
        <f>IF((FAC!F6="")+(FAC!F6=0),"",FAC!F6)</f>
        <v/>
      </c>
      <c r="CU16" s="19" t="str">
        <f>IF((FAC!G6="")+(FAC!G6=0),"",FAC!G6)</f>
        <v/>
      </c>
      <c r="CV16" s="261" t="str">
        <f>IF((FAC!I6="")+(FAC!I6=0),"",FAC!I6*100)</f>
        <v/>
      </c>
      <c r="CW16" s="80"/>
      <c r="CY16" s="79"/>
      <c r="DA16" s="80"/>
      <c r="DC16" s="79"/>
      <c r="DE16" s="95"/>
      <c r="DH16" s="260" t="str">
        <f>IF(+AP19="","",+AP19)</f>
        <v>PRWT</v>
      </c>
      <c r="DI16" s="304" t="e">
        <f>IF(DH16="",0,(+DI4*(AR19/100)))*-1</f>
        <v>#VALUE!</v>
      </c>
      <c r="DJ16" s="80"/>
      <c r="DL16" s="394" t="s">
        <v>1464</v>
      </c>
      <c r="DM16" s="395"/>
      <c r="DN16" s="95" t="str">
        <f>IF(FAC!P3="Net Premium Entered","M",IF(FAC!P4="Net Premium Entered","M",IF(FAC!P5="Net Premium Entered","M",IF(FAC!P6="Net Premium Entered","M",IF(FAC!P7="Net Premium Entered","M",IF(FAC!P8="Net Premium Entered","M",IF(FAC!P9="Net Premium Entered","M",IF(FAC!P10="Net Premium Entered","M",IF(FAC!P11="Net Premium Entered","M",IF(FAC!P12="Net Premium Entered","M",IF(FAC!P13="Net Premium Entered","M",IF(FAC!P14="Net Premium Entered","M",IF(FAC!P15="Net Premium Entered","M",IF(FAC!P16="Net Premium Entered","M",IF(FAC!P17="Net Premium Entered","M",IF(FAC!P18="Net Premium Entered","M",IF(FAC!P19="Net Premium Entered","M",IF(FAC!P20="Net Premium Entered","M",IF(FAC!P21="Net Premium Entered","M",IF(FAC!P22="Net Premium Entered","M",IF(FAC!P23="Net Premium Entered","M",IF(FAC!P24="Net Premium Entered","M",IF(FAC!CN5="Net Premium Entered","M",IF(FAC!P26="Net Premium Entered","M",IF(FAC!P27="Net Premium Entered","M","A")))))))))))))))))))))))))</f>
        <v>A</v>
      </c>
      <c r="DO16" s="455" t="s">
        <v>2273</v>
      </c>
      <c r="DP16" s="455"/>
      <c r="DQ16" s="455"/>
      <c r="DR16" s="455"/>
      <c r="DS16" s="455"/>
      <c r="DT16" s="455"/>
      <c r="DU16" s="80"/>
      <c r="DW16" s="97" t="str">
        <f t="shared" si="1"/>
        <v>&amp;=Master.OPPORTUNITY_EFFECTIVEDATESFROM</v>
      </c>
      <c r="DX16" s="81" t="str">
        <f t="shared" si="2"/>
        <v>&amp;=Master.OPPORTUNITY_EFFECTIVEDATESENDFINAL</v>
      </c>
      <c r="DY16" s="21" t="e">
        <f t="shared" si="3"/>
        <v>#VALUE!</v>
      </c>
      <c r="DZ16" s="81">
        <f t="shared" si="4"/>
        <v>0</v>
      </c>
      <c r="EA16" s="21"/>
      <c r="EB16" s="255" t="str">
        <f t="shared" si="5"/>
        <v/>
      </c>
    </row>
    <row r="17" spans="5:132" ht="15.75" customHeight="1" x14ac:dyDescent="0.2">
      <c r="E17" s="77"/>
      <c r="F17" s="21"/>
      <c r="G17" s="21"/>
      <c r="H17" s="21"/>
      <c r="I17" s="21"/>
      <c r="J17" s="78"/>
      <c r="L17" s="77"/>
      <c r="M17" s="21"/>
      <c r="N17" s="21"/>
      <c r="O17" s="21"/>
      <c r="P17" s="21"/>
      <c r="Q17" s="78"/>
      <c r="S17" s="79"/>
      <c r="X17" s="80"/>
      <c r="Z17" s="77"/>
      <c r="AA17" s="21"/>
      <c r="AB17" s="21"/>
      <c r="AC17" s="21"/>
      <c r="AD17" s="21"/>
      <c r="AE17" s="78"/>
      <c r="AG17" s="97" t="str">
        <f t="shared" si="6"/>
        <v>&amp;=Master.OPPORTUNITY_EFFECTIVEDATESFROM</v>
      </c>
      <c r="AH17" s="81" t="str">
        <f t="shared" si="7"/>
        <v>&amp;=Master.OPPORTUNITY_EFFECTIVEDATESENDFINAL</v>
      </c>
      <c r="AI17" s="21" t="e">
        <f>IF((+'SF DATA'!C48="")+(+'SF DATA'!C48=0),"",+'SF DATA'!C48)</f>
        <v>#VALUE!</v>
      </c>
      <c r="AJ17" s="81">
        <f>IF('SF DATA'!B48="","",'SF DATA'!B48)</f>
        <v>0</v>
      </c>
      <c r="AK17" s="21"/>
      <c r="AL17" s="255" t="str">
        <f>IFERROR(((IF('SF DATA'!D48="","",'SF DATA'!D48))*100),"")</f>
        <v/>
      </c>
      <c r="AN17" s="201"/>
      <c r="AO17" s="21">
        <f>IF(AP17="","",IF(AO16&lt;&gt;"",AO16+10,IF(AO15&lt;&gt;"",AO15+10,IF(AO14&lt;&gt;"",AO14+10,IF(AO13&lt;&gt;"",AO13+10,IF(AO12&lt;&gt;"",AO12+10,IF(AO11&lt;&gt;"",AO11+10,IF(AO10&lt;&gt;"",AO10+10,IF(AO9&lt;&gt;"",AO9+10,IF(AO8&lt;&gt;"",$AO$8+10,IF(AO8="",AO7+10)))))))))))</f>
        <v>90</v>
      </c>
      <c r="AP17" s="21" t="str">
        <f>IF(AR17="","",'SF DATA'!C90)</f>
        <v>ELT</v>
      </c>
      <c r="AQ17" s="21" t="str">
        <f>IF(AR17&lt;&gt;"",'SF DATA'!G90,"")</f>
        <v>Ecuador Local Tax (ISP)</v>
      </c>
      <c r="AR17" s="231" t="str">
        <f>IF(('SF DATA'!H90="")+('SF DATA'!H90=0),"",'SF DATA'!H90)</f>
        <v>&amp;=Master.OPPORTUNITY_ECUADOR_LOCAL_TAX</v>
      </c>
      <c r="AS17" s="232" t="str">
        <f>'SF DATA'!I90</f>
        <v/>
      </c>
      <c r="AT17" s="78">
        <f>IFERROR(IF(AR17&lt;&gt;"",'SF DATA'!E90,""),"")</f>
        <v>1</v>
      </c>
      <c r="AV17" s="107"/>
      <c r="AZ17" s="100"/>
      <c r="BB17" s="420"/>
      <c r="BC17" s="421"/>
      <c r="BD17" s="421"/>
      <c r="BE17" s="422"/>
      <c r="BG17" s="262" t="s">
        <v>760</v>
      </c>
      <c r="BH17" s="21" t="str">
        <f>IF(+'SF DATA'!$J$9="","",+'SF DATA'!$J$9)</f>
        <v/>
      </c>
      <c r="BI17" s="21" t="str">
        <f>IF(+'SF DATA'!$K$9="","",+'SF DATA'!$K$9)</f>
        <v>&amp;=Master.OPPORTUNITY_FINANCIAL_RATING</v>
      </c>
      <c r="BJ17" s="21"/>
      <c r="BK17" s="126" t="s">
        <v>761</v>
      </c>
      <c r="BL17" s="21" t="str">
        <f>IF(+'SF DATA'!$J$12="","",+'SF DATA'!$J$12)</f>
        <v/>
      </c>
      <c r="BM17" s="78" t="str">
        <f>IF(+'SF DATA'!K12="","",+'SF DATA'!K12)</f>
        <v>&amp;=Master.OPPORTUNITY_WRAP_UP</v>
      </c>
      <c r="BO17" s="99" t="str">
        <f t="shared" si="8"/>
        <v/>
      </c>
      <c r="BP17" s="111" t="s">
        <v>1655</v>
      </c>
      <c r="BQ17" s="111" t="s">
        <v>1663</v>
      </c>
      <c r="BR17" s="133"/>
      <c r="BT17" s="105"/>
      <c r="BU17" s="21"/>
      <c r="BV17" s="21"/>
      <c r="BW17" s="21"/>
      <c r="BX17" s="126" t="s">
        <v>761</v>
      </c>
      <c r="BY17" s="21" t="str">
        <f>IF(+'SF DATA'!$J$12="","",+'SF DATA'!$J$12)</f>
        <v/>
      </c>
      <c r="BZ17" s="78" t="str">
        <f>IF(+'SF DATA'!X12="","",+'SF DATA'!X12)</f>
        <v>CAS</v>
      </c>
      <c r="CB17" s="79"/>
      <c r="CD17" s="80"/>
      <c r="CF17" s="79"/>
      <c r="CH17" s="80"/>
      <c r="CJ17" s="77"/>
      <c r="CK17" s="76" t="str">
        <f>IFERROR(VLOOKUP(CL17,DataBase!$AG$3:$AI$40,3,0),"")</f>
        <v/>
      </c>
      <c r="CL17" s="76" t="str">
        <f>IF('SF DATA'!B119="","",'SF DATA'!B119)</f>
        <v/>
      </c>
      <c r="CM17" s="78"/>
      <c r="CO17" s="79"/>
      <c r="CP17" s="19" t="str">
        <f>IF((FAC!A7="")+(FAC!A7=0),"",FAC!A7)</f>
        <v/>
      </c>
      <c r="CQ17" s="19" t="str">
        <f>IF((FAC!C7="")+(FAC!C7=0),"",FAC!C7)</f>
        <v/>
      </c>
      <c r="CR17" s="19" t="str">
        <f>IF((FAC!D7="")+(FAC!D7=0),"",FAC!D7)</f>
        <v/>
      </c>
      <c r="CS17" s="19" t="str">
        <f>IF((FAC!E7="")+(FAC!E7=0),"",FAC!E7)</f>
        <v/>
      </c>
      <c r="CT17" s="19" t="str">
        <f>IF((FAC!F7="")+(FAC!F7=0),"",FAC!F7)</f>
        <v/>
      </c>
      <c r="CU17" s="19" t="str">
        <f>IF((FAC!G7="")+(FAC!G7=0),"",FAC!G7)</f>
        <v/>
      </c>
      <c r="CV17" s="261" t="str">
        <f>IF((FAC!I7="")+(FAC!I7=0),"",FAC!I7*100)</f>
        <v/>
      </c>
      <c r="CW17" s="80"/>
      <c r="CY17" s="79"/>
      <c r="DA17" s="80"/>
      <c r="DC17" s="79"/>
      <c r="DE17" s="95"/>
      <c r="DH17" s="260" t="str">
        <f t="shared" si="0"/>
        <v/>
      </c>
      <c r="DI17" s="304">
        <f>IF(DH17="",0,(+$DI$3*(AR20/100)))*-1</f>
        <v>0</v>
      </c>
      <c r="DJ17" s="80"/>
      <c r="DL17" s="263" t="s">
        <v>272</v>
      </c>
      <c r="DM17" s="147" t="s">
        <v>1450</v>
      </c>
      <c r="DN17" s="76" t="s">
        <v>1465</v>
      </c>
      <c r="DU17" s="80"/>
      <c r="DW17" s="97" t="str">
        <f t="shared" si="1"/>
        <v>&amp;=Master.OPPORTUNITY_EFFECTIVEDATESFROM</v>
      </c>
      <c r="DX17" s="81" t="str">
        <f t="shared" si="2"/>
        <v>&amp;=Master.OPPORTUNITY_EFFECTIVEDATESENDFINAL</v>
      </c>
      <c r="DY17" s="21" t="e">
        <f t="shared" si="3"/>
        <v>#VALUE!</v>
      </c>
      <c r="DZ17" s="81">
        <f t="shared" si="4"/>
        <v>0</v>
      </c>
      <c r="EA17" s="21"/>
      <c r="EB17" s="255" t="str">
        <f t="shared" si="5"/>
        <v/>
      </c>
    </row>
    <row r="18" spans="5:132" ht="15.75" customHeight="1" x14ac:dyDescent="0.2">
      <c r="E18" s="262" t="s">
        <v>851</v>
      </c>
      <c r="F18" s="20">
        <v>1</v>
      </c>
      <c r="G18" s="21" t="s">
        <v>838</v>
      </c>
      <c r="H18" s="21"/>
      <c r="I18" s="21"/>
      <c r="J18" s="78"/>
      <c r="L18" s="77"/>
      <c r="M18" s="21"/>
      <c r="N18" s="21"/>
      <c r="O18" s="21"/>
      <c r="P18" s="21"/>
      <c r="Q18" s="78"/>
      <c r="S18" s="263" t="s">
        <v>73</v>
      </c>
      <c r="T18" s="76" t="str">
        <f>+'SF DATA'!C21</f>
        <v/>
      </c>
      <c r="U18" s="76" t="str">
        <f>+'SF DATA'!D21</f>
        <v>&amp;=Master.OPPORTUNITY_PRIMARY_EXCESS</v>
      </c>
      <c r="X18" s="80"/>
      <c r="Z18" s="77"/>
      <c r="AA18" s="21"/>
      <c r="AB18" s="21"/>
      <c r="AC18" s="21"/>
      <c r="AD18" s="21"/>
      <c r="AE18" s="78"/>
      <c r="AG18" s="97" t="str">
        <f t="shared" si="6"/>
        <v>&amp;=Master.OPPORTUNITY_EFFECTIVEDATESFROM</v>
      </c>
      <c r="AH18" s="81" t="str">
        <f t="shared" si="7"/>
        <v>&amp;=Master.OPPORTUNITY_EFFECTIVEDATESENDFINAL</v>
      </c>
      <c r="AI18" s="21" t="e">
        <f>IF((+'SF DATA'!C49="")+(+'SF DATA'!C49=0),"",+'SF DATA'!C49)</f>
        <v>#VALUE!</v>
      </c>
      <c r="AJ18" s="81">
        <f>IF('SF DATA'!B49="","",'SF DATA'!B49)</f>
        <v>0</v>
      </c>
      <c r="AK18" s="21"/>
      <c r="AL18" s="255" t="str">
        <f>IFERROR(((IF('SF DATA'!D49="","",'SF DATA'!D49))*100),"")</f>
        <v/>
      </c>
      <c r="AN18" s="77"/>
      <c r="AO18" s="21" t="str">
        <f>IF(AP18="",""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</f>
        <v/>
      </c>
      <c r="AP18" s="21" t="str">
        <f>IF(AS18="","",'SF DATA'!C91)</f>
        <v/>
      </c>
      <c r="AQ18" s="21" t="str">
        <f>IF(AS18&lt;&gt;"",'SF DATA'!G91,"")</f>
        <v/>
      </c>
      <c r="AR18" s="231"/>
      <c r="AS18" s="232" t="str">
        <f>IF(('SF DATA'!I91="")+('SF DATA'!I91=0),"",'SF DATA'!I91)</f>
        <v/>
      </c>
      <c r="AT18" s="78" t="str">
        <f>IFERROR(IF(AS18&lt;&gt;"",'SF DATA'!E91,""),"")</f>
        <v/>
      </c>
      <c r="AV18" s="107"/>
      <c r="AZ18" s="100"/>
      <c r="BB18" s="396" t="s">
        <v>834</v>
      </c>
      <c r="BC18" s="397"/>
      <c r="BD18" s="397"/>
      <c r="BE18" s="398"/>
      <c r="BG18" s="79"/>
      <c r="BH18" s="21"/>
      <c r="BI18" s="21"/>
      <c r="BJ18" s="21"/>
      <c r="BK18" s="126" t="s">
        <v>865</v>
      </c>
      <c r="BL18" s="21" t="str">
        <f>IF(+'SF DATA'!$J$13="","",+'SF DATA'!$J$13)</f>
        <v/>
      </c>
      <c r="BM18" s="78" t="str">
        <f>IF(+'SF DATA'!$K$13="","",+'SF DATA'!$K$13)</f>
        <v>&amp;=Master.OPPORTUNITY_POLLUTION_CODE</v>
      </c>
      <c r="BO18" s="99"/>
      <c r="BQ18" s="111"/>
      <c r="BR18" s="133"/>
      <c r="BT18" s="105"/>
      <c r="BU18" s="21"/>
      <c r="BV18" s="21"/>
      <c r="BW18" s="21"/>
      <c r="BX18" s="126" t="s">
        <v>865</v>
      </c>
      <c r="BY18" s="21" t="str">
        <f>IF(+'SF DATA'!$J$13="","",+'SF DATA'!$J$13)</f>
        <v/>
      </c>
      <c r="BZ18" s="78" t="str">
        <f>IF(+'SF DATA'!$K$13="","",+'SF DATA'!$K$13)</f>
        <v>&amp;=Master.OPPORTUNITY_POLLUTION_CODE</v>
      </c>
      <c r="CB18" s="79"/>
      <c r="CD18" s="80"/>
      <c r="CF18" s="79"/>
      <c r="CH18" s="80"/>
      <c r="CJ18" s="77"/>
      <c r="CK18" s="76" t="str">
        <f>IFERROR(VLOOKUP(CL18,DataBase!$AG$3:$AI$40,3,0),"")</f>
        <v/>
      </c>
      <c r="CL18" s="76" t="str">
        <f>IF('SF DATA'!B120="","",'SF DATA'!B120)</f>
        <v/>
      </c>
      <c r="CM18" s="78"/>
      <c r="CO18" s="79"/>
      <c r="CP18" s="19" t="str">
        <f>IF((FAC!A8="")+(FAC!A8=0),"",FAC!A8)</f>
        <v/>
      </c>
      <c r="CQ18" s="19" t="str">
        <f>IF((FAC!C8="")+(FAC!C8=0),"",FAC!C8)</f>
        <v/>
      </c>
      <c r="CR18" s="19" t="str">
        <f>IF((FAC!D8="")+(FAC!D8=0),"",FAC!D8)</f>
        <v/>
      </c>
      <c r="CS18" s="19" t="str">
        <f>IF((FAC!E8="")+(FAC!E8=0),"",FAC!E8)</f>
        <v/>
      </c>
      <c r="CT18" s="19" t="str">
        <f>IF((FAC!F8="")+(FAC!F8=0),"",FAC!F8)</f>
        <v/>
      </c>
      <c r="CU18" s="19" t="str">
        <f>IF((FAC!G8="")+(FAC!G8=0),"",FAC!G8)</f>
        <v/>
      </c>
      <c r="CV18" s="261" t="str">
        <f>IF((FAC!I8="")+(FAC!I8=0),"",FAC!I8*100)</f>
        <v/>
      </c>
      <c r="CW18" s="80"/>
      <c r="CY18" s="79"/>
      <c r="DA18" s="80"/>
      <c r="DC18" s="79"/>
      <c r="DH18" s="260" t="str">
        <f t="shared" si="0"/>
        <v/>
      </c>
      <c r="DI18" s="304">
        <f>IF(DH18="",0,(+$DI$3*(AR21/100)))*-1</f>
        <v>0</v>
      </c>
      <c r="DJ18" s="80"/>
      <c r="DL18" s="79"/>
      <c r="DU18" s="80"/>
      <c r="DW18" s="97" t="str">
        <f t="shared" si="1"/>
        <v>&amp;=Master.OPPORTUNITY_EFFECTIVEDATESFROM</v>
      </c>
      <c r="DX18" s="81" t="str">
        <f t="shared" si="2"/>
        <v>&amp;=Master.OPPORTUNITY_EFFECTIVEDATESENDFINAL</v>
      </c>
      <c r="DY18" s="21" t="e">
        <f t="shared" si="3"/>
        <v>#VALUE!</v>
      </c>
      <c r="DZ18" s="81">
        <f t="shared" si="4"/>
        <v>0</v>
      </c>
      <c r="EA18" s="21"/>
      <c r="EB18" s="255" t="str">
        <f t="shared" si="5"/>
        <v/>
      </c>
    </row>
    <row r="19" spans="5:132" ht="15.75" customHeight="1" x14ac:dyDescent="0.2">
      <c r="E19" s="77"/>
      <c r="F19" s="21"/>
      <c r="G19" s="21"/>
      <c r="H19" s="21"/>
      <c r="I19" s="21"/>
      <c r="J19" s="78"/>
      <c r="L19" s="77"/>
      <c r="M19" s="21"/>
      <c r="N19" s="21"/>
      <c r="O19" s="21"/>
      <c r="P19" s="21"/>
      <c r="Q19" s="78"/>
      <c r="S19" s="263" t="s">
        <v>46</v>
      </c>
      <c r="T19" s="76" t="str">
        <f>+'SF DATA'!C22</f>
        <v/>
      </c>
      <c r="U19" s="76" t="str">
        <f>+'SF DATA'!D22</f>
        <v>&amp;=Master.OPPORTUNITY_COUNTRYRISK</v>
      </c>
      <c r="X19" s="80"/>
      <c r="Z19" s="77"/>
      <c r="AA19" s="21"/>
      <c r="AB19" s="21"/>
      <c r="AC19" s="21"/>
      <c r="AD19" s="21"/>
      <c r="AE19" s="78"/>
      <c r="AG19" s="97" t="str">
        <f t="shared" si="6"/>
        <v>&amp;=Master.OPPORTUNITY_EFFECTIVEDATESFROM</v>
      </c>
      <c r="AH19" s="81" t="str">
        <f t="shared" si="7"/>
        <v>&amp;=Master.OPPORTUNITY_EFFECTIVEDATESENDFINAL</v>
      </c>
      <c r="AI19" s="21" t="e">
        <f>IF((+'SF DATA'!C50="")+(+'SF DATA'!C50=0),"",+'SF DATA'!C50)</f>
        <v>#VALUE!</v>
      </c>
      <c r="AJ19" s="81">
        <f>IF('SF DATA'!B50="","",'SF DATA'!B50)</f>
        <v>0</v>
      </c>
      <c r="AK19" s="21"/>
      <c r="AL19" s="255" t="str">
        <f>IFERROR(((IF('SF DATA'!D50="","",'SF DATA'!D50))*100),"")</f>
        <v/>
      </c>
      <c r="AN19" s="77"/>
      <c r="AO19" s="21">
        <f>IF(AP19="",""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</f>
        <v>100</v>
      </c>
      <c r="AP19" s="21" t="str">
        <f>IF(AR19="","",'SF DATA'!C92)</f>
        <v>PRWT</v>
      </c>
      <c r="AQ19" s="21" t="str">
        <f>IF(AR19&lt;&gt;"",'SF DATA'!G92,"")</f>
        <v>PR WH Tax on Comm</v>
      </c>
      <c r="AR19" s="231" t="str">
        <f>IF(('SF DATA'!H92="")+('SF DATA'!H92=0),"",'SF DATA'!H92)</f>
        <v>&amp;=Master.OPPORTUNITY_CWT</v>
      </c>
      <c r="AS19" s="232"/>
      <c r="AT19" s="78">
        <f>IFERROR(IF(AR19&lt;&gt;"",'SF DATA'!E92,""),"")</f>
        <v>1</v>
      </c>
      <c r="AV19" s="105"/>
      <c r="AZ19" s="106"/>
      <c r="BB19" s="399"/>
      <c r="BC19" s="400"/>
      <c r="BD19" s="400"/>
      <c r="BE19" s="401"/>
      <c r="BG19" s="262" t="s">
        <v>195</v>
      </c>
      <c r="BH19" s="21" t="str">
        <f>IF(+'SF DATA'!$J$10="","",+'SF DATA'!$J$10)</f>
        <v/>
      </c>
      <c r="BI19" s="21" t="str">
        <f>IF(+'SF DATA'!$K$10="","",+'SF DATA'!$K$10)</f>
        <v>&amp;=Master.OPPORTUNITY_DEFENSE</v>
      </c>
      <c r="BJ19" s="21"/>
      <c r="BK19" s="126" t="s">
        <v>17</v>
      </c>
      <c r="BL19" s="21" t="str">
        <f>IF(+'SF DATA'!$J$5="","",+'SF DATA'!$J$5)</f>
        <v/>
      </c>
      <c r="BM19" s="78" t="str">
        <f>IF(+'SF DATA'!$K$5="","",+'SF DATA'!$K$5)</f>
        <v>&amp;=Master.OPPORTUNITY_LIABILITY_COVER</v>
      </c>
      <c r="BO19" s="99"/>
      <c r="BP19" s="111"/>
      <c r="BQ19" s="111"/>
      <c r="BR19" s="133"/>
      <c r="BT19" s="101" t="s">
        <v>195</v>
      </c>
      <c r="BU19" s="21" t="str">
        <f>IF(+'SF DATA'!$J$10="","",+'SF DATA'!$J$10)</f>
        <v/>
      </c>
      <c r="BV19" s="21" t="str">
        <f>IF(+'SF DATA'!$K$10="","",+'SF DATA'!$K$10)</f>
        <v>&amp;=Master.OPPORTUNITY_DEFENSE</v>
      </c>
      <c r="BW19" s="21"/>
      <c r="BX19" s="126" t="s">
        <v>17</v>
      </c>
      <c r="BY19" s="21" t="str">
        <f>IF(+'SF DATA'!$J$5="","",+'SF DATA'!$J$5)</f>
        <v/>
      </c>
      <c r="BZ19" s="78" t="str">
        <f>IF(+'SF DATA'!$K$5="","",+'SF DATA'!$K$5)</f>
        <v>&amp;=Master.OPPORTUNITY_LIABILITY_COVER</v>
      </c>
      <c r="CB19" s="79"/>
      <c r="CD19" s="80"/>
      <c r="CF19" s="79"/>
      <c r="CH19" s="80"/>
      <c r="CJ19" s="77"/>
      <c r="CK19" s="76" t="str">
        <f>IFERROR(VLOOKUP(CL19,DataBase!$AG$3:$AI$40,3,0),"")</f>
        <v/>
      </c>
      <c r="CL19" s="76" t="str">
        <f>IF('SF DATA'!B121="","",'SF DATA'!B121)</f>
        <v/>
      </c>
      <c r="CM19" s="78"/>
      <c r="CO19" s="79"/>
      <c r="CP19" s="19" t="str">
        <f>IF((FAC!A9="")+(FAC!A9=0),"",FAC!A9)</f>
        <v/>
      </c>
      <c r="CQ19" s="19" t="str">
        <f>IF((FAC!C9="")+(FAC!C9=0),"",FAC!C9)</f>
        <v/>
      </c>
      <c r="CR19" s="19" t="str">
        <f>IF((FAC!D9="")+(FAC!D9=0),"",FAC!D9)</f>
        <v/>
      </c>
      <c r="CS19" s="19" t="str">
        <f>IF((FAC!E9="")+(FAC!E9=0),"",FAC!E9)</f>
        <v/>
      </c>
      <c r="CT19" s="19" t="str">
        <f>IF((FAC!F9="")+(FAC!F9=0),"",FAC!F9)</f>
        <v/>
      </c>
      <c r="CU19" s="19" t="str">
        <f>IF((FAC!G9="")+(FAC!G9=0),"",FAC!G9)</f>
        <v/>
      </c>
      <c r="CV19" s="261" t="str">
        <f>IF((FAC!I9="")+(FAC!I9=0),"",FAC!I9*100)</f>
        <v/>
      </c>
      <c r="CW19" s="80"/>
      <c r="CY19" s="79"/>
      <c r="DA19" s="80"/>
      <c r="DC19" s="79"/>
      <c r="DI19" s="306"/>
      <c r="DJ19" s="80"/>
      <c r="DL19" s="79"/>
      <c r="DU19" s="80"/>
      <c r="DW19" s="97" t="str">
        <f t="shared" si="1"/>
        <v>&amp;=Master.OPPORTUNITY_EFFECTIVEDATESFROM</v>
      </c>
      <c r="DX19" s="81" t="str">
        <f t="shared" si="2"/>
        <v>&amp;=Master.OPPORTUNITY_EFFECTIVEDATESENDFINAL</v>
      </c>
      <c r="DY19" s="21" t="e">
        <f t="shared" si="3"/>
        <v>#VALUE!</v>
      </c>
      <c r="DZ19" s="81">
        <f t="shared" si="4"/>
        <v>0</v>
      </c>
      <c r="EA19" s="21"/>
      <c r="EB19" s="255" t="str">
        <f t="shared" si="5"/>
        <v/>
      </c>
    </row>
    <row r="20" spans="5:132" ht="15.75" customHeight="1" thickBot="1" x14ac:dyDescent="0.25">
      <c r="E20" s="77"/>
      <c r="F20" s="21"/>
      <c r="G20" s="21"/>
      <c r="H20" s="21"/>
      <c r="I20" s="21"/>
      <c r="J20" s="78"/>
      <c r="L20" s="77"/>
      <c r="M20" s="21"/>
      <c r="N20" s="21"/>
      <c r="O20" s="21"/>
      <c r="P20" s="21"/>
      <c r="Q20" s="78"/>
      <c r="S20" s="79"/>
      <c r="X20" s="80"/>
      <c r="Z20" s="77"/>
      <c r="AA20" s="21"/>
      <c r="AB20" s="21"/>
      <c r="AC20" s="21"/>
      <c r="AD20" s="21"/>
      <c r="AE20" s="78"/>
      <c r="AG20" s="97" t="str">
        <f t="shared" si="6"/>
        <v>&amp;=Master.OPPORTUNITY_EFFECTIVEDATESFROM</v>
      </c>
      <c r="AH20" s="81" t="str">
        <f t="shared" si="7"/>
        <v>&amp;=Master.OPPORTUNITY_EFFECTIVEDATESENDFINAL</v>
      </c>
      <c r="AI20" s="21" t="e">
        <f>IF((+'SF DATA'!C51="")+(+'SF DATA'!C51=0),"",+'SF DATA'!C51)</f>
        <v>#VALUE!</v>
      </c>
      <c r="AJ20" s="81">
        <f>IF('SF DATA'!B51="","",'SF DATA'!B51)</f>
        <v>0</v>
      </c>
      <c r="AK20" s="21"/>
      <c r="AL20" s="255" t="str">
        <f>IFERROR(((IF('SF DATA'!D51="","",'SF DATA'!D51))*100),"")</f>
        <v/>
      </c>
      <c r="AN20" s="77"/>
      <c r="AO20" s="21" t="str">
        <f>IF(AP20="","",IF(AO19&lt;&gt;"",AO19+10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)</f>
        <v/>
      </c>
      <c r="AP20" s="21" t="str">
        <f>IF(AR20="","",'SF DATA'!C93)</f>
        <v/>
      </c>
      <c r="AQ20" s="21" t="str">
        <f>IF(AR20&lt;&gt;"",'SF DATA'!G93,"")</f>
        <v/>
      </c>
      <c r="AR20" s="231" t="str">
        <f>IF(('SF DATA'!H93="")+('SF DATA'!H93=0),"",'SF DATA'!H93)</f>
        <v/>
      </c>
      <c r="AS20" s="232"/>
      <c r="AT20" s="78" t="str">
        <f>IFERROR(IF(AR20&lt;&gt;"",'SF DATA'!E93,""),"")</f>
        <v/>
      </c>
      <c r="AV20" s="105"/>
      <c r="AZ20" s="106"/>
      <c r="BB20" s="399"/>
      <c r="BC20" s="400"/>
      <c r="BD20" s="400"/>
      <c r="BE20" s="401"/>
      <c r="BG20" s="262" t="s">
        <v>18</v>
      </c>
      <c r="BH20" s="127" t="str">
        <f>IF(+'SF DATA'!$J$11="","",+'SF DATA'!$J$11)</f>
        <v>&amp;=Master.OPPORTUNITY_RETROACTIVE_DATE</v>
      </c>
      <c r="BI20" s="127"/>
      <c r="BJ20" s="21"/>
      <c r="BK20" s="21"/>
      <c r="BL20" s="21"/>
      <c r="BM20" s="78"/>
      <c r="BO20" s="99"/>
      <c r="BP20" s="111"/>
      <c r="BQ20" s="111"/>
      <c r="BR20" s="133"/>
      <c r="BT20" s="101" t="s">
        <v>18</v>
      </c>
      <c r="BU20" s="127" t="str">
        <f>IF(+'SF DATA'!$J$11="","",+'SF DATA'!$J$11)</f>
        <v>&amp;=Master.OPPORTUNITY_RETROACTIVE_DATE</v>
      </c>
      <c r="BV20" s="127"/>
      <c r="BW20" s="21"/>
      <c r="BX20" s="21"/>
      <c r="BY20" s="21"/>
      <c r="BZ20" s="100"/>
      <c r="CB20" s="79"/>
      <c r="CD20" s="80"/>
      <c r="CF20" s="79"/>
      <c r="CH20" s="80"/>
      <c r="CJ20" s="77"/>
      <c r="CK20" s="76" t="str">
        <f>IFERROR(VLOOKUP(CL20,DataBase!$AG$3:$AI$40,3,0),"")</f>
        <v/>
      </c>
      <c r="CL20" s="76" t="str">
        <f>IF('SF DATA'!B122="","",'SF DATA'!B122)</f>
        <v/>
      </c>
      <c r="CM20" s="78"/>
      <c r="CO20" s="79"/>
      <c r="CP20" s="19" t="str">
        <f>IF((FAC!A10="")+(FAC!A10=0),"",FAC!A10)</f>
        <v/>
      </c>
      <c r="CQ20" s="19" t="str">
        <f>IF((FAC!C10="")+(FAC!C10=0),"",FAC!C10)</f>
        <v/>
      </c>
      <c r="CR20" s="19" t="str">
        <f>IF((FAC!D10="")+(FAC!D10=0),"",FAC!D10)</f>
        <v/>
      </c>
      <c r="CS20" s="19" t="str">
        <f>IF((FAC!E10="")+(FAC!E10=0),"",FAC!E10)</f>
        <v/>
      </c>
      <c r="CT20" s="19" t="str">
        <f>IF((FAC!F10="")+(FAC!F10=0),"",FAC!F10)</f>
        <v/>
      </c>
      <c r="CU20" s="19" t="str">
        <f>IF((FAC!G10="")+(FAC!G10=0),"",FAC!G10)</f>
        <v/>
      </c>
      <c r="CV20" s="261" t="str">
        <f>IF((FAC!I10="")+(FAC!I10=0),"",FAC!I10*100)</f>
        <v/>
      </c>
      <c r="CW20" s="80"/>
      <c r="CY20" s="79"/>
      <c r="DA20" s="80"/>
      <c r="DC20" s="79"/>
      <c r="DI20" s="305"/>
      <c r="DJ20" s="80"/>
      <c r="DL20" s="79"/>
      <c r="DU20" s="80"/>
      <c r="DW20" s="97" t="str">
        <f t="shared" si="1"/>
        <v>&amp;=Master.OPPORTUNITY_EFFECTIVEDATESFROM</v>
      </c>
      <c r="DX20" s="81" t="str">
        <f t="shared" si="2"/>
        <v>&amp;=Master.OPPORTUNITY_EFFECTIVEDATESENDFINAL</v>
      </c>
      <c r="DY20" s="21" t="e">
        <f t="shared" si="3"/>
        <v>#VALUE!</v>
      </c>
      <c r="DZ20" s="81">
        <f t="shared" si="4"/>
        <v>0</v>
      </c>
      <c r="EA20" s="21"/>
      <c r="EB20" s="255" t="str">
        <f t="shared" si="5"/>
        <v/>
      </c>
    </row>
    <row r="21" spans="5:132" ht="15.75" customHeight="1" thickBot="1" x14ac:dyDescent="0.25">
      <c r="E21" s="84"/>
      <c r="F21" s="85"/>
      <c r="G21" s="85"/>
      <c r="H21" s="85"/>
      <c r="I21" s="85"/>
      <c r="J21" s="86"/>
      <c r="L21" s="84"/>
      <c r="M21" s="85"/>
      <c r="N21" s="85"/>
      <c r="O21" s="85"/>
      <c r="P21" s="85"/>
      <c r="Q21" s="86"/>
      <c r="S21" s="84"/>
      <c r="T21" s="85"/>
      <c r="U21" s="85"/>
      <c r="V21" s="85"/>
      <c r="W21" s="85"/>
      <c r="X21" s="86"/>
      <c r="Z21" s="84"/>
      <c r="AA21" s="85"/>
      <c r="AB21" s="85"/>
      <c r="AC21" s="85"/>
      <c r="AD21" s="85"/>
      <c r="AE21" s="86"/>
      <c r="AG21" s="97" t="str">
        <f t="shared" si="6"/>
        <v>&amp;=Master.OPPORTUNITY_EFFECTIVEDATESFROM</v>
      </c>
      <c r="AH21" s="81" t="str">
        <f t="shared" si="7"/>
        <v>&amp;=Master.OPPORTUNITY_EFFECTIVEDATESENDFINAL</v>
      </c>
      <c r="AI21" s="21" t="e">
        <f>IF((+'SF DATA'!C52="")+(+'SF DATA'!C52=0),"",+'SF DATA'!C52)</f>
        <v>#VALUE!</v>
      </c>
      <c r="AJ21" s="81">
        <f>IF('SF DATA'!B52="","",'SF DATA'!B52)</f>
        <v>0</v>
      </c>
      <c r="AK21" s="21"/>
      <c r="AL21" s="255" t="str">
        <f>IFERROR(((IF('SF DATA'!D52="","",'SF DATA'!D52))*100),"")</f>
        <v/>
      </c>
      <c r="AN21" s="84"/>
      <c r="AO21" s="85" t="str">
        <f>IF(AP21="","",IF(AO20&lt;&gt;"",AO20+10,IF(AO19&lt;&gt;"",AO19+10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))</f>
        <v/>
      </c>
      <c r="AP21" s="85" t="str">
        <f>IF(AR21="","",'SF DATA'!C94)</f>
        <v/>
      </c>
      <c r="AQ21" s="85" t="str">
        <f>IF(AR21&lt;&gt;"",'SF DATA'!G94,"")</f>
        <v/>
      </c>
      <c r="AR21" s="233" t="str">
        <f>IF(('SF DATA'!H94="")+('SF DATA'!H94=0),"",'SF DATA'!H94)</f>
        <v/>
      </c>
      <c r="AS21" s="234"/>
      <c r="AT21" s="86" t="str">
        <f>IFERROR(IF(AR21&lt;&gt;"",'SF DATA'!E94,""),"")</f>
        <v/>
      </c>
      <c r="AV21" s="108"/>
      <c r="AW21" s="109"/>
      <c r="AX21" s="109"/>
      <c r="AY21" s="109"/>
      <c r="AZ21" s="110"/>
      <c r="BB21" s="405"/>
      <c r="BC21" s="406"/>
      <c r="BD21" s="406"/>
      <c r="BE21" s="407"/>
      <c r="BG21" s="84"/>
      <c r="BH21" s="85"/>
      <c r="BI21" s="85"/>
      <c r="BJ21" s="85"/>
      <c r="BK21" s="85"/>
      <c r="BL21" s="85"/>
      <c r="BM21" s="86"/>
      <c r="BO21" s="417" t="s">
        <v>861</v>
      </c>
      <c r="BP21" s="418"/>
      <c r="BQ21" s="418"/>
      <c r="BR21" s="419"/>
      <c r="BT21" s="102"/>
      <c r="BU21" s="103"/>
      <c r="BV21" s="103"/>
      <c r="BW21" s="103"/>
      <c r="BX21" s="103"/>
      <c r="BY21" s="103"/>
      <c r="BZ21" s="104"/>
      <c r="CB21" s="88"/>
      <c r="CC21" s="89"/>
      <c r="CD21" s="90"/>
      <c r="CF21" s="88"/>
      <c r="CG21" s="89"/>
      <c r="CH21" s="90"/>
      <c r="CJ21" s="84"/>
      <c r="CK21" s="89" t="str">
        <f>IFERROR(VLOOKUP(CL21,DataBase!$AG$3:$AI$40,3,0),"")</f>
        <v/>
      </c>
      <c r="CL21" s="89" t="str">
        <f>IF('SF DATA'!B123="","",'SF DATA'!B123)</f>
        <v/>
      </c>
      <c r="CM21" s="86"/>
      <c r="CO21" s="79"/>
      <c r="CP21" s="19" t="str">
        <f>IF((FAC!A11="")+(FAC!A11=0),"",FAC!A11)</f>
        <v/>
      </c>
      <c r="CQ21" s="19" t="str">
        <f>IF((FAC!C11="")+(FAC!C11=0),"",FAC!C11)</f>
        <v/>
      </c>
      <c r="CR21" s="19" t="str">
        <f>IF((FAC!D11="")+(FAC!D11=0),"",FAC!D11)</f>
        <v/>
      </c>
      <c r="CS21" s="19" t="str">
        <f>IF((FAC!E11="")+(FAC!E11=0),"",FAC!E11)</f>
        <v/>
      </c>
      <c r="CT21" s="19" t="str">
        <f>IF((FAC!F11="")+(FAC!F11=0),"",FAC!F11)</f>
        <v/>
      </c>
      <c r="CU21" s="19" t="str">
        <f>IF((FAC!G11="")+(FAC!G11=0),"",FAC!G11)</f>
        <v/>
      </c>
      <c r="CV21" s="261" t="str">
        <f>IF((FAC!I11="")+(FAC!I11=0),"",FAC!I11*100)</f>
        <v/>
      </c>
      <c r="CW21" s="80"/>
      <c r="CY21" s="88"/>
      <c r="CZ21" s="89"/>
      <c r="DA21" s="90"/>
      <c r="DC21" s="88"/>
      <c r="DD21" s="89"/>
      <c r="DE21" s="89"/>
      <c r="DF21" s="89"/>
      <c r="DG21" s="89"/>
      <c r="DH21" s="203" t="s">
        <v>1484</v>
      </c>
      <c r="DI21" s="307" t="e">
        <f>SUM(DI3:DI20)</f>
        <v>#VALUE!</v>
      </c>
      <c r="DJ21" s="90"/>
      <c r="DL21" s="88"/>
      <c r="DM21" s="89"/>
      <c r="DN21" s="89"/>
      <c r="DO21" s="89"/>
      <c r="DP21" s="89"/>
      <c r="DQ21" s="89"/>
      <c r="DR21" s="89"/>
      <c r="DS21" s="89"/>
      <c r="DT21" s="89"/>
      <c r="DU21" s="90"/>
      <c r="DW21" s="97" t="str">
        <f t="shared" si="1"/>
        <v>&amp;=Master.OPPORTUNITY_EFFECTIVEDATESFROM</v>
      </c>
      <c r="DX21" s="81" t="str">
        <f t="shared" si="2"/>
        <v>&amp;=Master.OPPORTUNITY_EFFECTIVEDATESENDFINAL</v>
      </c>
      <c r="DY21" s="21" t="e">
        <f t="shared" si="3"/>
        <v>#VALUE!</v>
      </c>
      <c r="DZ21" s="81">
        <f t="shared" si="4"/>
        <v>0</v>
      </c>
      <c r="EA21" s="21"/>
      <c r="EB21" s="255" t="str">
        <f t="shared" si="5"/>
        <v/>
      </c>
    </row>
    <row r="22" spans="5:132" ht="15.75" customHeight="1" thickBot="1" x14ac:dyDescent="0.25">
      <c r="AG22" s="97" t="str">
        <f t="shared" si="6"/>
        <v>&amp;=Master.OPPORTUNITY_EFFECTIVEDATESFROM</v>
      </c>
      <c r="AH22" s="81" t="str">
        <f t="shared" si="7"/>
        <v>&amp;=Master.OPPORTUNITY_EFFECTIVEDATESENDFINAL</v>
      </c>
      <c r="AI22" s="21" t="e">
        <f>IF((+'SF DATA'!C53="")+(+'SF DATA'!C53=0),"",+'SF DATA'!C53)</f>
        <v>#VALUE!</v>
      </c>
      <c r="AJ22" s="81">
        <f>IF('SF DATA'!B53="","",'SF DATA'!B53)</f>
        <v>0</v>
      </c>
      <c r="AK22" s="21"/>
      <c r="AL22" s="255" t="str">
        <f>IFERROR(((IF('SF DATA'!D53="","",'SF DATA'!D53))*100),"")</f>
        <v/>
      </c>
      <c r="AN22" s="21"/>
      <c r="AO22" s="21"/>
      <c r="AP22" s="21"/>
      <c r="AQ22" s="21"/>
      <c r="AR22" s="21"/>
      <c r="AS22" s="21"/>
      <c r="AT22" s="21"/>
      <c r="BB22" s="95"/>
      <c r="BC22" s="95"/>
      <c r="BD22" s="95"/>
      <c r="BE22" s="95"/>
      <c r="BG22" s="408" t="s">
        <v>119</v>
      </c>
      <c r="BH22" s="409"/>
      <c r="BI22" s="409"/>
      <c r="BJ22" s="409"/>
      <c r="BK22" s="409"/>
      <c r="BL22" s="409"/>
      <c r="BM22" s="410"/>
      <c r="BO22" s="396" t="s">
        <v>209</v>
      </c>
      <c r="BP22" s="397"/>
      <c r="BQ22" s="397"/>
      <c r="BR22" s="398"/>
      <c r="BT22" s="408" t="s">
        <v>119</v>
      </c>
      <c r="BU22" s="409"/>
      <c r="BV22" s="409"/>
      <c r="BW22" s="409"/>
      <c r="BX22" s="409"/>
      <c r="BY22" s="409"/>
      <c r="BZ22" s="410"/>
      <c r="CO22" s="79"/>
      <c r="CP22" s="19" t="str">
        <f>IF((FAC!A12="")+(FAC!A12=0),"",FAC!A12)</f>
        <v/>
      </c>
      <c r="CQ22" s="19" t="str">
        <f>IF((FAC!C12="")+(FAC!C12=0),"",FAC!C12)</f>
        <v/>
      </c>
      <c r="CR22" s="19" t="str">
        <f>IF((FAC!D12="")+(FAC!D12=0),"",FAC!D12)</f>
        <v/>
      </c>
      <c r="CS22" s="19" t="str">
        <f>IF((FAC!E12="")+(FAC!E12=0),"",FAC!E12)</f>
        <v/>
      </c>
      <c r="CT22" s="19" t="str">
        <f>IF((FAC!F12="")+(FAC!F12=0),"",FAC!F12)</f>
        <v/>
      </c>
      <c r="CU22" s="19" t="str">
        <f>IF((FAC!G12="")+(FAC!G12=0),"",FAC!G12)</f>
        <v/>
      </c>
      <c r="CV22" s="261" t="str">
        <f>IF((FAC!I12="")+(FAC!I12=0),"",FAC!I12*100)</f>
        <v/>
      </c>
      <c r="CW22" s="80"/>
      <c r="DW22" s="97" t="str">
        <f t="shared" si="1"/>
        <v>&amp;=Master.OPPORTUNITY_EFFECTIVEDATESFROM</v>
      </c>
      <c r="DX22" s="81" t="str">
        <f t="shared" si="2"/>
        <v>&amp;=Master.OPPORTUNITY_EFFECTIVEDATESENDFINAL</v>
      </c>
      <c r="DY22" s="21" t="e">
        <f t="shared" si="3"/>
        <v>#VALUE!</v>
      </c>
      <c r="DZ22" s="81">
        <f t="shared" si="4"/>
        <v>0</v>
      </c>
      <c r="EA22" s="21"/>
      <c r="EB22" s="255" t="str">
        <f t="shared" si="5"/>
        <v/>
      </c>
    </row>
    <row r="23" spans="5:132" ht="15.75" customHeight="1" x14ac:dyDescent="0.2">
      <c r="AG23" s="97" t="str">
        <f t="shared" si="6"/>
        <v>&amp;=Master.OPPORTUNITY_EFFECTIVEDATESFROM</v>
      </c>
      <c r="AH23" s="81" t="str">
        <f t="shared" si="7"/>
        <v>&amp;=Master.OPPORTUNITY_EFFECTIVEDATESENDFINAL</v>
      </c>
      <c r="AI23" s="21" t="e">
        <f>IF((+'SF DATA'!C54="")+(+'SF DATA'!C54=0),"",+'SF DATA'!C54)</f>
        <v>#VALUE!</v>
      </c>
      <c r="AJ23" s="81">
        <f>IF('SF DATA'!B54="","",'SF DATA'!B54)</f>
        <v>0</v>
      </c>
      <c r="AK23" s="21"/>
      <c r="AL23" s="255" t="str">
        <f>IFERROR(((IF('SF DATA'!D54="","",'SF DATA'!D54))*100),"")</f>
        <v/>
      </c>
      <c r="BB23" s="95"/>
      <c r="BC23" s="95"/>
      <c r="BD23" s="95"/>
      <c r="BE23" s="95"/>
      <c r="BG23" s="411" t="s">
        <v>905</v>
      </c>
      <c r="BH23" s="412"/>
      <c r="BI23" s="412"/>
      <c r="BJ23" s="412"/>
      <c r="BK23" s="412"/>
      <c r="BL23" s="412"/>
      <c r="BM23" s="413"/>
      <c r="BO23" s="399"/>
      <c r="BP23" s="400"/>
      <c r="BQ23" s="400"/>
      <c r="BR23" s="401"/>
      <c r="BT23" s="411" t="s">
        <v>905</v>
      </c>
      <c r="BU23" s="412"/>
      <c r="BV23" s="412"/>
      <c r="BW23" s="412"/>
      <c r="BX23" s="412"/>
      <c r="BY23" s="412"/>
      <c r="BZ23" s="413"/>
      <c r="CO23" s="79"/>
      <c r="CP23" s="19" t="str">
        <f>IF((FAC!A13="")+(FAC!A13=0),"",FAC!A13)</f>
        <v/>
      </c>
      <c r="CQ23" s="19" t="str">
        <f>IF((FAC!C13="")+(FAC!C13=0),"",FAC!C13)</f>
        <v/>
      </c>
      <c r="CR23" s="19" t="str">
        <f>IF((FAC!D13="")+(FAC!D13=0),"",FAC!D13)</f>
        <v/>
      </c>
      <c r="CS23" s="19" t="str">
        <f>IF((FAC!E13="")+(FAC!E13=0),"",FAC!E13)</f>
        <v/>
      </c>
      <c r="CT23" s="19" t="str">
        <f>IF((FAC!F13="")+(FAC!F13=0),"",FAC!F13)</f>
        <v/>
      </c>
      <c r="CU23" s="19" t="str">
        <f>IF((FAC!G13="")+(FAC!G13=0),"",FAC!G13)</f>
        <v/>
      </c>
      <c r="CV23" s="261" t="str">
        <f>IF((FAC!I13="")+(FAC!I13=0),"",FAC!I13*100)</f>
        <v/>
      </c>
      <c r="CW23" s="80"/>
      <c r="DW23" s="97" t="str">
        <f t="shared" si="1"/>
        <v>&amp;=Master.OPPORTUNITY_EFFECTIVEDATESFROM</v>
      </c>
      <c r="DX23" s="81" t="str">
        <f t="shared" si="2"/>
        <v>&amp;=Master.OPPORTUNITY_EFFECTIVEDATESENDFINAL</v>
      </c>
      <c r="DY23" s="21" t="e">
        <f t="shared" si="3"/>
        <v>#VALUE!</v>
      </c>
      <c r="DZ23" s="81">
        <f t="shared" si="4"/>
        <v>0</v>
      </c>
      <c r="EA23" s="21"/>
      <c r="EB23" s="255" t="str">
        <f t="shared" si="5"/>
        <v/>
      </c>
    </row>
    <row r="24" spans="5:132" ht="15.75" customHeight="1" x14ac:dyDescent="0.2">
      <c r="AG24" s="97" t="str">
        <f t="shared" si="6"/>
        <v>&amp;=Master.OPPORTUNITY_EFFECTIVEDATESFROM</v>
      </c>
      <c r="AH24" s="81" t="str">
        <f t="shared" si="7"/>
        <v>&amp;=Master.OPPORTUNITY_EFFECTIVEDATESENDFINAL</v>
      </c>
      <c r="AI24" s="21" t="e">
        <f>IF((+'SF DATA'!C55="")+(+'SF DATA'!C55=0),"",+'SF DATA'!C55)</f>
        <v>#VALUE!</v>
      </c>
      <c r="AJ24" s="81">
        <f>IF('SF DATA'!B55="","",'SF DATA'!B55)</f>
        <v>0</v>
      </c>
      <c r="AK24" s="21"/>
      <c r="AL24" s="255" t="str">
        <f>IFERROR(((IF('SF DATA'!D55="","",'SF DATA'!D55))*100),"")</f>
        <v/>
      </c>
      <c r="BB24" s="95"/>
      <c r="BC24" s="95"/>
      <c r="BD24" s="95"/>
      <c r="BE24" s="95"/>
      <c r="BG24" s="130"/>
      <c r="BM24" s="106"/>
      <c r="BO24" s="402"/>
      <c r="BP24" s="403"/>
      <c r="BQ24" s="403"/>
      <c r="BR24" s="404"/>
      <c r="BT24" s="130"/>
      <c r="BZ24" s="106"/>
      <c r="CO24" s="79"/>
      <c r="CP24" s="19" t="str">
        <f>IF((FAC!A14="")+(FAC!A14=0),"",FAC!A14)</f>
        <v/>
      </c>
      <c r="CQ24" s="19" t="str">
        <f>IF((FAC!C14="")+(FAC!C14=0),"",FAC!C14)</f>
        <v/>
      </c>
      <c r="CR24" s="19" t="str">
        <f>IF((FAC!D14="")+(FAC!D14=0),"",FAC!D14)</f>
        <v/>
      </c>
      <c r="CS24" s="19" t="str">
        <f>IF((FAC!E14="")+(FAC!E14=0),"",FAC!E14)</f>
        <v/>
      </c>
      <c r="CT24" s="19" t="str">
        <f>IF((FAC!F14="")+(FAC!F14=0),"",FAC!F14)</f>
        <v/>
      </c>
      <c r="CU24" s="19" t="str">
        <f>IF((FAC!G14="")+(FAC!G14=0),"",FAC!G14)</f>
        <v/>
      </c>
      <c r="CV24" s="261" t="str">
        <f>IF((FAC!I14="")+(FAC!I14=0),"",FAC!I14*100)</f>
        <v/>
      </c>
      <c r="CW24" s="80"/>
      <c r="DW24" s="97" t="str">
        <f t="shared" si="1"/>
        <v>&amp;=Master.OPPORTUNITY_EFFECTIVEDATESFROM</v>
      </c>
      <c r="DX24" s="81" t="str">
        <f t="shared" si="2"/>
        <v>&amp;=Master.OPPORTUNITY_EFFECTIVEDATESENDFINAL</v>
      </c>
      <c r="DY24" s="21" t="e">
        <f t="shared" si="3"/>
        <v>#VALUE!</v>
      </c>
      <c r="DZ24" s="81">
        <f t="shared" si="4"/>
        <v>0</v>
      </c>
      <c r="EA24" s="21"/>
      <c r="EB24" s="255" t="str">
        <f t="shared" si="5"/>
        <v/>
      </c>
    </row>
    <row r="25" spans="5:132" ht="15.75" customHeight="1" x14ac:dyDescent="0.2">
      <c r="AG25" s="97" t="str">
        <f t="shared" si="6"/>
        <v>&amp;=Master.OPPORTUNITY_EFFECTIVEDATESFROM</v>
      </c>
      <c r="AH25" s="81" t="str">
        <f t="shared" si="7"/>
        <v>&amp;=Master.OPPORTUNITY_EFFECTIVEDATESENDFINAL</v>
      </c>
      <c r="AI25" s="21" t="e">
        <f>IF((+'SF DATA'!C56="")+(+'SF DATA'!C56=0),"",+'SF DATA'!C56)</f>
        <v>#VALUE!</v>
      </c>
      <c r="AJ25" s="81">
        <f>IF('SF DATA'!B56="","",'SF DATA'!B56)</f>
        <v>0</v>
      </c>
      <c r="AK25" s="21"/>
      <c r="AL25" s="255" t="str">
        <f>IFERROR(((IF('SF DATA'!D56="","",'SF DATA'!D56))*100),"")</f>
        <v/>
      </c>
      <c r="BB25" s="95"/>
      <c r="BC25" s="95"/>
      <c r="BD25" s="95"/>
      <c r="BE25" s="95"/>
      <c r="BG25" s="101" t="s">
        <v>522</v>
      </c>
      <c r="BH25" s="113" t="str">
        <f>IF('SF DATA'!$M$18="","",'SF DATA'!$M$18)</f>
        <v/>
      </c>
      <c r="BI25" s="114"/>
      <c r="BJ25" s="111"/>
      <c r="BK25" s="126" t="s">
        <v>523</v>
      </c>
      <c r="BL25" s="111" t="str">
        <f>IFERROR(VLOOKUP(BM25,DataBase!$AX$4:$AY$27,2,0),"")</f>
        <v/>
      </c>
      <c r="BM25" s="123" t="str">
        <f>IF('SF DATA'!$T$18="","",'SF DATA'!$T$18)</f>
        <v/>
      </c>
      <c r="BO25" s="396" t="s">
        <v>834</v>
      </c>
      <c r="BP25" s="397"/>
      <c r="BQ25" s="397"/>
      <c r="BR25" s="398"/>
      <c r="BT25" s="101" t="s">
        <v>522</v>
      </c>
      <c r="BU25" s="113" t="str">
        <f>IF('SF DATA'!$M$19="","",'SF DATA'!$M$19)</f>
        <v/>
      </c>
      <c r="BV25" s="114"/>
      <c r="BW25" s="111"/>
      <c r="BX25" s="126" t="s">
        <v>523</v>
      </c>
      <c r="BY25" s="111" t="str">
        <f>IFERROR(VLOOKUP(BZ25,DataBase!$AX$4:$AY$27,2,0),"")</f>
        <v/>
      </c>
      <c r="BZ25" s="123" t="str">
        <f>IF('SF DATA'!$T$19="","",'SF DATA'!$T$19)</f>
        <v/>
      </c>
      <c r="CO25" s="79"/>
      <c r="CP25" s="19" t="str">
        <f>IF((FAC!A15="")+(FAC!A15=0),"",FAC!A15)</f>
        <v/>
      </c>
      <c r="CQ25" s="19" t="str">
        <f>IF((FAC!C15="")+(FAC!C15=0),"",FAC!C15)</f>
        <v/>
      </c>
      <c r="CR25" s="19" t="str">
        <f>IF((FAC!D15="")+(FAC!D15=0),"",FAC!D15)</f>
        <v/>
      </c>
      <c r="CS25" s="19" t="str">
        <f>IF((FAC!E15="")+(FAC!E15=0),"",FAC!E15)</f>
        <v/>
      </c>
      <c r="CT25" s="19" t="str">
        <f>IF((FAC!F15="")+(FAC!F15=0),"",FAC!F15)</f>
        <v/>
      </c>
      <c r="CU25" s="19" t="str">
        <f>IF((FAC!G15="")+(FAC!G15=0),"",FAC!G15)</f>
        <v/>
      </c>
      <c r="CV25" s="261" t="str">
        <f>IF((FAC!I15="")+(FAC!I15=0),"",FAC!I15*100)</f>
        <v/>
      </c>
      <c r="CW25" s="80"/>
      <c r="DW25" s="97" t="str">
        <f t="shared" si="1"/>
        <v>&amp;=Master.OPPORTUNITY_EFFECTIVEDATESFROM</v>
      </c>
      <c r="DX25" s="81" t="str">
        <f t="shared" si="2"/>
        <v>&amp;=Master.OPPORTUNITY_EFFECTIVEDATESENDFINAL</v>
      </c>
      <c r="DY25" s="21" t="e">
        <f t="shared" si="3"/>
        <v>#VALUE!</v>
      </c>
      <c r="DZ25" s="81">
        <f t="shared" si="4"/>
        <v>0</v>
      </c>
      <c r="EA25" s="21"/>
      <c r="EB25" s="255" t="str">
        <f t="shared" si="5"/>
        <v/>
      </c>
    </row>
    <row r="26" spans="5:132" ht="15.75" customHeight="1" x14ac:dyDescent="0.2">
      <c r="AG26" s="97" t="str">
        <f t="shared" si="6"/>
        <v>&amp;=Master.OPPORTUNITY_EFFECTIVEDATESFROM</v>
      </c>
      <c r="AH26" s="81" t="str">
        <f t="shared" si="7"/>
        <v>&amp;=Master.OPPORTUNITY_EFFECTIVEDATESENDFINAL</v>
      </c>
      <c r="AI26" s="21" t="e">
        <f>IF((+'SF DATA'!C57="")+(+'SF DATA'!C57=0),"",+'SF DATA'!C57)</f>
        <v>#VALUE!</v>
      </c>
      <c r="AJ26" s="81">
        <f>IF('SF DATA'!B57="","",'SF DATA'!B57)</f>
        <v>0</v>
      </c>
      <c r="AK26" s="21"/>
      <c r="AL26" s="255" t="str">
        <f>IFERROR(((IF('SF DATA'!D57="","",'SF DATA'!D57))*100),"")</f>
        <v/>
      </c>
      <c r="BB26" s="95"/>
      <c r="BC26" s="95"/>
      <c r="BD26" s="95"/>
      <c r="BE26" s="95"/>
      <c r="BG26" s="101" t="s">
        <v>524</v>
      </c>
      <c r="BH26" s="113" t="str">
        <f>IF('SF DATA'!$N$18="","",'SF DATA'!$N$18)</f>
        <v/>
      </c>
      <c r="BJ26" s="111"/>
      <c r="BK26" s="21"/>
      <c r="BL26" s="21"/>
      <c r="BM26" s="123"/>
      <c r="BO26" s="399"/>
      <c r="BP26" s="400"/>
      <c r="BQ26" s="400"/>
      <c r="BR26" s="401"/>
      <c r="BT26" s="101" t="s">
        <v>524</v>
      </c>
      <c r="BU26" s="113" t="str">
        <f>IF('SF DATA'!$N$19="","",'SF DATA'!$N$19)</f>
        <v/>
      </c>
      <c r="BW26" s="111"/>
      <c r="BX26" s="21"/>
      <c r="BY26" s="21"/>
      <c r="BZ26" s="123"/>
      <c r="CO26" s="79"/>
      <c r="CP26" s="19" t="str">
        <f>IF((FAC!A16="")+(FAC!A16=0),"",FAC!A16)</f>
        <v/>
      </c>
      <c r="CQ26" s="19" t="str">
        <f>IF((FAC!C16="")+(FAC!C16=0),"",FAC!C16)</f>
        <v/>
      </c>
      <c r="CR26" s="19" t="str">
        <f>IF((FAC!D16="")+(FAC!D16=0),"",FAC!D16)</f>
        <v/>
      </c>
      <c r="CS26" s="19" t="str">
        <f>IF((FAC!E16="")+(FAC!E16=0),"",FAC!E16)</f>
        <v/>
      </c>
      <c r="CT26" s="19" t="str">
        <f>IF((FAC!F16="")+(FAC!F16=0),"",FAC!F16)</f>
        <v/>
      </c>
      <c r="CU26" s="19" t="str">
        <f>IF((FAC!G16="")+(FAC!G16=0),"",FAC!G16)</f>
        <v/>
      </c>
      <c r="CV26" s="261" t="str">
        <f>IF((FAC!I16="")+(FAC!I16=0),"",FAC!I16*100)</f>
        <v/>
      </c>
      <c r="CW26" s="80"/>
      <c r="DW26" s="97" t="str">
        <f t="shared" si="1"/>
        <v>&amp;=Master.OPPORTUNITY_EFFECTIVEDATESFROM</v>
      </c>
      <c r="DX26" s="81" t="str">
        <f t="shared" si="2"/>
        <v>&amp;=Master.OPPORTUNITY_EFFECTIVEDATESENDFINAL</v>
      </c>
      <c r="DY26" s="21" t="e">
        <f t="shared" si="3"/>
        <v>#VALUE!</v>
      </c>
      <c r="DZ26" s="81">
        <f t="shared" si="4"/>
        <v>0</v>
      </c>
      <c r="EA26" s="21"/>
      <c r="EB26" s="255" t="str">
        <f t="shared" si="5"/>
        <v/>
      </c>
    </row>
    <row r="27" spans="5:132" ht="15.75" customHeight="1" x14ac:dyDescent="0.2">
      <c r="AG27" s="97" t="str">
        <f t="shared" si="6"/>
        <v>&amp;=Master.OPPORTUNITY_EFFECTIVEDATESFROM</v>
      </c>
      <c r="AH27" s="81" t="str">
        <f t="shared" si="7"/>
        <v>&amp;=Master.OPPORTUNITY_EFFECTIVEDATESENDFINAL</v>
      </c>
      <c r="AI27" s="21" t="e">
        <f>IF((+'SF DATA'!C58="")+(+'SF DATA'!C58=0),"",+'SF DATA'!C58)</f>
        <v>#VALUE!</v>
      </c>
      <c r="AJ27" s="81">
        <f>IF('SF DATA'!B58="","",'SF DATA'!B58)</f>
        <v>0</v>
      </c>
      <c r="AK27" s="21"/>
      <c r="AL27" s="255" t="str">
        <f>IFERROR(((IF('SF DATA'!D58="","",'SF DATA'!D58))*100),"")</f>
        <v/>
      </c>
      <c r="BB27" s="95"/>
      <c r="BC27" s="95"/>
      <c r="BD27" s="95"/>
      <c r="BE27" s="95"/>
      <c r="BG27" s="101" t="s">
        <v>866</v>
      </c>
      <c r="BH27" s="113" t="str">
        <f>IF('SF DATA'!$P$18="","",'SF DATA'!$P$18)</f>
        <v/>
      </c>
      <c r="BJ27" s="111"/>
      <c r="BK27" s="126" t="s">
        <v>525</v>
      </c>
      <c r="BL27" s="115" t="str">
        <f>IF('SF DATA'!$O$18="","",'SF DATA'!$O$18)</f>
        <v/>
      </c>
      <c r="BM27" s="123"/>
      <c r="BO27" s="399"/>
      <c r="BP27" s="400"/>
      <c r="BQ27" s="400"/>
      <c r="BR27" s="401"/>
      <c r="BT27" s="130"/>
      <c r="BU27" s="115"/>
      <c r="BV27" s="116"/>
      <c r="BW27" s="111"/>
      <c r="BX27" s="126" t="s">
        <v>525</v>
      </c>
      <c r="BY27" s="115" t="str">
        <f>IF('SF DATA'!$O$19="","",'SF DATA'!$O$19)</f>
        <v/>
      </c>
      <c r="BZ27" s="123"/>
      <c r="CO27" s="79"/>
      <c r="CP27" s="19" t="str">
        <f>IF((FAC!A17="")+(FAC!A17=0),"",FAC!A17)</f>
        <v/>
      </c>
      <c r="CQ27" s="19" t="str">
        <f>IF((FAC!C17="")+(FAC!C17=0),"",FAC!C17)</f>
        <v/>
      </c>
      <c r="CR27" s="19" t="str">
        <f>IF((FAC!D17="")+(FAC!D17=0),"",FAC!D17)</f>
        <v/>
      </c>
      <c r="CS27" s="19" t="str">
        <f>IF((FAC!E17="")+(FAC!E17=0),"",FAC!E17)</f>
        <v/>
      </c>
      <c r="CT27" s="19" t="str">
        <f>IF((FAC!F17="")+(FAC!F17=0),"",FAC!F17)</f>
        <v/>
      </c>
      <c r="CU27" s="19" t="str">
        <f>IF((FAC!G17="")+(FAC!G17=0),"",FAC!G17)</f>
        <v/>
      </c>
      <c r="CV27" s="261" t="str">
        <f>IF((FAC!I17="")+(FAC!I17=0),"",FAC!I17*100)</f>
        <v/>
      </c>
      <c r="CW27" s="80"/>
      <c r="DW27" s="97" t="str">
        <f t="shared" si="1"/>
        <v>&amp;=Master.OPPORTUNITY_EFFECTIVEDATESFROM</v>
      </c>
      <c r="DX27" s="81" t="str">
        <f t="shared" si="2"/>
        <v>&amp;=Master.OPPORTUNITY_EFFECTIVEDATESENDFINAL</v>
      </c>
      <c r="DY27" s="21" t="e">
        <f t="shared" si="3"/>
        <v>#VALUE!</v>
      </c>
      <c r="DZ27" s="81">
        <f t="shared" si="4"/>
        <v>0</v>
      </c>
      <c r="EA27" s="21"/>
      <c r="EB27" s="255" t="str">
        <f t="shared" si="5"/>
        <v/>
      </c>
    </row>
    <row r="28" spans="5:132" ht="15.75" customHeight="1" thickBot="1" x14ac:dyDescent="0.25">
      <c r="AG28" s="97" t="str">
        <f t="shared" si="6"/>
        <v>&amp;=Master.OPPORTUNITY_EFFECTIVEDATESFROM</v>
      </c>
      <c r="AH28" s="81" t="str">
        <f t="shared" si="7"/>
        <v>&amp;=Master.OPPORTUNITY_EFFECTIVEDATESENDFINAL</v>
      </c>
      <c r="AI28" s="21" t="e">
        <f>IF((+'SF DATA'!C59="")+(+'SF DATA'!C59=0),"",+'SF DATA'!C59)</f>
        <v>#VALUE!</v>
      </c>
      <c r="AJ28" s="81">
        <f>IF('SF DATA'!B59="","",'SF DATA'!B59)</f>
        <v>0</v>
      </c>
      <c r="AK28" s="21"/>
      <c r="AL28" s="255" t="str">
        <f>IFERROR(((IF('SF DATA'!D59="","",'SF DATA'!D59))*100),"")</f>
        <v/>
      </c>
      <c r="AO28" s="235"/>
      <c r="BB28" s="95"/>
      <c r="BC28" s="95"/>
      <c r="BD28" s="95"/>
      <c r="BE28" s="95"/>
      <c r="BG28" s="130"/>
      <c r="BH28" s="115"/>
      <c r="BI28" s="116"/>
      <c r="BJ28" s="111"/>
      <c r="BK28" s="21" t="s">
        <v>867</v>
      </c>
      <c r="BL28" s="115"/>
      <c r="BM28" s="123"/>
      <c r="BO28" s="405"/>
      <c r="BP28" s="406"/>
      <c r="BQ28" s="406"/>
      <c r="BR28" s="407"/>
      <c r="BT28" s="130"/>
      <c r="BU28" s="115"/>
      <c r="BV28" s="116"/>
      <c r="BW28" s="111"/>
      <c r="BX28" s="21" t="s">
        <v>867</v>
      </c>
      <c r="BY28" s="115"/>
      <c r="BZ28" s="123"/>
      <c r="CO28" s="79"/>
      <c r="CP28" s="19" t="str">
        <f>IF((FAC!A18="")+(FAC!A18=0),"",FAC!A18)</f>
        <v/>
      </c>
      <c r="CQ28" s="19" t="str">
        <f>IF((FAC!C18="")+(FAC!C18=0),"",FAC!C18)</f>
        <v/>
      </c>
      <c r="CR28" s="19" t="str">
        <f>IF((FAC!D18="")+(FAC!D18=0),"",FAC!D18)</f>
        <v/>
      </c>
      <c r="CS28" s="19" t="str">
        <f>IF((FAC!E18="")+(FAC!E18=0),"",FAC!E18)</f>
        <v/>
      </c>
      <c r="CT28" s="19" t="str">
        <f>IF((FAC!F18="")+(FAC!F18=0),"",FAC!F18)</f>
        <v/>
      </c>
      <c r="CU28" s="19" t="str">
        <f>IF((FAC!G18="")+(FAC!G18=0),"",FAC!G18)</f>
        <v/>
      </c>
      <c r="CV28" s="261" t="str">
        <f>IF((FAC!I18="")+(FAC!I18=0),"",FAC!I18*100)</f>
        <v/>
      </c>
      <c r="CW28" s="80"/>
      <c r="DW28" s="97" t="str">
        <f t="shared" si="1"/>
        <v>&amp;=Master.OPPORTUNITY_EFFECTIVEDATESFROM</v>
      </c>
      <c r="DX28" s="81" t="str">
        <f t="shared" si="2"/>
        <v>&amp;=Master.OPPORTUNITY_EFFECTIVEDATESENDFINAL</v>
      </c>
      <c r="DY28" s="21" t="e">
        <f t="shared" si="3"/>
        <v>#VALUE!</v>
      </c>
      <c r="DZ28" s="81">
        <f t="shared" si="4"/>
        <v>0</v>
      </c>
      <c r="EA28" s="21"/>
      <c r="EB28" s="255" t="str">
        <f t="shared" si="5"/>
        <v/>
      </c>
    </row>
    <row r="29" spans="5:132" ht="15.75" customHeight="1" x14ac:dyDescent="0.2">
      <c r="AG29" s="97" t="str">
        <f t="shared" si="6"/>
        <v>&amp;=Master.OPPORTUNITY_EFFECTIVEDATESFROM</v>
      </c>
      <c r="AH29" s="81" t="str">
        <f t="shared" si="7"/>
        <v>&amp;=Master.OPPORTUNITY_EFFECTIVEDATESENDFINAL</v>
      </c>
      <c r="AI29" s="21" t="e">
        <f>IF((+'SF DATA'!C60="")+(+'SF DATA'!C60=0),"",+'SF DATA'!C60)</f>
        <v>#VALUE!</v>
      </c>
      <c r="AJ29" s="81">
        <f>IF('SF DATA'!B60="","",'SF DATA'!B60)</f>
        <v>0</v>
      </c>
      <c r="AK29" s="21"/>
      <c r="AL29" s="255" t="str">
        <f>IFERROR(((IF('SF DATA'!D60="","",'SF DATA'!D60))*100),"")</f>
        <v/>
      </c>
      <c r="BB29" s="95"/>
      <c r="BC29" s="95"/>
      <c r="BD29" s="95"/>
      <c r="BE29" s="95"/>
      <c r="BG29" s="101" t="s">
        <v>526</v>
      </c>
      <c r="BH29" s="113" t="str">
        <f>IF('SF DATA'!$Q$18="","",'SF DATA'!$Q$18)</f>
        <v/>
      </c>
      <c r="BI29" s="21"/>
      <c r="BJ29" s="21"/>
      <c r="BK29" s="126" t="s">
        <v>527</v>
      </c>
      <c r="BL29" s="113" t="str">
        <f>IF('SF DATA'!$R$18="","",'SF DATA'!$R$18)</f>
        <v/>
      </c>
      <c r="BM29" s="100"/>
      <c r="BO29" s="95"/>
      <c r="BP29" s="95"/>
      <c r="BQ29" s="95"/>
      <c r="BR29" s="95"/>
      <c r="BT29" s="101" t="s">
        <v>526</v>
      </c>
      <c r="BU29" s="113" t="str">
        <f>IF('SF DATA'!$Q$19="","",'SF DATA'!$Q$19)</f>
        <v/>
      </c>
      <c r="BV29" s="21"/>
      <c r="BW29" s="21"/>
      <c r="BX29" s="126" t="s">
        <v>527</v>
      </c>
      <c r="BY29" s="113" t="str">
        <f>IF('SF DATA'!$R$19="","",'SF DATA'!$R$19)</f>
        <v/>
      </c>
      <c r="BZ29" s="100"/>
      <c r="CO29" s="79"/>
      <c r="CP29" s="19" t="str">
        <f>IF((FAC!A19="")+(FAC!A19=0),"",FAC!A19)</f>
        <v/>
      </c>
      <c r="CQ29" s="19" t="str">
        <f>IF((FAC!C19="")+(FAC!C19=0),"",FAC!C19)</f>
        <v/>
      </c>
      <c r="CR29" s="19" t="str">
        <f>IF((FAC!D19="")+(FAC!D19=0),"",FAC!D19)</f>
        <v/>
      </c>
      <c r="CS29" s="19" t="str">
        <f>IF((FAC!E19="")+(FAC!E19=0),"",FAC!E19)</f>
        <v/>
      </c>
      <c r="CT29" s="19" t="str">
        <f>IF((FAC!F19="")+(FAC!F19=0),"",FAC!F19)</f>
        <v/>
      </c>
      <c r="CU29" s="19" t="str">
        <f>IF((FAC!G19="")+(FAC!G19=0),"",FAC!G19)</f>
        <v/>
      </c>
      <c r="CV29" s="261" t="str">
        <f>IF((FAC!I19="")+(FAC!I19=0),"",FAC!I19*100)</f>
        <v/>
      </c>
      <c r="CW29" s="80"/>
      <c r="DW29" s="97" t="str">
        <f t="shared" si="1"/>
        <v>&amp;=Master.OPPORTUNITY_EFFECTIVEDATESFROM</v>
      </c>
      <c r="DX29" s="81" t="str">
        <f t="shared" si="2"/>
        <v>&amp;=Master.OPPORTUNITY_EFFECTIVEDATESENDFINAL</v>
      </c>
      <c r="DY29" s="21" t="e">
        <f t="shared" si="3"/>
        <v>#VALUE!</v>
      </c>
      <c r="DZ29" s="81">
        <f t="shared" si="4"/>
        <v>0</v>
      </c>
      <c r="EA29" s="21"/>
      <c r="EB29" s="255" t="str">
        <f t="shared" si="5"/>
        <v/>
      </c>
    </row>
    <row r="30" spans="5:132" ht="15.75" customHeight="1" x14ac:dyDescent="0.2">
      <c r="AG30" s="97" t="str">
        <f t="shared" si="6"/>
        <v>&amp;=Master.OPPORTUNITY_EFFECTIVEDATESFROM</v>
      </c>
      <c r="AH30" s="81" t="str">
        <f t="shared" si="7"/>
        <v>&amp;=Master.OPPORTUNITY_EFFECTIVEDATESENDFINAL</v>
      </c>
      <c r="AI30" s="21" t="e">
        <f>IF((+'SF DATA'!C61="")+(+'SF DATA'!C61=0),"",+'SF DATA'!C61)</f>
        <v>#VALUE!</v>
      </c>
      <c r="AJ30" s="81">
        <f>IF('SF DATA'!B61="","",'SF DATA'!B61)</f>
        <v>0</v>
      </c>
      <c r="AK30" s="21"/>
      <c r="AL30" s="255" t="str">
        <f>IFERROR(((IF('SF DATA'!D61="","",'SF DATA'!D61))*100),"")</f>
        <v/>
      </c>
      <c r="BB30" s="95"/>
      <c r="BC30" s="95"/>
      <c r="BD30" s="95"/>
      <c r="BE30" s="95"/>
      <c r="BG30" s="130"/>
      <c r="BH30" s="21"/>
      <c r="BI30" s="21"/>
      <c r="BJ30" s="21"/>
      <c r="BK30" s="21"/>
      <c r="BL30" s="21"/>
      <c r="BM30" s="100"/>
      <c r="BO30" s="95"/>
      <c r="BP30" s="95"/>
      <c r="BQ30" s="95"/>
      <c r="BR30" s="95"/>
      <c r="BT30" s="130"/>
      <c r="BU30" s="21"/>
      <c r="BV30" s="21"/>
      <c r="BW30" s="21"/>
      <c r="BX30" s="21"/>
      <c r="BY30" s="21"/>
      <c r="BZ30" s="100"/>
      <c r="CO30" s="79"/>
      <c r="CP30" s="19" t="str">
        <f>IF((FAC!A20="")+(FAC!A20=0),"",FAC!A20)</f>
        <v/>
      </c>
      <c r="CQ30" s="19" t="str">
        <f>IF((FAC!C20="")+(FAC!C20=0),"",FAC!C20)</f>
        <v/>
      </c>
      <c r="CR30" s="19" t="str">
        <f>IF((FAC!D20="")+(FAC!D20=0),"",FAC!D20)</f>
        <v/>
      </c>
      <c r="CS30" s="19" t="str">
        <f>IF((FAC!E20="")+(FAC!E20=0),"",FAC!E20)</f>
        <v/>
      </c>
      <c r="CT30" s="19" t="str">
        <f>IF((FAC!F20="")+(FAC!F20=0),"",FAC!F20)</f>
        <v/>
      </c>
      <c r="CU30" s="19" t="str">
        <f>IF((FAC!G20="")+(FAC!G20=0),"",FAC!G20)</f>
        <v/>
      </c>
      <c r="CV30" s="261" t="str">
        <f>IF((FAC!I20="")+(FAC!I20=0),"",FAC!I20*100)</f>
        <v/>
      </c>
      <c r="CW30" s="80"/>
      <c r="DW30" s="97" t="str">
        <f t="shared" si="1"/>
        <v>&amp;=Master.OPPORTUNITY_EFFECTIVEDATESFROM</v>
      </c>
      <c r="DX30" s="81" t="str">
        <f t="shared" si="2"/>
        <v>&amp;=Master.OPPORTUNITY_EFFECTIVEDATESENDFINAL</v>
      </c>
      <c r="DY30" s="21" t="e">
        <f t="shared" si="3"/>
        <v>#VALUE!</v>
      </c>
      <c r="DZ30" s="81">
        <f t="shared" si="4"/>
        <v>0</v>
      </c>
      <c r="EA30" s="21"/>
      <c r="EB30" s="255" t="str">
        <f t="shared" si="5"/>
        <v/>
      </c>
    </row>
    <row r="31" spans="5:132" ht="15.75" customHeight="1" x14ac:dyDescent="0.2">
      <c r="AG31" s="97" t="str">
        <f t="shared" si="6"/>
        <v>&amp;=Master.OPPORTUNITY_EFFECTIVEDATESFROM</v>
      </c>
      <c r="AH31" s="81" t="str">
        <f t="shared" si="7"/>
        <v>&amp;=Master.OPPORTUNITY_EFFECTIVEDATESENDFINAL</v>
      </c>
      <c r="AI31" s="21" t="e">
        <f>IF((+'SF DATA'!C62="")+(+'SF DATA'!C62=0),"",+'SF DATA'!C62)</f>
        <v>#VALUE!</v>
      </c>
      <c r="AJ31" s="81">
        <f>IF('SF DATA'!B62="","",'SF DATA'!B62)</f>
        <v>0</v>
      </c>
      <c r="AK31" s="21"/>
      <c r="AL31" s="255" t="str">
        <f>IFERROR(((IF('SF DATA'!D62="","",'SF DATA'!D62))*100),"")</f>
        <v/>
      </c>
      <c r="BB31" s="95"/>
      <c r="BC31" s="95"/>
      <c r="BD31" s="95"/>
      <c r="BE31" s="95"/>
      <c r="BG31" s="101" t="s">
        <v>528</v>
      </c>
      <c r="BH31" s="21" t="str">
        <f>IFERROR(VLOOKUP(BI31,DataBase!$AU$8:$AV$14,2,0),"")</f>
        <v/>
      </c>
      <c r="BI31" s="21" t="str">
        <f>IF('SF DATA'!$S$18="","",'SF DATA'!$S$18)</f>
        <v/>
      </c>
      <c r="BJ31" s="21"/>
      <c r="BK31" s="126" t="s">
        <v>868</v>
      </c>
      <c r="BL31" s="21" t="str">
        <f>IF('SF DATA'!$J$15="","",'SF DATA'!$J$15)</f>
        <v/>
      </c>
      <c r="BM31" s="100" t="str">
        <f>IF('SF DATA'!$K$15="","",'SF DATA'!$K$15)</f>
        <v>&amp;=Master.OPPORTUNITY_AGG_LIMIT_TYPE</v>
      </c>
      <c r="BO31" s="95"/>
      <c r="BP31" s="95"/>
      <c r="BQ31" s="95"/>
      <c r="BR31" s="95"/>
      <c r="BT31" s="130"/>
      <c r="BU31" s="21"/>
      <c r="BV31" s="21"/>
      <c r="BW31" s="21"/>
      <c r="BX31" s="126" t="s">
        <v>868</v>
      </c>
      <c r="BY31" s="21" t="str">
        <f>IF('SF DATA'!$J$15="","",'SF DATA'!$J$15)</f>
        <v/>
      </c>
      <c r="BZ31" s="100" t="str">
        <f>IF('SF DATA'!$K$15="","",'SF DATA'!$K$15)</f>
        <v>&amp;=Master.OPPORTUNITY_AGG_LIMIT_TYPE</v>
      </c>
      <c r="CO31" s="79"/>
      <c r="CP31" s="19" t="str">
        <f>IF((FAC!A21="")+(FAC!A21=0),"",FAC!A21)</f>
        <v/>
      </c>
      <c r="CQ31" s="19" t="str">
        <f>IF((FAC!C21="")+(FAC!C21=0),"",FAC!C21)</f>
        <v/>
      </c>
      <c r="CR31" s="19" t="str">
        <f>IF((FAC!D21="")+(FAC!D21=0),"",FAC!D21)</f>
        <v/>
      </c>
      <c r="CS31" s="19" t="str">
        <f>IF((FAC!E21="")+(FAC!E21=0),"",FAC!E21)</f>
        <v/>
      </c>
      <c r="CT31" s="19" t="str">
        <f>IF((FAC!F21="")+(FAC!F21=0),"",FAC!F21)</f>
        <v/>
      </c>
      <c r="CU31" s="19" t="str">
        <f>IF((FAC!G21="")+(FAC!G21=0),"",FAC!G21)</f>
        <v/>
      </c>
      <c r="CV31" s="261" t="str">
        <f>IF((FAC!I21="")+(FAC!I21=0),"",FAC!I21*100)</f>
        <v/>
      </c>
      <c r="CW31" s="80"/>
      <c r="DW31" s="97" t="str">
        <f t="shared" si="1"/>
        <v>&amp;=Master.OPPORTUNITY_EFFECTIVEDATESFROM</v>
      </c>
      <c r="DX31" s="81" t="str">
        <f t="shared" si="2"/>
        <v>&amp;=Master.OPPORTUNITY_EFFECTIVEDATESENDFINAL</v>
      </c>
      <c r="DY31" s="21" t="e">
        <f t="shared" si="3"/>
        <v>#VALUE!</v>
      </c>
      <c r="DZ31" s="81">
        <f t="shared" si="4"/>
        <v>0</v>
      </c>
      <c r="EA31" s="21"/>
      <c r="EB31" s="255" t="str">
        <f t="shared" si="5"/>
        <v/>
      </c>
    </row>
    <row r="32" spans="5:132" ht="15.75" customHeight="1" thickBot="1" x14ac:dyDescent="0.25">
      <c r="AG32" s="97" t="str">
        <f t="shared" si="6"/>
        <v>&amp;=Master.OPPORTUNITY_EFFECTIVEDATESFROM</v>
      </c>
      <c r="AH32" s="81" t="str">
        <f t="shared" si="7"/>
        <v>&amp;=Master.OPPORTUNITY_EFFECTIVEDATESENDFINAL</v>
      </c>
      <c r="AI32" s="21" t="e">
        <f>IF((+'SF DATA'!C63="")+(+'SF DATA'!C63=0),"",+'SF DATA'!C63)</f>
        <v>#VALUE!</v>
      </c>
      <c r="AJ32" s="81">
        <f>IF('SF DATA'!B63="","",'SF DATA'!B63)</f>
        <v>0</v>
      </c>
      <c r="AK32" s="21"/>
      <c r="AL32" s="255" t="str">
        <f>IFERROR(((IF('SF DATA'!D63="","",'SF DATA'!D63))*100),"")</f>
        <v/>
      </c>
      <c r="BB32" s="95"/>
      <c r="BC32" s="95"/>
      <c r="BD32" s="95"/>
      <c r="BE32" s="95"/>
      <c r="BG32" s="131"/>
      <c r="BH32" s="103"/>
      <c r="BI32" s="103"/>
      <c r="BJ32" s="103"/>
      <c r="BK32" s="103"/>
      <c r="BL32" s="103"/>
      <c r="BM32" s="104"/>
      <c r="BO32" s="95"/>
      <c r="BP32" s="95"/>
      <c r="BQ32" s="95"/>
      <c r="BR32" s="95"/>
      <c r="BT32" s="131"/>
      <c r="BU32" s="103"/>
      <c r="BV32" s="103"/>
      <c r="BW32" s="103"/>
      <c r="BX32" s="103"/>
      <c r="BY32" s="103"/>
      <c r="BZ32" s="104"/>
      <c r="CO32" s="79"/>
      <c r="CP32" s="19" t="str">
        <f>IF((FAC!A22="")+(FAC!A22=0),"",FAC!A22)</f>
        <v/>
      </c>
      <c r="CQ32" s="19" t="str">
        <f>IF((FAC!C22="")+(FAC!C22=0),"",FAC!C22)</f>
        <v/>
      </c>
      <c r="CR32" s="19" t="str">
        <f>IF((FAC!D22="")+(FAC!D22=0),"",FAC!D22)</f>
        <v/>
      </c>
      <c r="CS32" s="19" t="str">
        <f>IF((FAC!E22="")+(FAC!E22=0),"",FAC!E22)</f>
        <v/>
      </c>
      <c r="CT32" s="19" t="str">
        <f>IF((FAC!F22="")+(FAC!F22=0),"",FAC!F22)</f>
        <v/>
      </c>
      <c r="CU32" s="19" t="str">
        <f>IF((FAC!G22="")+(FAC!G22=0),"",FAC!G22)</f>
        <v/>
      </c>
      <c r="CV32" s="261" t="str">
        <f>IF((FAC!I22="")+(FAC!I22=0),"",FAC!I22*100)</f>
        <v/>
      </c>
      <c r="CW32" s="80"/>
      <c r="DW32" s="97" t="str">
        <f t="shared" si="1"/>
        <v>&amp;=Master.OPPORTUNITY_EFFECTIVEDATESFROM</v>
      </c>
      <c r="DX32" s="81" t="str">
        <f t="shared" si="2"/>
        <v>&amp;=Master.OPPORTUNITY_EFFECTIVEDATESENDFINAL</v>
      </c>
      <c r="DY32" s="21" t="e">
        <f t="shared" si="3"/>
        <v>#VALUE!</v>
      </c>
      <c r="DZ32" s="81">
        <f t="shared" si="4"/>
        <v>0</v>
      </c>
      <c r="EA32" s="21"/>
      <c r="EB32" s="255" t="str">
        <f t="shared" si="5"/>
        <v/>
      </c>
    </row>
    <row r="33" spans="33:132" ht="15.75" customHeight="1" thickBot="1" x14ac:dyDescent="0.25">
      <c r="AG33" s="97" t="str">
        <f t="shared" si="6"/>
        <v>&amp;=Master.OPPORTUNITY_EFFECTIVEDATESFROM</v>
      </c>
      <c r="AH33" s="81" t="str">
        <f t="shared" si="7"/>
        <v>&amp;=Master.OPPORTUNITY_EFFECTIVEDATESENDFINAL</v>
      </c>
      <c r="AI33" s="21" t="e">
        <f>IF((+'SF DATA'!C64="")+(+'SF DATA'!C64=0),"",+'SF DATA'!C64)</f>
        <v>#VALUE!</v>
      </c>
      <c r="AJ33" s="81">
        <f>IF('SF DATA'!B64="","",'SF DATA'!B64)</f>
        <v>0</v>
      </c>
      <c r="AK33" s="21"/>
      <c r="AL33" s="255" t="str">
        <f>IFERROR(((IF('SF DATA'!D64="","",'SF DATA'!D64))*100),"")</f>
        <v/>
      </c>
      <c r="BB33" s="95"/>
      <c r="BC33" s="95"/>
      <c r="BD33" s="95"/>
      <c r="BE33" s="95"/>
      <c r="BG33" s="426" t="s">
        <v>119</v>
      </c>
      <c r="BH33" s="415"/>
      <c r="BI33" s="415"/>
      <c r="BJ33" s="415"/>
      <c r="BK33" s="415"/>
      <c r="BL33" s="415"/>
      <c r="BM33" s="427"/>
      <c r="BO33" s="95"/>
      <c r="BP33" s="95"/>
      <c r="BQ33" s="95"/>
      <c r="BR33" s="95"/>
      <c r="BT33" s="414" t="s">
        <v>119</v>
      </c>
      <c r="BU33" s="415"/>
      <c r="BV33" s="415"/>
      <c r="BW33" s="415"/>
      <c r="BX33" s="415"/>
      <c r="BY33" s="415"/>
      <c r="BZ33" s="416"/>
      <c r="CO33" s="79"/>
      <c r="CP33" s="19" t="str">
        <f>IF((FAC!A23="")+(FAC!A23=0),"",FAC!A23)</f>
        <v/>
      </c>
      <c r="CQ33" s="19" t="str">
        <f>IF((FAC!C23="")+(FAC!C23=0),"",FAC!C23)</f>
        <v/>
      </c>
      <c r="CR33" s="19" t="str">
        <f>IF((FAC!D23="")+(FAC!D23=0),"",FAC!D23)</f>
        <v/>
      </c>
      <c r="CS33" s="19" t="str">
        <f>IF((FAC!E23="")+(FAC!E23=0),"",FAC!E23)</f>
        <v/>
      </c>
      <c r="CT33" s="19" t="str">
        <f>IF((FAC!F23="")+(FAC!F23=0),"",FAC!F23)</f>
        <v/>
      </c>
      <c r="CU33" s="19" t="str">
        <f>IF((FAC!G23="")+(FAC!G23=0),"",FAC!G23)</f>
        <v/>
      </c>
      <c r="CV33" s="261" t="str">
        <f>IF((FAC!I23="")+(FAC!I23=0),"",FAC!I23*100)</f>
        <v/>
      </c>
      <c r="CW33" s="80"/>
      <c r="DW33" s="97" t="str">
        <f t="shared" si="1"/>
        <v>&amp;=Master.OPPORTUNITY_EFFECTIVEDATESFROM</v>
      </c>
      <c r="DX33" s="81" t="str">
        <f t="shared" si="2"/>
        <v>&amp;=Master.OPPORTUNITY_EFFECTIVEDATESENDFINAL</v>
      </c>
      <c r="DY33" s="21" t="e">
        <f t="shared" si="3"/>
        <v>#VALUE!</v>
      </c>
      <c r="DZ33" s="81">
        <f t="shared" si="4"/>
        <v>0</v>
      </c>
      <c r="EA33" s="21"/>
      <c r="EB33" s="255" t="str">
        <f t="shared" si="5"/>
        <v/>
      </c>
    </row>
    <row r="34" spans="33:132" ht="15.75" customHeight="1" x14ac:dyDescent="0.2">
      <c r="AG34" s="97" t="str">
        <f t="shared" si="6"/>
        <v>&amp;=Master.OPPORTUNITY_EFFECTIVEDATESFROM</v>
      </c>
      <c r="AH34" s="81" t="str">
        <f t="shared" si="7"/>
        <v>&amp;=Master.OPPORTUNITY_EFFECTIVEDATESENDFINAL</v>
      </c>
      <c r="AI34" s="21" t="e">
        <f>IF((+'SF DATA'!C65="")+(+'SF DATA'!C65=0),"",+'SF DATA'!C65)</f>
        <v>#VALUE!</v>
      </c>
      <c r="AJ34" s="81">
        <f>IF('SF DATA'!B65="","",'SF DATA'!B65)</f>
        <v>0</v>
      </c>
      <c r="AK34" s="21"/>
      <c r="AL34" s="255" t="str">
        <f>IFERROR(((IF('SF DATA'!D65="","",'SF DATA'!D65))*100),"")</f>
        <v/>
      </c>
      <c r="BB34" s="95"/>
      <c r="BC34" s="95"/>
      <c r="BD34" s="95"/>
      <c r="BE34" s="95"/>
      <c r="BG34" s="423" t="s">
        <v>906</v>
      </c>
      <c r="BH34" s="424"/>
      <c r="BI34" s="424"/>
      <c r="BJ34" s="424"/>
      <c r="BK34" s="424"/>
      <c r="BL34" s="424"/>
      <c r="BM34" s="425"/>
      <c r="BO34" s="95"/>
      <c r="BP34" s="95"/>
      <c r="BQ34" s="95"/>
      <c r="BR34" s="95"/>
      <c r="BT34" s="465" t="s">
        <v>906</v>
      </c>
      <c r="BU34" s="424"/>
      <c r="BV34" s="424"/>
      <c r="BW34" s="424"/>
      <c r="BX34" s="424"/>
      <c r="BY34" s="424"/>
      <c r="BZ34" s="466"/>
      <c r="CO34" s="79"/>
      <c r="CP34" s="19" t="str">
        <f>IF((FAC!A24="")+(FAC!A24=0),"",FAC!A24)</f>
        <v/>
      </c>
      <c r="CQ34" s="19" t="str">
        <f>IF((FAC!C24="")+(FAC!C24=0),"",FAC!C24)</f>
        <v/>
      </c>
      <c r="CR34" s="19" t="str">
        <f>IF((FAC!D24="")+(FAC!D24=0),"",FAC!D24)</f>
        <v/>
      </c>
      <c r="CS34" s="19" t="str">
        <f>IF((FAC!E24="")+(FAC!E24=0),"",FAC!E24)</f>
        <v/>
      </c>
      <c r="CT34" s="19" t="str">
        <f>IF((FAC!F24="")+(FAC!F24=0),"",FAC!F24)</f>
        <v/>
      </c>
      <c r="CU34" s="19" t="str">
        <f>IF((FAC!G24="")+(FAC!G24=0),"",FAC!G24)</f>
        <v/>
      </c>
      <c r="CV34" s="261" t="str">
        <f>IF((FAC!I24="")+(FAC!I24=0),"",FAC!I24*100)</f>
        <v/>
      </c>
      <c r="CW34" s="80"/>
      <c r="DJ34" s="158"/>
      <c r="DW34" s="97" t="str">
        <f t="shared" si="1"/>
        <v>&amp;=Master.OPPORTUNITY_EFFECTIVEDATESFROM</v>
      </c>
      <c r="DX34" s="81" t="str">
        <f t="shared" si="2"/>
        <v>&amp;=Master.OPPORTUNITY_EFFECTIVEDATESENDFINAL</v>
      </c>
      <c r="DY34" s="21" t="e">
        <f t="shared" si="3"/>
        <v>#VALUE!</v>
      </c>
      <c r="DZ34" s="81">
        <f t="shared" si="4"/>
        <v>0</v>
      </c>
      <c r="EA34" s="21"/>
      <c r="EB34" s="255" t="str">
        <f t="shared" si="5"/>
        <v/>
      </c>
    </row>
    <row r="35" spans="33:132" ht="15.75" customHeight="1" x14ac:dyDescent="0.2">
      <c r="AG35" s="97" t="str">
        <f t="shared" si="6"/>
        <v>&amp;=Master.OPPORTUNITY_EFFECTIVEDATESFROM</v>
      </c>
      <c r="AH35" s="81" t="str">
        <f t="shared" si="7"/>
        <v>&amp;=Master.OPPORTUNITY_EFFECTIVEDATESENDFINAL</v>
      </c>
      <c r="AI35" s="21" t="e">
        <f>IF((+'SF DATA'!C66="")+(+'SF DATA'!C66=0),"",+'SF DATA'!C66)</f>
        <v>#VALUE!</v>
      </c>
      <c r="AJ35" s="81">
        <f>IF('SF DATA'!B66="","",'SF DATA'!B66)</f>
        <v>0</v>
      </c>
      <c r="AK35" s="21"/>
      <c r="AL35" s="255" t="str">
        <f>IFERROR(((IF('SF DATA'!D66="","",'SF DATA'!D66))*100),"")</f>
        <v/>
      </c>
      <c r="BB35" s="95"/>
      <c r="BC35" s="95"/>
      <c r="BD35" s="95"/>
      <c r="BE35" s="95"/>
      <c r="BG35" s="120"/>
      <c r="BH35" s="95"/>
      <c r="BI35" s="95"/>
      <c r="BJ35" s="95"/>
      <c r="BK35" s="95"/>
      <c r="BL35" s="95"/>
      <c r="BM35" s="96"/>
      <c r="BO35" s="95"/>
      <c r="BP35" s="95"/>
      <c r="BQ35" s="95"/>
      <c r="BR35" s="95"/>
      <c r="BT35" s="132"/>
      <c r="BU35" s="95"/>
      <c r="BV35" s="95"/>
      <c r="BW35" s="95"/>
      <c r="BX35" s="95"/>
      <c r="BY35" s="95"/>
      <c r="BZ35" s="133"/>
      <c r="CO35" s="79"/>
      <c r="CP35" s="19" t="str">
        <f>IF((FAC!A25="")+(FAC!A25=0),"",FAC!A25)</f>
        <v/>
      </c>
      <c r="CQ35" s="19" t="str">
        <f>IF((FAC!C25="")+(FAC!C25=0),"",FAC!C25)</f>
        <v/>
      </c>
      <c r="CR35" s="19" t="str">
        <f>IF((FAC!D25="")+(FAC!D25=0),"",FAC!D25)</f>
        <v/>
      </c>
      <c r="CS35" s="19" t="str">
        <f>IF((FAC!E25="")+(FAC!E25=0),"",FAC!E25)</f>
        <v/>
      </c>
      <c r="CT35" s="19" t="str">
        <f>IF((FAC!F25="")+(FAC!F25=0),"",FAC!F25)</f>
        <v/>
      </c>
      <c r="CU35" s="19" t="str">
        <f>IF((FAC!G25="")+(FAC!G25=0),"",FAC!G25)</f>
        <v/>
      </c>
      <c r="CV35" s="261" t="str">
        <f>IF((FAC!I25="")+(FAC!I25=0),"",FAC!I25*100)</f>
        <v/>
      </c>
      <c r="CW35" s="80"/>
      <c r="DI35" s="158"/>
      <c r="DW35" s="97" t="str">
        <f t="shared" si="1"/>
        <v>&amp;=Master.OPPORTUNITY_EFFECTIVEDATESFROM</v>
      </c>
      <c r="DX35" s="81" t="str">
        <f t="shared" si="2"/>
        <v>&amp;=Master.OPPORTUNITY_EFFECTIVEDATESENDFINAL</v>
      </c>
      <c r="DY35" s="21" t="e">
        <f t="shared" si="3"/>
        <v>#VALUE!</v>
      </c>
      <c r="DZ35" s="81">
        <f t="shared" si="4"/>
        <v>0</v>
      </c>
      <c r="EA35" s="21"/>
      <c r="EB35" s="255" t="str">
        <f t="shared" si="5"/>
        <v/>
      </c>
    </row>
    <row r="36" spans="33:132" ht="15.75" customHeight="1" x14ac:dyDescent="0.2">
      <c r="AG36" s="97" t="str">
        <f t="shared" si="6"/>
        <v>&amp;=Master.OPPORTUNITY_EFFECTIVEDATESFROM</v>
      </c>
      <c r="AH36" s="81" t="str">
        <f t="shared" si="7"/>
        <v>&amp;=Master.OPPORTUNITY_EFFECTIVEDATESENDFINAL</v>
      </c>
      <c r="AI36" s="21" t="e">
        <f>IF((+'SF DATA'!C67="")+(+'SF DATA'!C67=0),"",+'SF DATA'!C67)</f>
        <v>#VALUE!</v>
      </c>
      <c r="AJ36" s="81">
        <f>IF('SF DATA'!B67="","",'SF DATA'!B67)</f>
        <v>0</v>
      </c>
      <c r="AK36" s="21"/>
      <c r="AL36" s="255" t="str">
        <f>IFERROR(((IF('SF DATA'!D67="","",'SF DATA'!D67))*100),"")</f>
        <v/>
      </c>
      <c r="BB36" s="95"/>
      <c r="BC36" s="95"/>
      <c r="BD36" s="95"/>
      <c r="BE36" s="95"/>
      <c r="BG36" s="263" t="s">
        <v>530</v>
      </c>
      <c r="BH36" s="115" t="str">
        <f>IF(+'SF DATA'!$J$32="","",+'SF DATA'!$J$32)</f>
        <v>&amp;=Master.OPPORTUNITY_TECH_PREMIUM</v>
      </c>
      <c r="BI36" s="95"/>
      <c r="BJ36" s="95"/>
      <c r="BK36" s="95"/>
      <c r="BL36" s="95"/>
      <c r="BM36" s="96"/>
      <c r="BO36" s="95"/>
      <c r="BP36" s="95"/>
      <c r="BQ36" s="95"/>
      <c r="BR36" s="95"/>
      <c r="BT36" s="134" t="s">
        <v>530</v>
      </c>
      <c r="BU36" s="115" t="str">
        <f>IF(+'SF DATA'!$J$32="","",+'SF DATA'!$J$32)</f>
        <v>&amp;=Master.OPPORTUNITY_TECH_PREMIUM</v>
      </c>
      <c r="BV36" s="95"/>
      <c r="BW36" s="95"/>
      <c r="BX36" s="95"/>
      <c r="BY36" s="95"/>
      <c r="BZ36" s="133"/>
      <c r="CO36" s="79"/>
      <c r="CP36" s="19" t="str">
        <f>IF((FAC!A26="")+(FAC!A26=0),"",FAC!A26)</f>
        <v/>
      </c>
      <c r="CQ36" s="19" t="str">
        <f>IF((FAC!C26="")+(FAC!C26=0),"",FAC!C26)</f>
        <v/>
      </c>
      <c r="CR36" s="19" t="str">
        <f>IF((FAC!D26="")+(FAC!D26=0),"",FAC!D26)</f>
        <v/>
      </c>
      <c r="CS36" s="19" t="str">
        <f>IF((FAC!E26="")+(FAC!E26=0),"",FAC!E26)</f>
        <v/>
      </c>
      <c r="CT36" s="19" t="str">
        <f>IF((FAC!F26="")+(FAC!F26=0),"",FAC!F26)</f>
        <v/>
      </c>
      <c r="CU36" s="19" t="str">
        <f>IF((FAC!G26="")+(FAC!G26=0),"",FAC!G26)</f>
        <v/>
      </c>
      <c r="CV36" s="261" t="str">
        <f>IF((FAC!I26="")+(FAC!I26=0),"",FAC!I26*100)</f>
        <v/>
      </c>
      <c r="CW36" s="80"/>
      <c r="DI36" s="158"/>
      <c r="DW36" s="97" t="str">
        <f t="shared" si="1"/>
        <v>&amp;=Master.OPPORTUNITY_EFFECTIVEDATESFROM</v>
      </c>
      <c r="DX36" s="81" t="str">
        <f t="shared" si="2"/>
        <v>&amp;=Master.OPPORTUNITY_EFFECTIVEDATESENDFINAL</v>
      </c>
      <c r="DY36" s="21" t="e">
        <f t="shared" si="3"/>
        <v>#VALUE!</v>
      </c>
      <c r="DZ36" s="81">
        <f t="shared" si="4"/>
        <v>0</v>
      </c>
      <c r="EA36" s="21"/>
      <c r="EB36" s="255" t="str">
        <f t="shared" si="5"/>
        <v/>
      </c>
    </row>
    <row r="37" spans="33:132" ht="15.75" customHeight="1" x14ac:dyDescent="0.2">
      <c r="AG37" s="97" t="str">
        <f t="shared" si="6"/>
        <v>&amp;=Master.OPPORTUNITY_EFFECTIVEDATESFROM</v>
      </c>
      <c r="AH37" s="81" t="str">
        <f t="shared" si="7"/>
        <v>&amp;=Master.OPPORTUNITY_EFFECTIVEDATESENDFINAL</v>
      </c>
      <c r="AI37" s="21" t="e">
        <f>IF((+'SF DATA'!C68="")+(+'SF DATA'!C68=0),"",+'SF DATA'!C68)</f>
        <v>#VALUE!</v>
      </c>
      <c r="AJ37" s="81">
        <f>IF('SF DATA'!B68="","",'SF DATA'!B68)</f>
        <v>0</v>
      </c>
      <c r="AK37" s="21"/>
      <c r="AL37" s="255" t="str">
        <f>IFERROR(((IF('SF DATA'!D68="","",'SF DATA'!D68))*100),"")</f>
        <v/>
      </c>
      <c r="BB37" s="95"/>
      <c r="BC37" s="95"/>
      <c r="BD37" s="95"/>
      <c r="BE37" s="95"/>
      <c r="BG37" s="263" t="s">
        <v>531</v>
      </c>
      <c r="BH37" s="115" t="str">
        <f>IF(+'SF DATA'!$J$33="","",+'SF DATA'!$J$33)</f>
        <v>&amp;=Master.OPPORTUNITY_MODIFIED_PREMIUM</v>
      </c>
      <c r="BI37" s="95"/>
      <c r="BK37" s="95"/>
      <c r="BL37" s="95"/>
      <c r="BM37" s="96"/>
      <c r="BO37" s="95"/>
      <c r="BP37" s="95"/>
      <c r="BQ37" s="95"/>
      <c r="BR37" s="95"/>
      <c r="BT37" s="134" t="s">
        <v>531</v>
      </c>
      <c r="BU37" s="115" t="str">
        <f>IF(+'SF DATA'!$J$33="","",+'SF DATA'!$J$33)</f>
        <v>&amp;=Master.OPPORTUNITY_MODIFIED_PREMIUM</v>
      </c>
      <c r="BV37" s="95"/>
      <c r="BX37" s="95"/>
      <c r="BY37" s="95"/>
      <c r="BZ37" s="133"/>
      <c r="CO37" s="79"/>
      <c r="CP37" s="19" t="str">
        <f>IF((FAC!A27="")+(FAC!A27=0),"",FAC!A27)</f>
        <v/>
      </c>
      <c r="CQ37" s="19" t="str">
        <f>IF((FAC!C27="")+(FAC!C27=0),"",FAC!C27)</f>
        <v/>
      </c>
      <c r="CR37" s="19" t="str">
        <f>IF((FAC!D27="")+(FAC!D27=0),"",FAC!D27)</f>
        <v/>
      </c>
      <c r="CS37" s="19" t="str">
        <f>IF((FAC!E27="")+(FAC!E27=0),"",FAC!E27)</f>
        <v/>
      </c>
      <c r="CT37" s="19" t="str">
        <f>IF((FAC!F27="")+(FAC!F27=0),"",FAC!F27)</f>
        <v/>
      </c>
      <c r="CU37" s="19" t="str">
        <f>IF((FAC!G27="")+(FAC!G27=0),"",FAC!G27)</f>
        <v/>
      </c>
      <c r="CV37" s="261" t="str">
        <f>IF((FAC!I27="")+(FAC!I27=0),"",FAC!I27*100)</f>
        <v/>
      </c>
      <c r="CW37" s="80"/>
      <c r="DI37" s="158"/>
      <c r="DW37" s="97" t="str">
        <f t="shared" si="1"/>
        <v>&amp;=Master.OPPORTUNITY_EFFECTIVEDATESFROM</v>
      </c>
      <c r="DX37" s="81" t="str">
        <f t="shared" si="2"/>
        <v>&amp;=Master.OPPORTUNITY_EFFECTIVEDATESENDFINAL</v>
      </c>
      <c r="DY37" s="21" t="e">
        <f t="shared" si="3"/>
        <v>#VALUE!</v>
      </c>
      <c r="DZ37" s="81">
        <f t="shared" si="4"/>
        <v>0</v>
      </c>
      <c r="EA37" s="21"/>
      <c r="EB37" s="255" t="str">
        <f t="shared" si="5"/>
        <v/>
      </c>
    </row>
    <row r="38" spans="33:132" ht="15.75" customHeight="1" thickBot="1" x14ac:dyDescent="0.25">
      <c r="AG38" s="97" t="str">
        <f t="shared" si="6"/>
        <v>&amp;=Master.OPPORTUNITY_EFFECTIVEDATESFROM</v>
      </c>
      <c r="AH38" s="81" t="str">
        <f t="shared" si="7"/>
        <v>&amp;=Master.OPPORTUNITY_EFFECTIVEDATESENDFINAL</v>
      </c>
      <c r="AI38" s="21" t="e">
        <f>IF((+'SF DATA'!C69="")+(+'SF DATA'!C69=0),"",+'SF DATA'!C69)</f>
        <v>#VALUE!</v>
      </c>
      <c r="AJ38" s="81">
        <f>IF('SF DATA'!B69="","",'SF DATA'!B69)</f>
        <v>0</v>
      </c>
      <c r="AK38" s="21"/>
      <c r="AL38" s="255" t="str">
        <f>IFERROR(((IF('SF DATA'!D69="","",'SF DATA'!D69))*100),"")</f>
        <v/>
      </c>
      <c r="BB38" s="95"/>
      <c r="BC38" s="95"/>
      <c r="BD38" s="95"/>
      <c r="BE38" s="95"/>
      <c r="BG38" s="79"/>
      <c r="BH38" s="95"/>
      <c r="BI38" s="95"/>
      <c r="BJ38" s="95"/>
      <c r="BK38" s="95"/>
      <c r="BL38" s="95"/>
      <c r="BM38" s="96"/>
      <c r="BO38" s="95"/>
      <c r="BP38" s="95"/>
      <c r="BQ38" s="95"/>
      <c r="BR38" s="95"/>
      <c r="BT38" s="105"/>
      <c r="BU38" s="95"/>
      <c r="BV38" s="95"/>
      <c r="BW38" s="95"/>
      <c r="BX38" s="95"/>
      <c r="BY38" s="95"/>
      <c r="BZ38" s="133"/>
      <c r="CO38" s="88"/>
      <c r="CP38" s="89"/>
      <c r="CQ38" s="89"/>
      <c r="CR38" s="89"/>
      <c r="CS38" s="89"/>
      <c r="CT38" s="89"/>
      <c r="CU38" s="89"/>
      <c r="CV38" s="89"/>
      <c r="CW38" s="90"/>
      <c r="DW38" s="97" t="str">
        <f t="shared" si="1"/>
        <v>&amp;=Master.OPPORTUNITY_EFFECTIVEDATESFROM</v>
      </c>
      <c r="DX38" s="81" t="str">
        <f t="shared" si="2"/>
        <v>&amp;=Master.OPPORTUNITY_EFFECTIVEDATESENDFINAL</v>
      </c>
      <c r="DY38" s="21" t="e">
        <f t="shared" si="3"/>
        <v>#VALUE!</v>
      </c>
      <c r="DZ38" s="81">
        <f t="shared" si="4"/>
        <v>0</v>
      </c>
      <c r="EA38" s="21"/>
      <c r="EB38" s="255" t="str">
        <f t="shared" si="5"/>
        <v/>
      </c>
    </row>
    <row r="39" spans="33:132" ht="15.75" customHeight="1" x14ac:dyDescent="0.2">
      <c r="AG39" s="97" t="str">
        <f t="shared" si="6"/>
        <v>&amp;=Master.OPPORTUNITY_EFFECTIVEDATESFROM</v>
      </c>
      <c r="AH39" s="81" t="str">
        <f t="shared" si="7"/>
        <v>&amp;=Master.OPPORTUNITY_EFFECTIVEDATESENDFINAL</v>
      </c>
      <c r="AI39" s="21" t="e">
        <f>IF((+'SF DATA'!C70="")+(+'SF DATA'!C70=0),"",+'SF DATA'!C70)</f>
        <v>#VALUE!</v>
      </c>
      <c r="AJ39" s="81">
        <f>IF('SF DATA'!B70="","",'SF DATA'!B70)</f>
        <v>0</v>
      </c>
      <c r="AK39" s="21"/>
      <c r="AL39" s="255" t="str">
        <f>IFERROR(((IF('SF DATA'!D70="","",'SF DATA'!D70))*100),"")</f>
        <v/>
      </c>
      <c r="BB39" s="95"/>
      <c r="BC39" s="95"/>
      <c r="BD39" s="95"/>
      <c r="BE39" s="95"/>
      <c r="BG39" s="263" t="s">
        <v>220</v>
      </c>
      <c r="BH39" s="87" t="e">
        <f>IF(+'SF DATA'!$J$34="","",+'SF DATA'!$J$34)</f>
        <v>#VALUE!</v>
      </c>
      <c r="BI39" s="95"/>
      <c r="BJ39" s="21"/>
      <c r="BK39" s="142" t="s">
        <v>215</v>
      </c>
      <c r="BL39" s="91" t="str">
        <f>IF(+'SF DATA'!$J$31="","",+'SF DATA'!$J$31)</f>
        <v>&amp;=Master.OPPORTUNITY_CURRENCYISOCODE</v>
      </c>
      <c r="BM39" s="91" t="str">
        <f>IF(+'SF DATA'!$K$31="","",+'SF DATA'!$K$31)</f>
        <v/>
      </c>
      <c r="BO39" s="95"/>
      <c r="BP39" s="95"/>
      <c r="BQ39" s="95"/>
      <c r="BR39" s="95"/>
      <c r="BT39" s="134" t="s">
        <v>220</v>
      </c>
      <c r="BU39" s="87" t="e">
        <f>IF(+'SF DATA'!$J$34="","",+'SF DATA'!$J$34)</f>
        <v>#VALUE!</v>
      </c>
      <c r="BV39" s="95"/>
      <c r="BW39" s="21"/>
      <c r="BX39" s="142" t="s">
        <v>215</v>
      </c>
      <c r="BY39" s="91" t="str">
        <f>IF(+'SF DATA'!$J$31="","",+'SF DATA'!$J$31)</f>
        <v>&amp;=Master.OPPORTUNITY_CURRENCYISOCODE</v>
      </c>
      <c r="BZ39" s="135" t="str">
        <f>IF(+'SF DATA'!$K$31="","",+'SF DATA'!$K$31)</f>
        <v/>
      </c>
      <c r="DW39" s="97" t="str">
        <f t="shared" si="1"/>
        <v>&amp;=Master.OPPORTUNITY_EFFECTIVEDATESFROM</v>
      </c>
      <c r="DX39" s="81" t="str">
        <f t="shared" si="2"/>
        <v>&amp;=Master.OPPORTUNITY_EFFECTIVEDATESENDFINAL</v>
      </c>
      <c r="DY39" s="21" t="e">
        <f t="shared" si="3"/>
        <v>#VALUE!</v>
      </c>
      <c r="DZ39" s="81">
        <f t="shared" si="4"/>
        <v>0</v>
      </c>
      <c r="EA39" s="21"/>
      <c r="EB39" s="255" t="str">
        <f t="shared" si="5"/>
        <v/>
      </c>
    </row>
    <row r="40" spans="33:132" ht="15.75" customHeight="1" x14ac:dyDescent="0.2">
      <c r="AG40" s="97" t="str">
        <f t="shared" si="6"/>
        <v>&amp;=Master.OPPORTUNITY_EFFECTIVEDATESFROM</v>
      </c>
      <c r="AH40" s="81" t="str">
        <f t="shared" si="7"/>
        <v>&amp;=Master.OPPORTUNITY_EFFECTIVEDATESENDFINAL</v>
      </c>
      <c r="AI40" s="21" t="e">
        <f>IF((+'SF DATA'!C71="")+(+'SF DATA'!C71=0),"",+'SF DATA'!C71)</f>
        <v>#VALUE!</v>
      </c>
      <c r="AJ40" s="81">
        <f>IF('SF DATA'!B71="","",'SF DATA'!B71)</f>
        <v>0</v>
      </c>
      <c r="AK40" s="21"/>
      <c r="AL40" s="255" t="str">
        <f>IFERROR(((IF('SF DATA'!D71="","",'SF DATA'!D71))*100),"")</f>
        <v/>
      </c>
      <c r="BB40" s="95"/>
      <c r="BC40" s="95"/>
      <c r="BD40" s="95"/>
      <c r="BE40" s="95"/>
      <c r="BG40" s="79"/>
      <c r="BH40" s="91"/>
      <c r="BM40" s="80"/>
      <c r="BO40" s="95"/>
      <c r="BP40" s="95"/>
      <c r="BQ40" s="95"/>
      <c r="BR40" s="95"/>
      <c r="BT40" s="105"/>
      <c r="BU40" s="91"/>
      <c r="BZ40" s="106"/>
      <c r="DW40" s="97" t="str">
        <f t="shared" si="1"/>
        <v>&amp;=Master.OPPORTUNITY_EFFECTIVEDATESFROM</v>
      </c>
      <c r="DX40" s="81" t="str">
        <f t="shared" si="2"/>
        <v>&amp;=Master.OPPORTUNITY_EFFECTIVEDATESENDFINAL</v>
      </c>
      <c r="DY40" s="21" t="e">
        <f t="shared" si="3"/>
        <v>#VALUE!</v>
      </c>
      <c r="DZ40" s="81">
        <f t="shared" si="4"/>
        <v>0</v>
      </c>
      <c r="EA40" s="21"/>
      <c r="EB40" s="255" t="str">
        <f t="shared" si="5"/>
        <v/>
      </c>
    </row>
    <row r="41" spans="33:132" ht="15.75" customHeight="1" x14ac:dyDescent="0.2">
      <c r="AG41" s="97" t="str">
        <f t="shared" si="6"/>
        <v>&amp;=Master.OPPORTUNITY_EFFECTIVEDATESFROM</v>
      </c>
      <c r="AH41" s="81" t="str">
        <f t="shared" si="7"/>
        <v>&amp;=Master.OPPORTUNITY_EFFECTIVEDATESENDFINAL</v>
      </c>
      <c r="AI41" s="21" t="e">
        <f>IF((+'SF DATA'!C72="")+(+'SF DATA'!C72=0),"",+'SF DATA'!C72)</f>
        <v>#VALUE!</v>
      </c>
      <c r="AJ41" s="81">
        <f>IF('SF DATA'!B72="","",'SF DATA'!B72)</f>
        <v>0</v>
      </c>
      <c r="AK41" s="21"/>
      <c r="AL41" s="255" t="str">
        <f>IFERROR(((IF('SF DATA'!D72="","",'SF DATA'!D72))*100),"")</f>
        <v/>
      </c>
      <c r="BB41" s="95"/>
      <c r="BC41" s="95"/>
      <c r="BD41" s="95"/>
      <c r="BE41" s="95"/>
      <c r="BG41" s="263" t="s">
        <v>532</v>
      </c>
      <c r="BH41" s="91" t="str">
        <f>IF('SF DATA'!$J$30="","",'SF DATA'!$J$30)</f>
        <v/>
      </c>
      <c r="BI41" s="91" t="str">
        <f>IF(+'SF DATA'!$K$30="","",+'SF DATA'!$K$30)</f>
        <v>&amp;=Master.OPPORTUNITY_Pol_Sec_SD_Level</v>
      </c>
      <c r="BM41" s="80"/>
      <c r="BO41" s="95"/>
      <c r="BP41" s="95"/>
      <c r="BQ41" s="95"/>
      <c r="BR41" s="95"/>
      <c r="BT41" s="134" t="s">
        <v>532</v>
      </c>
      <c r="BU41" s="91" t="str">
        <f>IF('SF DATA'!$J$30="","",'SF DATA'!$J$30)</f>
        <v/>
      </c>
      <c r="BV41" s="91" t="str">
        <f>IF(+'SF DATA'!$K$30="","",+'SF DATA'!$K$30)</f>
        <v>&amp;=Master.OPPORTUNITY_Pol_Sec_SD_Level</v>
      </c>
      <c r="BZ41" s="106"/>
      <c r="DW41" s="97" t="str">
        <f t="shared" si="1"/>
        <v>&amp;=Master.OPPORTUNITY_EFFECTIVEDATESFROM</v>
      </c>
      <c r="DX41" s="81" t="str">
        <f t="shared" si="2"/>
        <v>&amp;=Master.OPPORTUNITY_EFFECTIVEDATESENDFINAL</v>
      </c>
      <c r="DY41" s="21" t="e">
        <f t="shared" si="3"/>
        <v>#VALUE!</v>
      </c>
      <c r="DZ41" s="81">
        <f t="shared" si="4"/>
        <v>0</v>
      </c>
      <c r="EA41" s="21"/>
      <c r="EB41" s="255" t="str">
        <f t="shared" si="5"/>
        <v/>
      </c>
    </row>
    <row r="42" spans="33:132" ht="15.75" customHeight="1" thickBot="1" x14ac:dyDescent="0.25">
      <c r="AG42" s="97" t="str">
        <f t="shared" si="6"/>
        <v>&amp;=Master.OPPORTUNITY_EFFECTIVEDATESFROM</v>
      </c>
      <c r="AH42" s="81" t="str">
        <f t="shared" si="7"/>
        <v>&amp;=Master.OPPORTUNITY_EFFECTIVEDATESENDFINAL</v>
      </c>
      <c r="AI42" s="21" t="e">
        <f>IF((+'SF DATA'!C73="")+(+'SF DATA'!C73=0),"",+'SF DATA'!C73)</f>
        <v>#VALUE!</v>
      </c>
      <c r="AJ42" s="81">
        <f>IF('SF DATA'!B73="","",'SF DATA'!B73)</f>
        <v>0</v>
      </c>
      <c r="AK42" s="21"/>
      <c r="AL42" s="255" t="str">
        <f>IFERROR(((IF('SF DATA'!D73="","",'SF DATA'!D73))*100),"")</f>
        <v/>
      </c>
      <c r="BB42" s="95"/>
      <c r="BC42" s="95"/>
      <c r="BD42" s="95"/>
      <c r="BE42" s="95"/>
      <c r="BG42" s="88"/>
      <c r="BH42" s="89"/>
      <c r="BI42" s="89"/>
      <c r="BJ42" s="89"/>
      <c r="BK42" s="89"/>
      <c r="BL42" s="89"/>
      <c r="BM42" s="90"/>
      <c r="BO42" s="95"/>
      <c r="BP42" s="95"/>
      <c r="BQ42" s="95"/>
      <c r="BR42" s="95"/>
      <c r="BT42" s="136"/>
      <c r="BU42" s="89"/>
      <c r="BV42" s="89"/>
      <c r="BW42" s="89"/>
      <c r="BX42" s="89"/>
      <c r="BY42" s="89"/>
      <c r="BZ42" s="137"/>
      <c r="DW42" s="97" t="str">
        <f t="shared" si="1"/>
        <v>&amp;=Master.OPPORTUNITY_EFFECTIVEDATESFROM</v>
      </c>
      <c r="DX42" s="81" t="str">
        <f t="shared" si="2"/>
        <v>&amp;=Master.OPPORTUNITY_EFFECTIVEDATESENDFINAL</v>
      </c>
      <c r="DY42" s="21" t="e">
        <f t="shared" si="3"/>
        <v>#VALUE!</v>
      </c>
      <c r="DZ42" s="81">
        <f t="shared" si="4"/>
        <v>0</v>
      </c>
      <c r="EA42" s="21"/>
      <c r="EB42" s="255" t="str">
        <f t="shared" si="5"/>
        <v/>
      </c>
    </row>
    <row r="43" spans="33:132" ht="15.75" customHeight="1" thickBot="1" x14ac:dyDescent="0.25">
      <c r="AG43" s="79"/>
      <c r="AL43" s="256">
        <f>SUM(AL5:AL42)</f>
        <v>0</v>
      </c>
      <c r="BB43" s="95"/>
      <c r="BC43" s="95"/>
      <c r="BD43" s="95"/>
      <c r="BE43" s="95"/>
      <c r="BG43" s="391" t="s">
        <v>119</v>
      </c>
      <c r="BH43" s="392"/>
      <c r="BI43" s="392"/>
      <c r="BJ43" s="392"/>
      <c r="BK43" s="392"/>
      <c r="BL43" s="392"/>
      <c r="BM43" s="393"/>
      <c r="BO43" s="95"/>
      <c r="BP43" s="95"/>
      <c r="BQ43" s="95"/>
      <c r="BR43" s="95"/>
      <c r="BT43" s="463" t="s">
        <v>119</v>
      </c>
      <c r="BU43" s="392"/>
      <c r="BV43" s="392"/>
      <c r="BW43" s="392"/>
      <c r="BX43" s="392"/>
      <c r="BY43" s="392"/>
      <c r="BZ43" s="464"/>
      <c r="DI43" s="158"/>
      <c r="DW43" s="79"/>
      <c r="EB43" s="256">
        <f>SUM(EB5:EB42)</f>
        <v>0</v>
      </c>
    </row>
    <row r="44" spans="33:132" ht="15.75" customHeight="1" thickBot="1" x14ac:dyDescent="0.25">
      <c r="AG44" s="79"/>
      <c r="AL44" s="80"/>
      <c r="BB44" s="95"/>
      <c r="BC44" s="95"/>
      <c r="BD44" s="95"/>
      <c r="BE44" s="95"/>
      <c r="BG44" s="423" t="s">
        <v>907</v>
      </c>
      <c r="BH44" s="424"/>
      <c r="BI44" s="424"/>
      <c r="BJ44" s="424"/>
      <c r="BK44" s="424"/>
      <c r="BL44" s="424"/>
      <c r="BM44" s="425"/>
      <c r="BO44" s="95"/>
      <c r="BP44" s="95"/>
      <c r="BQ44" s="95"/>
      <c r="BR44" s="95"/>
      <c r="BT44" s="465" t="s">
        <v>907</v>
      </c>
      <c r="BU44" s="424"/>
      <c r="BV44" s="424"/>
      <c r="BW44" s="424"/>
      <c r="BX44" s="424"/>
      <c r="BY44" s="424"/>
      <c r="BZ44" s="466"/>
      <c r="DW44" s="263" t="s">
        <v>272</v>
      </c>
      <c r="DX44" s="147" t="s">
        <v>1450</v>
      </c>
      <c r="DY44" s="76" t="s">
        <v>1465</v>
      </c>
      <c r="DZ44" s="156" t="str">
        <f>IF('[3]For UWs (NewPolicies_Renewals)'!DT32&lt;&gt;"",'[3]For UWs (NewPolicies_Renewals)'!DT32,"")</f>
        <v/>
      </c>
      <c r="EB44" s="157"/>
    </row>
    <row r="45" spans="33:132" ht="15.75" customHeight="1" thickBot="1" x14ac:dyDescent="0.25">
      <c r="AG45" s="88"/>
      <c r="AH45" s="89"/>
      <c r="AI45" s="89"/>
      <c r="AJ45" s="89"/>
      <c r="AK45" s="89"/>
      <c r="AL45" s="90"/>
      <c r="BB45" s="95"/>
      <c r="BC45" s="95"/>
      <c r="BD45" s="95"/>
      <c r="BE45" s="95"/>
      <c r="BG45" s="120"/>
      <c r="BH45" s="95"/>
      <c r="BI45" s="95"/>
      <c r="BJ45" s="95"/>
      <c r="BK45" s="95"/>
      <c r="BL45" s="95"/>
      <c r="BM45" s="96"/>
      <c r="BO45" s="95"/>
      <c r="BP45" s="95"/>
      <c r="BQ45" s="95"/>
      <c r="BR45" s="95"/>
      <c r="BT45" s="132"/>
      <c r="BU45" s="95"/>
      <c r="BV45" s="95"/>
      <c r="BW45" s="95"/>
      <c r="BX45" s="95"/>
      <c r="BY45" s="95"/>
      <c r="BZ45" s="133"/>
      <c r="DW45" s="452" t="s">
        <v>1466</v>
      </c>
      <c r="DX45" s="453"/>
      <c r="DY45" s="453"/>
      <c r="DZ45" s="453"/>
      <c r="EA45" s="453"/>
      <c r="EB45" s="454"/>
    </row>
    <row r="46" spans="33:132" ht="15.75" customHeight="1" x14ac:dyDescent="0.2">
      <c r="BB46" s="95"/>
      <c r="BC46" s="95"/>
      <c r="BD46" s="95"/>
      <c r="BE46" s="95"/>
      <c r="BG46" s="120"/>
      <c r="BH46" s="95"/>
      <c r="BI46" s="95"/>
      <c r="BJ46" s="21"/>
      <c r="BK46" s="142" t="s">
        <v>246</v>
      </c>
      <c r="BL46" s="91" t="str">
        <f>IF('SF DATA'!$J$38="","",'SF DATA'!$J$38)</f>
        <v>&amp;=Master.OPPORTUNITY_CYBER_LIMIT</v>
      </c>
      <c r="BM46" s="96"/>
      <c r="BO46" s="95"/>
      <c r="BP46" s="95"/>
      <c r="BQ46" s="95"/>
      <c r="BR46" s="95"/>
      <c r="BT46" s="132"/>
      <c r="BU46" s="95"/>
      <c r="BV46" s="95"/>
      <c r="BW46" s="21"/>
      <c r="BX46" s="142" t="s">
        <v>246</v>
      </c>
      <c r="BY46" s="91" t="str">
        <f>IF('SF DATA'!$J$38="","",'SF DATA'!$J$38)</f>
        <v>&amp;=Master.OPPORTUNITY_CYBER_LIMIT</v>
      </c>
      <c r="BZ46" s="133"/>
      <c r="DW46" s="224"/>
      <c r="DX46" s="223"/>
      <c r="DY46" s="223"/>
      <c r="DZ46" s="223"/>
      <c r="EA46" s="223"/>
      <c r="EB46" s="225"/>
    </row>
    <row r="47" spans="33:132" ht="15.75" customHeight="1" x14ac:dyDescent="0.2">
      <c r="BG47" s="263" t="s">
        <v>244</v>
      </c>
      <c r="BH47" s="76" t="str">
        <f>IF('SF DATA'!$J$37="","",'SF DATA'!$J$37)</f>
        <v/>
      </c>
      <c r="BI47" s="76" t="str">
        <f>IF('SF DATA'!$K$37="","",'SF DATA'!$K$37)</f>
        <v>&amp;=Master.OPPORTUNITY_CYBER_TYPE</v>
      </c>
      <c r="BJ47" s="21"/>
      <c r="BK47" s="21"/>
      <c r="BL47" s="95"/>
      <c r="BM47" s="96"/>
      <c r="BO47" s="95"/>
      <c r="BP47" s="95"/>
      <c r="BQ47" s="95"/>
      <c r="BR47" s="95"/>
      <c r="BT47" s="134" t="s">
        <v>244</v>
      </c>
      <c r="BU47" s="76" t="str">
        <f>IF('SF DATA'!$J$37="","",'SF DATA'!$J$37)</f>
        <v/>
      </c>
      <c r="BV47" s="76" t="str">
        <f>IF('SF DATA'!$K$37="","",'SF DATA'!$K$37)</f>
        <v>&amp;=Master.OPPORTUNITY_CYBER_TYPE</v>
      </c>
      <c r="BW47" s="21"/>
      <c r="BX47" s="21"/>
      <c r="BY47" s="95"/>
      <c r="BZ47" s="133"/>
      <c r="DW47" s="238" t="s">
        <v>1467</v>
      </c>
      <c r="DX47" s="223" t="str">
        <f>+T4</f>
        <v>&amp;=Master.OPPORTUNITY_OPP_POLICY_NUMBER</v>
      </c>
      <c r="DY47" s="223"/>
      <c r="DZ47" s="223"/>
      <c r="EA47" s="223"/>
      <c r="EB47" s="225"/>
    </row>
    <row r="48" spans="33:132" ht="15.75" customHeight="1" x14ac:dyDescent="0.2">
      <c r="BG48" s="263" t="s">
        <v>248</v>
      </c>
      <c r="BH48" s="76" t="str">
        <f>IF('SF DATA'!$J$39="","",'SF DATA'!$J$39)</f>
        <v/>
      </c>
      <c r="BI48" s="76" t="str">
        <f>IF('SF DATA'!$K$39="","",'SF DATA'!$K$39)</f>
        <v>&amp;=Master.OPPORTUNITY_CYBER_EXCLUSION</v>
      </c>
      <c r="BJ48" s="95"/>
      <c r="BK48" s="95"/>
      <c r="BL48" s="95"/>
      <c r="BM48" s="96"/>
      <c r="BO48" s="95"/>
      <c r="BP48" s="95"/>
      <c r="BQ48" s="95"/>
      <c r="BR48" s="95"/>
      <c r="BT48" s="134" t="s">
        <v>248</v>
      </c>
      <c r="BU48" s="76" t="str">
        <f>IF('SF DATA'!$J$39="","",'SF DATA'!$J$39)</f>
        <v/>
      </c>
      <c r="BV48" s="76" t="str">
        <f>IF('SF DATA'!$K$39="","",'SF DATA'!$K$39)</f>
        <v>&amp;=Master.OPPORTUNITY_CYBER_EXCLUSION</v>
      </c>
      <c r="BW48" s="95"/>
      <c r="BX48" s="95"/>
      <c r="BY48" s="95"/>
      <c r="BZ48" s="133"/>
      <c r="DW48" s="224"/>
      <c r="DX48" s="223"/>
      <c r="DY48" s="223"/>
      <c r="DZ48" s="223"/>
      <c r="EA48" s="223"/>
      <c r="EB48" s="225"/>
    </row>
    <row r="49" spans="59:132" ht="15.75" customHeight="1" thickBot="1" x14ac:dyDescent="0.25">
      <c r="BG49" s="92"/>
      <c r="BH49" s="118"/>
      <c r="BI49" s="118"/>
      <c r="BJ49" s="118"/>
      <c r="BK49" s="118"/>
      <c r="BL49" s="118"/>
      <c r="BM49" s="119"/>
      <c r="BO49" s="95"/>
      <c r="BP49" s="95"/>
      <c r="BQ49" s="95"/>
      <c r="BR49" s="95"/>
      <c r="BT49" s="138"/>
      <c r="BU49" s="118"/>
      <c r="BV49" s="118"/>
      <c r="BW49" s="118"/>
      <c r="BX49" s="118"/>
      <c r="BY49" s="118"/>
      <c r="BZ49" s="139"/>
      <c r="DW49" s="238" t="s">
        <v>1468</v>
      </c>
      <c r="DX49" s="223" t="s">
        <v>1614</v>
      </c>
      <c r="DY49" s="223"/>
      <c r="DZ49" s="223"/>
      <c r="EA49" s="223"/>
      <c r="EB49" s="225"/>
    </row>
    <row r="50" spans="59:132" ht="15.75" customHeight="1" thickBot="1" x14ac:dyDescent="0.25">
      <c r="BG50" s="391" t="s">
        <v>119</v>
      </c>
      <c r="BH50" s="392"/>
      <c r="BI50" s="392"/>
      <c r="BJ50" s="392"/>
      <c r="BK50" s="392"/>
      <c r="BL50" s="392"/>
      <c r="BM50" s="393"/>
      <c r="BO50" s="95"/>
      <c r="BP50" s="95"/>
      <c r="BQ50" s="95"/>
      <c r="BR50" s="95"/>
      <c r="BT50" s="463" t="s">
        <v>119</v>
      </c>
      <c r="BU50" s="392"/>
      <c r="BV50" s="392"/>
      <c r="BW50" s="392"/>
      <c r="BX50" s="392"/>
      <c r="BY50" s="392"/>
      <c r="BZ50" s="464"/>
      <c r="DW50" s="238" t="s">
        <v>1469</v>
      </c>
      <c r="DX50" s="223"/>
      <c r="DY50" s="223"/>
      <c r="DZ50" s="223"/>
      <c r="EA50" s="223"/>
      <c r="EB50" s="225"/>
    </row>
    <row r="51" spans="59:132" ht="15.75" customHeight="1" x14ac:dyDescent="0.2">
      <c r="BG51" s="423" t="s">
        <v>908</v>
      </c>
      <c r="BH51" s="424"/>
      <c r="BI51" s="424"/>
      <c r="BJ51" s="424"/>
      <c r="BK51" s="424"/>
      <c r="BL51" s="424"/>
      <c r="BM51" s="425"/>
      <c r="BO51" s="95"/>
      <c r="BP51" s="95"/>
      <c r="BQ51" s="95"/>
      <c r="BR51" s="95"/>
      <c r="BT51" s="465" t="s">
        <v>908</v>
      </c>
      <c r="BU51" s="424"/>
      <c r="BV51" s="424"/>
      <c r="BW51" s="424"/>
      <c r="BX51" s="424"/>
      <c r="BY51" s="424"/>
      <c r="BZ51" s="466"/>
      <c r="DW51" s="224"/>
      <c r="DX51" s="223"/>
      <c r="DY51" s="239"/>
      <c r="DZ51" s="240"/>
      <c r="EA51" s="241"/>
      <c r="EB51" s="225"/>
    </row>
    <row r="52" spans="59:132" ht="15.75" customHeight="1" x14ac:dyDescent="0.2">
      <c r="BG52" s="117"/>
      <c r="BH52" s="111"/>
      <c r="BI52" s="111"/>
      <c r="BJ52" s="111"/>
      <c r="BK52" s="111"/>
      <c r="BL52" s="111"/>
      <c r="BM52" s="112"/>
      <c r="BO52" s="95"/>
      <c r="BP52" s="95"/>
      <c r="BQ52" s="95"/>
      <c r="BR52" s="95"/>
      <c r="BT52" s="140"/>
      <c r="BU52" s="111"/>
      <c r="BV52" s="111"/>
      <c r="BW52" s="111"/>
      <c r="BX52" s="111"/>
      <c r="BY52" s="111"/>
      <c r="BZ52" s="123"/>
      <c r="DW52" s="238" t="s">
        <v>1470</v>
      </c>
      <c r="DX52" s="242" t="str">
        <f>IFERROR(+'SF DATA'!C77,"")</f>
        <v/>
      </c>
      <c r="DY52" s="243" t="s">
        <v>48</v>
      </c>
      <c r="DZ52" s="242" t="str">
        <f>IFERROR(+'SF DATA'!C76,"")</f>
        <v/>
      </c>
      <c r="EA52" s="243" t="s">
        <v>1471</v>
      </c>
      <c r="EB52" s="244">
        <v>100</v>
      </c>
    </row>
    <row r="53" spans="59:132" ht="15.75" customHeight="1" x14ac:dyDescent="0.2">
      <c r="BG53" s="124" t="s">
        <v>272</v>
      </c>
      <c r="BH53" s="125" t="s">
        <v>273</v>
      </c>
      <c r="BI53" s="95"/>
      <c r="BJ53" s="95"/>
      <c r="BK53" s="95"/>
      <c r="BL53" s="95"/>
      <c r="BM53" s="96"/>
      <c r="BO53" s="95"/>
      <c r="BP53" s="95"/>
      <c r="BQ53" s="95"/>
      <c r="BR53" s="95"/>
      <c r="BT53" s="124" t="s">
        <v>272</v>
      </c>
      <c r="BU53" s="125" t="s">
        <v>273</v>
      </c>
      <c r="BV53" s="95"/>
      <c r="BW53" s="95"/>
      <c r="BX53" s="95"/>
      <c r="BY53" s="95"/>
      <c r="BZ53" s="133"/>
      <c r="DW53" s="238" t="s">
        <v>1472</v>
      </c>
      <c r="DX53" s="245" t="str">
        <f>IFERROR(+DX52*DZ52,"")</f>
        <v/>
      </c>
      <c r="DY53" s="246"/>
      <c r="DZ53" s="247"/>
      <c r="EA53" s="243" t="s">
        <v>1473</v>
      </c>
      <c r="EB53" s="248">
        <v>2</v>
      </c>
    </row>
    <row r="54" spans="59:132" ht="15.75" customHeight="1" thickBot="1" x14ac:dyDescent="0.25">
      <c r="BG54" s="88"/>
      <c r="BH54" s="89"/>
      <c r="BI54" s="89"/>
      <c r="BJ54" s="89"/>
      <c r="BK54" s="89"/>
      <c r="BL54" s="89"/>
      <c r="BM54" s="90"/>
      <c r="BT54" s="136"/>
      <c r="BU54" s="89"/>
      <c r="BV54" s="89"/>
      <c r="BW54" s="89"/>
      <c r="BX54" s="89"/>
      <c r="BY54" s="89"/>
      <c r="BZ54" s="137"/>
      <c r="DW54" s="249"/>
      <c r="DX54" s="213"/>
      <c r="DY54" s="213"/>
      <c r="DZ54" s="213"/>
      <c r="EA54" s="213"/>
      <c r="EB54" s="248"/>
    </row>
    <row r="55" spans="59:132" ht="15.75" customHeight="1" thickBot="1" x14ac:dyDescent="0.25">
      <c r="BG55" s="391" t="s">
        <v>119</v>
      </c>
      <c r="BH55" s="392"/>
      <c r="BI55" s="392"/>
      <c r="BJ55" s="392"/>
      <c r="BK55" s="392"/>
      <c r="BL55" s="392"/>
      <c r="BM55" s="393"/>
      <c r="BT55" s="463" t="s">
        <v>119</v>
      </c>
      <c r="BU55" s="392"/>
      <c r="BV55" s="392"/>
      <c r="BW55" s="392"/>
      <c r="BX55" s="392"/>
      <c r="BY55" s="392"/>
      <c r="BZ55" s="464"/>
      <c r="DW55" s="238" t="s">
        <v>1474</v>
      </c>
      <c r="DX55" s="250" t="s">
        <v>1475</v>
      </c>
      <c r="DY55" s="250" t="s">
        <v>1476</v>
      </c>
      <c r="DZ55" s="250" t="s">
        <v>1477</v>
      </c>
      <c r="EA55" s="213"/>
      <c r="EB55" s="248"/>
    </row>
    <row r="56" spans="59:132" ht="15.75" customHeight="1" x14ac:dyDescent="0.2">
      <c r="BG56" s="423" t="s">
        <v>909</v>
      </c>
      <c r="BH56" s="424"/>
      <c r="BI56" s="424"/>
      <c r="BJ56" s="424"/>
      <c r="BK56" s="424"/>
      <c r="BL56" s="424"/>
      <c r="BM56" s="425"/>
      <c r="BT56" s="465" t="s">
        <v>909</v>
      </c>
      <c r="BU56" s="424"/>
      <c r="BV56" s="424"/>
      <c r="BW56" s="424"/>
      <c r="BX56" s="424"/>
      <c r="BY56" s="424"/>
      <c r="BZ56" s="466"/>
      <c r="DW56" s="238" t="s">
        <v>1478</v>
      </c>
      <c r="DX56" s="237" t="str">
        <f>IFERROR(IF((VLOOKUP(DX50,FAC!$A$3:$S$27,18,0))&gt;=0,(VLOOKUP(DX50,FAC!$A$3:$S$27,18,0)),""),"")</f>
        <v/>
      </c>
      <c r="DY56" s="251" t="str">
        <f>IFERROR(IF((VLOOKUP($DX$50,FAC!$A$3:$S$27,18,0))&lt;0,(VLOOKUP($DX$50,FAC!$A$3:$S$27,18,0)),""),"")</f>
        <v/>
      </c>
      <c r="DZ56" s="236">
        <f>IFERROR(SUM(DX56:DY56),"")</f>
        <v>0</v>
      </c>
      <c r="EA56" s="213"/>
      <c r="EB56" s="248"/>
    </row>
    <row r="57" spans="59:132" ht="15.75" customHeight="1" x14ac:dyDescent="0.2">
      <c r="BG57" s="117"/>
      <c r="BH57" s="111"/>
      <c r="BI57" s="111"/>
      <c r="BJ57" s="111"/>
      <c r="BK57" s="111"/>
      <c r="BL57" s="111"/>
      <c r="BM57" s="112"/>
      <c r="BT57" s="140"/>
      <c r="BU57" s="111"/>
      <c r="BV57" s="111"/>
      <c r="BW57" s="111"/>
      <c r="BX57" s="111"/>
      <c r="BY57" s="111"/>
      <c r="BZ57" s="123"/>
      <c r="DW57" s="238" t="s">
        <v>1479</v>
      </c>
      <c r="DX57" s="236" t="str">
        <f>IFERROR(IF($DY$56="","",($DY$56*((VLOOKUP($DX$50,FAC!$A$3:$S$27,10,0))+(VLOOKUP($DX$50,FAC!$A$3:$S$27,11,0)))*-1)),"")</f>
        <v/>
      </c>
      <c r="DY57" s="236" t="str">
        <f>IFERROR(IF($DX$56="","",($DX$56*((VLOOKUP($DX$50,FAC!$A$3:$S$27,10,0))+(VLOOKUP($DX$50,FAC!$A$3:$S$27,11,0)))*-1)),"")</f>
        <v/>
      </c>
      <c r="DZ57" s="236">
        <f t="shared" ref="DZ57:DZ60" si="9">IFERROR(SUM(DX57:DY57),"")</f>
        <v>0</v>
      </c>
      <c r="EA57" s="213"/>
      <c r="EB57" s="248"/>
    </row>
    <row r="58" spans="59:132" ht="15.75" customHeight="1" x14ac:dyDescent="0.2">
      <c r="BG58" s="121" t="s">
        <v>20</v>
      </c>
      <c r="BH58" s="122" t="str">
        <f>IF(+'SF DATA'!$Q$21="","",+'SF DATA'!$Q$21)</f>
        <v/>
      </c>
      <c r="BI58" s="95"/>
      <c r="BJ58" s="95"/>
      <c r="BK58" s="95"/>
      <c r="BL58" s="95"/>
      <c r="BM58" s="96"/>
      <c r="BT58" s="141" t="s">
        <v>20</v>
      </c>
      <c r="BU58" s="122" t="str">
        <f>IF(+'SF DATA'!$Q$21="","",+'SF DATA'!$Q$21)</f>
        <v/>
      </c>
      <c r="BV58" s="95"/>
      <c r="BW58" s="95"/>
      <c r="BX58" s="95"/>
      <c r="BY58" s="95"/>
      <c r="BZ58" s="133"/>
      <c r="DW58" s="238" t="s">
        <v>1480</v>
      </c>
      <c r="DX58" s="236" t="str">
        <f>IFERROR(IF($DY$56="","",($DY$56*(VLOOKUP($DX$50,FAC!$A$3:$S$27,13,0))*-1)),"")</f>
        <v/>
      </c>
      <c r="DY58" s="236" t="str">
        <f>IFERROR(IF($DX$56="","",($DX$56*(VLOOKUP($DX$50,FAC!$A$3:$S$27,13,0))*-1)),"")</f>
        <v/>
      </c>
      <c r="DZ58" s="236">
        <f t="shared" si="9"/>
        <v>0</v>
      </c>
      <c r="EA58" s="213"/>
      <c r="EB58" s="248"/>
    </row>
    <row r="59" spans="59:132" ht="15.75" customHeight="1" thickBot="1" x14ac:dyDescent="0.25">
      <c r="BG59" s="88"/>
      <c r="BH59" s="89"/>
      <c r="BI59" s="89"/>
      <c r="BJ59" s="89"/>
      <c r="BK59" s="89"/>
      <c r="BL59" s="89"/>
      <c r="BM59" s="90"/>
      <c r="BT59" s="108"/>
      <c r="BU59" s="109"/>
      <c r="BV59" s="109"/>
      <c r="BW59" s="109"/>
      <c r="BX59" s="109"/>
      <c r="BY59" s="109"/>
      <c r="BZ59" s="110"/>
      <c r="DW59" s="238" t="s">
        <v>1481</v>
      </c>
      <c r="DX59" s="236" t="str">
        <f>IFERROR(IF($DY$56="","",($DY$56*(VLOOKUP($DX$50,FAC!$A$3:$S$27,14,0))*-1)),"")</f>
        <v/>
      </c>
      <c r="DY59" s="236" t="str">
        <f>IFERROR(IF($DX$56="","",($DX$56*(VLOOKUP($DX$50,FAC!$A$3:$S$27,14,0))*-1)),"")</f>
        <v/>
      </c>
      <c r="DZ59" s="236">
        <f t="shared" si="9"/>
        <v>0</v>
      </c>
      <c r="EA59" s="213"/>
      <c r="EB59" s="248"/>
    </row>
    <row r="60" spans="59:132" ht="15.75" customHeight="1" thickBot="1" x14ac:dyDescent="0.25">
      <c r="BT60" s="463" t="s">
        <v>119</v>
      </c>
      <c r="BU60" s="392"/>
      <c r="BV60" s="392"/>
      <c r="BW60" s="392"/>
      <c r="BX60" s="392"/>
      <c r="BY60" s="392"/>
      <c r="BZ60" s="464"/>
      <c r="DW60" s="238" t="s">
        <v>1482</v>
      </c>
      <c r="DX60" s="236" t="str">
        <f>IFERROR(IF(DX56&lt;&gt;"","",(DY56+DX57+DX58+DX59)),"")</f>
        <v/>
      </c>
      <c r="DY60" s="236" t="str">
        <f>IFERROR(IF(DY56&lt;&gt;"","",(DX56+DY57+DY58+DY59)),"")</f>
        <v/>
      </c>
      <c r="DZ60" s="236">
        <f t="shared" si="9"/>
        <v>0</v>
      </c>
      <c r="EA60" s="223"/>
      <c r="EB60" s="248"/>
    </row>
    <row r="61" spans="59:132" ht="15.75" customHeight="1" thickBot="1" x14ac:dyDescent="0.25">
      <c r="BT61" s="465" t="s">
        <v>1615</v>
      </c>
      <c r="BU61" s="424"/>
      <c r="BV61" s="424"/>
      <c r="BW61" s="424"/>
      <c r="BX61" s="424"/>
      <c r="BY61" s="424"/>
      <c r="BZ61" s="466"/>
      <c r="DW61" s="226"/>
      <c r="DX61" s="227"/>
      <c r="DY61" s="227"/>
      <c r="DZ61" s="227"/>
      <c r="EA61" s="227"/>
      <c r="EB61" s="228"/>
    </row>
    <row r="62" spans="59:132" ht="15.75" customHeight="1" x14ac:dyDescent="0.2">
      <c r="BT62" s="140"/>
      <c r="BU62" s="111"/>
      <c r="BV62" s="111"/>
      <c r="BW62" s="111"/>
      <c r="BX62" s="111"/>
      <c r="BY62" s="111"/>
      <c r="BZ62" s="123"/>
    </row>
    <row r="63" spans="59:132" ht="15.75" customHeight="1" x14ac:dyDescent="0.2">
      <c r="BT63" s="141" t="s">
        <v>529</v>
      </c>
      <c r="BU63" s="122" t="str">
        <f>IF('SF DATA'!$J$42="","",'SF DATA'!$J$42)</f>
        <v>&amp;=Master.OPPORTUNITY_ATTACHMENTPOINT</v>
      </c>
      <c r="BV63" s="95"/>
      <c r="BW63" s="95"/>
      <c r="BX63" s="95"/>
      <c r="BY63" s="95"/>
      <c r="BZ63" s="133"/>
    </row>
    <row r="64" spans="59:132" ht="15.75" customHeight="1" thickBot="1" x14ac:dyDescent="0.25">
      <c r="BT64" s="108"/>
      <c r="BU64" s="109"/>
      <c r="BV64" s="109"/>
      <c r="BW64" s="109"/>
      <c r="BX64" s="109"/>
      <c r="BY64" s="109"/>
      <c r="BZ64" s="110"/>
    </row>
    <row r="65" spans="72:78" ht="15.75" customHeight="1" thickBot="1" x14ac:dyDescent="0.25">
      <c r="BT65" s="391" t="s">
        <v>119</v>
      </c>
      <c r="BU65" s="392"/>
      <c r="BV65" s="392"/>
      <c r="BW65" s="392"/>
      <c r="BX65" s="392"/>
      <c r="BY65" s="392"/>
      <c r="BZ65" s="393"/>
    </row>
    <row r="66" spans="72:78" ht="15.75" customHeight="1" x14ac:dyDescent="0.2">
      <c r="BT66" s="423" t="s">
        <v>1666</v>
      </c>
      <c r="BU66" s="424"/>
      <c r="BV66" s="424"/>
      <c r="BW66" s="424"/>
      <c r="BX66" s="424"/>
      <c r="BY66" s="424"/>
      <c r="BZ66" s="425"/>
    </row>
    <row r="67" spans="72:78" ht="15.75" customHeight="1" x14ac:dyDescent="0.2">
      <c r="BT67" s="117"/>
      <c r="BU67" s="111"/>
      <c r="BV67" s="111"/>
      <c r="BW67" s="111"/>
      <c r="BX67" s="111"/>
      <c r="BY67" s="111"/>
      <c r="BZ67" s="112"/>
    </row>
    <row r="68" spans="72:78" ht="15.75" customHeight="1" x14ac:dyDescent="0.2">
      <c r="BT68" s="124" t="s">
        <v>272</v>
      </c>
      <c r="BU68" s="125" t="s">
        <v>273</v>
      </c>
      <c r="BV68" s="95"/>
      <c r="BW68" s="95"/>
      <c r="BX68" s="95"/>
      <c r="BY68" s="95"/>
      <c r="BZ68" s="96"/>
    </row>
    <row r="69" spans="72:78" ht="15.75" customHeight="1" thickBot="1" x14ac:dyDescent="0.25">
      <c r="BT69" s="88"/>
      <c r="BU69" s="89"/>
      <c r="BV69" s="89"/>
      <c r="BW69" s="89"/>
      <c r="BX69" s="89"/>
      <c r="BY69" s="89"/>
      <c r="BZ69" s="90"/>
    </row>
    <row r="70" spans="72:78" ht="15.75" customHeight="1" thickBot="1" x14ac:dyDescent="0.25">
      <c r="BT70" s="391" t="s">
        <v>119</v>
      </c>
      <c r="BU70" s="392"/>
      <c r="BV70" s="392"/>
      <c r="BW70" s="392"/>
      <c r="BX70" s="392"/>
      <c r="BY70" s="392"/>
      <c r="BZ70" s="393"/>
    </row>
    <row r="71" spans="72:78" ht="15.75" customHeight="1" x14ac:dyDescent="0.2">
      <c r="BT71" s="423" t="s">
        <v>1667</v>
      </c>
      <c r="BU71" s="424"/>
      <c r="BV71" s="424"/>
      <c r="BW71" s="424"/>
      <c r="BX71" s="424"/>
      <c r="BY71" s="424"/>
      <c r="BZ71" s="425"/>
    </row>
    <row r="72" spans="72:78" ht="15.75" customHeight="1" x14ac:dyDescent="0.2">
      <c r="BT72" s="117"/>
      <c r="BU72" s="111"/>
      <c r="BV72" s="111"/>
      <c r="BW72" s="111"/>
      <c r="BX72" s="111"/>
      <c r="BY72" s="111"/>
      <c r="BZ72" s="112"/>
    </row>
    <row r="73" spans="72:78" ht="15.75" customHeight="1" x14ac:dyDescent="0.2">
      <c r="BT73" s="124" t="s">
        <v>272</v>
      </c>
      <c r="BU73" s="125" t="s">
        <v>273</v>
      </c>
      <c r="BV73" s="95"/>
      <c r="BW73" s="95"/>
      <c r="BX73" s="95"/>
      <c r="BY73" s="95"/>
      <c r="BZ73" s="96"/>
    </row>
    <row r="74" spans="72:78" ht="15.75" customHeight="1" thickBot="1" x14ac:dyDescent="0.25">
      <c r="BT74" s="88"/>
      <c r="BU74" s="89"/>
      <c r="BV74" s="89"/>
      <c r="BW74" s="89"/>
      <c r="BX74" s="89"/>
      <c r="BY74" s="89"/>
      <c r="BZ74" s="90"/>
    </row>
    <row r="75" spans="72:78" ht="15.75" customHeight="1" thickBot="1" x14ac:dyDescent="0.25">
      <c r="BT75" s="391" t="s">
        <v>119</v>
      </c>
      <c r="BU75" s="392"/>
      <c r="BV75" s="392"/>
      <c r="BW75" s="392"/>
      <c r="BX75" s="392"/>
      <c r="BY75" s="392"/>
      <c r="BZ75" s="393"/>
    </row>
    <row r="76" spans="72:78" ht="15.75" customHeight="1" x14ac:dyDescent="0.2">
      <c r="BT76" s="423" t="s">
        <v>1668</v>
      </c>
      <c r="BU76" s="424"/>
      <c r="BV76" s="424"/>
      <c r="BW76" s="424"/>
      <c r="BX76" s="424"/>
      <c r="BY76" s="424"/>
      <c r="BZ76" s="425"/>
    </row>
    <row r="77" spans="72:78" ht="15.75" customHeight="1" x14ac:dyDescent="0.2">
      <c r="BT77" s="117"/>
      <c r="BU77" s="111"/>
      <c r="BV77" s="111"/>
      <c r="BW77" s="111"/>
      <c r="BX77" s="111"/>
      <c r="BY77" s="111"/>
      <c r="BZ77" s="112"/>
    </row>
    <row r="78" spans="72:78" ht="15.75" customHeight="1" x14ac:dyDescent="0.2">
      <c r="BT78" s="124" t="s">
        <v>272</v>
      </c>
      <c r="BU78" s="125" t="s">
        <v>273</v>
      </c>
      <c r="BV78" s="95"/>
      <c r="BW78" s="95"/>
      <c r="BX78" s="95"/>
      <c r="BY78" s="95"/>
      <c r="BZ78" s="96"/>
    </row>
    <row r="79" spans="72:78" ht="15.75" customHeight="1" thickBot="1" x14ac:dyDescent="0.25">
      <c r="BT79" s="88"/>
      <c r="BU79" s="89"/>
      <c r="BV79" s="89"/>
      <c r="BW79" s="89"/>
      <c r="BX79" s="89"/>
      <c r="BY79" s="89"/>
      <c r="BZ79" s="90"/>
    </row>
    <row r="80" spans="72:78" ht="15.75" customHeight="1" thickBot="1" x14ac:dyDescent="0.25">
      <c r="BT80" s="391" t="s">
        <v>119</v>
      </c>
      <c r="BU80" s="392"/>
      <c r="BV80" s="392"/>
      <c r="BW80" s="392"/>
      <c r="BX80" s="392"/>
      <c r="BY80" s="392"/>
      <c r="BZ80" s="393"/>
    </row>
    <row r="81" spans="72:78" ht="15.75" customHeight="1" x14ac:dyDescent="0.2">
      <c r="BT81" s="423" t="s">
        <v>1669</v>
      </c>
      <c r="BU81" s="424"/>
      <c r="BV81" s="424"/>
      <c r="BW81" s="424"/>
      <c r="BX81" s="424"/>
      <c r="BY81" s="424"/>
      <c r="BZ81" s="425"/>
    </row>
    <row r="82" spans="72:78" ht="15.75" customHeight="1" x14ac:dyDescent="0.2">
      <c r="BT82" s="117"/>
      <c r="BU82" s="111"/>
      <c r="BV82" s="111"/>
      <c r="BW82" s="111"/>
      <c r="BX82" s="111"/>
      <c r="BY82" s="111"/>
      <c r="BZ82" s="112"/>
    </row>
    <row r="83" spans="72:78" ht="15.75" customHeight="1" x14ac:dyDescent="0.2">
      <c r="BT83" s="124" t="s">
        <v>272</v>
      </c>
      <c r="BU83" s="125" t="s">
        <v>273</v>
      </c>
      <c r="BV83" s="95"/>
      <c r="BW83" s="95"/>
      <c r="BX83" s="95"/>
      <c r="BY83" s="95"/>
      <c r="BZ83" s="96"/>
    </row>
    <row r="84" spans="72:78" ht="15.75" customHeight="1" thickBot="1" x14ac:dyDescent="0.25">
      <c r="BT84" s="88"/>
      <c r="BU84" s="89"/>
      <c r="BV84" s="89"/>
      <c r="BW84" s="89"/>
      <c r="BX84" s="89"/>
      <c r="BY84" s="89"/>
      <c r="BZ84" s="90"/>
    </row>
    <row r="85" spans="72:78" ht="15.75" customHeight="1" thickBot="1" x14ac:dyDescent="0.25">
      <c r="BT85" s="391" t="s">
        <v>119</v>
      </c>
      <c r="BU85" s="392"/>
      <c r="BV85" s="392"/>
      <c r="BW85" s="392"/>
      <c r="BX85" s="392"/>
      <c r="BY85" s="392"/>
      <c r="BZ85" s="393"/>
    </row>
    <row r="86" spans="72:78" ht="15.75" customHeight="1" x14ac:dyDescent="0.2">
      <c r="BT86" s="423" t="s">
        <v>1665</v>
      </c>
      <c r="BU86" s="424"/>
      <c r="BV86" s="424"/>
      <c r="BW86" s="424"/>
      <c r="BX86" s="424"/>
      <c r="BY86" s="424"/>
      <c r="BZ86" s="425"/>
    </row>
    <row r="87" spans="72:78" ht="15.75" customHeight="1" x14ac:dyDescent="0.2">
      <c r="BT87" s="117"/>
      <c r="BU87" s="111"/>
      <c r="BV87" s="111"/>
      <c r="BW87" s="111"/>
      <c r="BX87" s="111"/>
      <c r="BY87" s="111"/>
      <c r="BZ87" s="112"/>
    </row>
    <row r="88" spans="72:78" ht="15.75" customHeight="1" x14ac:dyDescent="0.2">
      <c r="BT88" s="124" t="s">
        <v>272</v>
      </c>
      <c r="BU88" s="125" t="s">
        <v>273</v>
      </c>
      <c r="BV88" s="95"/>
      <c r="BW88" s="95"/>
      <c r="BX88" s="95"/>
      <c r="BY88" s="95"/>
      <c r="BZ88" s="96"/>
    </row>
    <row r="89" spans="72:78" ht="15.75" customHeight="1" thickBot="1" x14ac:dyDescent="0.25">
      <c r="BT89" s="88"/>
      <c r="BU89" s="89"/>
      <c r="BV89" s="89"/>
      <c r="BW89" s="89"/>
      <c r="BX89" s="89"/>
      <c r="BY89" s="89"/>
      <c r="BZ89" s="90"/>
    </row>
    <row r="90" spans="72:78" ht="15.75" customHeight="1" thickBot="1" x14ac:dyDescent="0.25">
      <c r="BT90" s="391" t="s">
        <v>119</v>
      </c>
      <c r="BU90" s="392"/>
      <c r="BV90" s="392"/>
      <c r="BW90" s="392"/>
      <c r="BX90" s="392"/>
      <c r="BY90" s="392"/>
      <c r="BZ90" s="393"/>
    </row>
    <row r="91" spans="72:78" ht="15.75" customHeight="1" x14ac:dyDescent="0.2">
      <c r="BT91" s="423" t="s">
        <v>1670</v>
      </c>
      <c r="BU91" s="424"/>
      <c r="BV91" s="424"/>
      <c r="BW91" s="424"/>
      <c r="BX91" s="424"/>
      <c r="BY91" s="424"/>
      <c r="BZ91" s="425"/>
    </row>
    <row r="92" spans="72:78" ht="15.75" customHeight="1" x14ac:dyDescent="0.2">
      <c r="BT92" s="117"/>
      <c r="BU92" s="111"/>
      <c r="BV92" s="111"/>
      <c r="BW92" s="111"/>
      <c r="BX92" s="111"/>
      <c r="BY92" s="111"/>
      <c r="BZ92" s="112"/>
    </row>
    <row r="93" spans="72:78" ht="15.75" customHeight="1" x14ac:dyDescent="0.2">
      <c r="BT93" s="124" t="s">
        <v>272</v>
      </c>
      <c r="BU93" s="125" t="s">
        <v>273</v>
      </c>
      <c r="BV93" s="95"/>
      <c r="BW93" s="95"/>
      <c r="BX93" s="95"/>
      <c r="BY93" s="95"/>
      <c r="BZ93" s="96"/>
    </row>
    <row r="94" spans="72:78" ht="15.75" customHeight="1" thickBot="1" x14ac:dyDescent="0.25">
      <c r="BT94" s="88"/>
      <c r="BU94" s="89"/>
      <c r="BV94" s="89"/>
      <c r="BW94" s="89"/>
      <c r="BX94" s="89"/>
      <c r="BY94" s="89"/>
      <c r="BZ94" s="90"/>
    </row>
  </sheetData>
  <mergeCells count="82">
    <mergeCell ref="BT75:BZ75"/>
    <mergeCell ref="BT90:BZ90"/>
    <mergeCell ref="BT91:BZ91"/>
    <mergeCell ref="BT76:BZ76"/>
    <mergeCell ref="BT80:BZ80"/>
    <mergeCell ref="BT81:BZ81"/>
    <mergeCell ref="BT85:BZ85"/>
    <mergeCell ref="BT86:BZ86"/>
    <mergeCell ref="DL12:DU12"/>
    <mergeCell ref="BT65:BZ65"/>
    <mergeCell ref="BT66:BZ66"/>
    <mergeCell ref="BT70:BZ70"/>
    <mergeCell ref="BT71:BZ71"/>
    <mergeCell ref="BT60:BZ60"/>
    <mergeCell ref="BT61:BZ61"/>
    <mergeCell ref="BT55:BZ55"/>
    <mergeCell ref="BT56:BZ56"/>
    <mergeCell ref="BT34:BZ34"/>
    <mergeCell ref="BT43:BZ43"/>
    <mergeCell ref="BT44:BZ44"/>
    <mergeCell ref="BT50:BZ50"/>
    <mergeCell ref="BT51:BZ51"/>
    <mergeCell ref="CB1:CD1"/>
    <mergeCell ref="AV1:AZ1"/>
    <mergeCell ref="DW1:EB1"/>
    <mergeCell ref="DW45:EB45"/>
    <mergeCell ref="DL16:DM16"/>
    <mergeCell ref="DO16:DT16"/>
    <mergeCell ref="BO21:BR21"/>
    <mergeCell ref="CO10:CW10"/>
    <mergeCell ref="CP11:CV11"/>
    <mergeCell ref="CY1:DA1"/>
    <mergeCell ref="DC1:DJ1"/>
    <mergeCell ref="DL1:DU1"/>
    <mergeCell ref="CO1:CW1"/>
    <mergeCell ref="CO2:CW2"/>
    <mergeCell ref="CF1:CH1"/>
    <mergeCell ref="CJ1:CM1"/>
    <mergeCell ref="BO1:BZ1"/>
    <mergeCell ref="BO2:BR2"/>
    <mergeCell ref="BT2:BZ2"/>
    <mergeCell ref="BT6:BZ6"/>
    <mergeCell ref="E1:J1"/>
    <mergeCell ref="L1:Q1"/>
    <mergeCell ref="AG1:AL1"/>
    <mergeCell ref="S1:X1"/>
    <mergeCell ref="Z1:AE1"/>
    <mergeCell ref="AN1:AT1"/>
    <mergeCell ref="BB1:BM1"/>
    <mergeCell ref="BB2:BE2"/>
    <mergeCell ref="BG2:BM2"/>
    <mergeCell ref="BB14:BE14"/>
    <mergeCell ref="BB15:BE17"/>
    <mergeCell ref="BB18:BE21"/>
    <mergeCell ref="BG55:BM55"/>
    <mergeCell ref="BG56:BM56"/>
    <mergeCell ref="BG50:BM50"/>
    <mergeCell ref="BG51:BM51"/>
    <mergeCell ref="BG33:BM33"/>
    <mergeCell ref="BG34:BM34"/>
    <mergeCell ref="BG43:BM43"/>
    <mergeCell ref="BG44:BM44"/>
    <mergeCell ref="BG22:BM22"/>
    <mergeCell ref="BG23:BM23"/>
    <mergeCell ref="BO22:BR24"/>
    <mergeCell ref="BO25:BR28"/>
    <mergeCell ref="BT22:BZ22"/>
    <mergeCell ref="BT23:BZ23"/>
    <mergeCell ref="BT33:BZ33"/>
    <mergeCell ref="EB3:EB4"/>
    <mergeCell ref="AG3:AG4"/>
    <mergeCell ref="AH3:AH4"/>
    <mergeCell ref="AI3:AI4"/>
    <mergeCell ref="AJ3:AJ4"/>
    <mergeCell ref="AL3:AL4"/>
    <mergeCell ref="S11:U11"/>
    <mergeCell ref="DW3:DW4"/>
    <mergeCell ref="DX3:DX4"/>
    <mergeCell ref="DY3:DY4"/>
    <mergeCell ref="DZ3:DZ4"/>
    <mergeCell ref="BG6:BM6"/>
    <mergeCell ref="DL7:DM7"/>
  </mergeCells>
  <conditionalFormatting sqref="X15">
    <cfRule type="expression" dxfId="49" priority="29">
      <formula>+$X$15="Don't Change"</formula>
    </cfRule>
  </conditionalFormatting>
  <conditionalFormatting sqref="AO7">
    <cfRule type="expression" dxfId="48" priority="37">
      <formula>$AO$7=0</formula>
    </cfRule>
  </conditionalFormatting>
  <conditionalFormatting sqref="AS17">
    <cfRule type="expression" dxfId="47" priority="3">
      <formula>$AS$17="VERIFICAR CON UW"</formula>
    </cfRule>
  </conditionalFormatting>
  <conditionalFormatting sqref="AV4:AV13 AV15:AV18">
    <cfRule type="notContainsBlanks" dxfId="46" priority="95">
      <formula>LEN(TRIM(AV4))&gt;0</formula>
    </cfRule>
  </conditionalFormatting>
  <conditionalFormatting sqref="BB6:BB10">
    <cfRule type="containsText" dxfId="45" priority="27" operator="containsText" text="19">
      <formula>NOT(ISERROR(SEARCH("19",BB6)))</formula>
    </cfRule>
    <cfRule type="containsText" dxfId="44" priority="28" operator="containsText" text="2">
      <formula>NOT(ISERROR(SEARCH("2",BB6)))</formula>
    </cfRule>
  </conditionalFormatting>
  <conditionalFormatting sqref="BB2:BM21">
    <cfRule type="expression" dxfId="43" priority="19">
      <formula>$AV$4&lt;&gt;2</formula>
    </cfRule>
  </conditionalFormatting>
  <conditionalFormatting sqref="BG22:BM32">
    <cfRule type="expression" dxfId="42" priority="24">
      <formula>$BB$6&lt;&gt;2</formula>
    </cfRule>
  </conditionalFormatting>
  <conditionalFormatting sqref="BG33:BM42">
    <cfRule type="expression" dxfId="41" priority="23">
      <formula>$BB$7&lt;&gt;19</formula>
    </cfRule>
  </conditionalFormatting>
  <conditionalFormatting sqref="BG43:BM49">
    <cfRule type="expression" dxfId="40" priority="22">
      <formula>$BB$8&lt;&gt;19</formula>
    </cfRule>
  </conditionalFormatting>
  <conditionalFormatting sqref="BG50:BM54">
    <cfRule type="expression" dxfId="39" priority="21">
      <formula>$BB$9&lt;&gt;2</formula>
    </cfRule>
  </conditionalFormatting>
  <conditionalFormatting sqref="BG55:BM59">
    <cfRule type="expression" dxfId="38" priority="20">
      <formula>$BB$10&lt;&gt;2</formula>
    </cfRule>
  </conditionalFormatting>
  <conditionalFormatting sqref="BO6:BO17">
    <cfRule type="containsText" dxfId="37" priority="25" operator="containsText" text="19">
      <formula>NOT(ISERROR(SEARCH("19",BO6)))</formula>
    </cfRule>
    <cfRule type="containsText" dxfId="36" priority="26" operator="containsText" text="2">
      <formula>NOT(ISERROR(SEARCH("2",BO6)))</formula>
    </cfRule>
  </conditionalFormatting>
  <conditionalFormatting sqref="BO2:BZ21 BO22:BR28">
    <cfRule type="expression" dxfId="35" priority="6">
      <formula>$AV$6&lt;&gt;2</formula>
    </cfRule>
  </conditionalFormatting>
  <conditionalFormatting sqref="BT22:BZ32">
    <cfRule type="expression" dxfId="34" priority="18">
      <formula>$BO$6&lt;&gt;2</formula>
    </cfRule>
  </conditionalFormatting>
  <conditionalFormatting sqref="BT33:BZ42">
    <cfRule type="expression" dxfId="33" priority="17">
      <formula>$BO$7&lt;&gt;19</formula>
    </cfRule>
  </conditionalFormatting>
  <conditionalFormatting sqref="BT43:BZ49">
    <cfRule type="expression" dxfId="32" priority="16">
      <formula>$BO$8&lt;&gt;19</formula>
    </cfRule>
  </conditionalFormatting>
  <conditionalFormatting sqref="BT50:BZ54">
    <cfRule type="expression" dxfId="31" priority="15">
      <formula>$BO$9&lt;&gt;2</formula>
    </cfRule>
  </conditionalFormatting>
  <conditionalFormatting sqref="BT55:BZ59">
    <cfRule type="expression" dxfId="30" priority="14">
      <formula>$BO$10&lt;&gt;2</formula>
    </cfRule>
  </conditionalFormatting>
  <conditionalFormatting sqref="BT60:BZ64">
    <cfRule type="expression" dxfId="29" priority="13">
      <formula>$BO$11&lt;&gt;2</formula>
    </cfRule>
  </conditionalFormatting>
  <conditionalFormatting sqref="BT65:BZ69">
    <cfRule type="expression" dxfId="28" priority="12">
      <formula>$BO$12&lt;&gt;2</formula>
    </cfRule>
  </conditionalFormatting>
  <conditionalFormatting sqref="BT70:BZ74">
    <cfRule type="expression" dxfId="27" priority="11">
      <formula>$BO$13&lt;&gt;2</formula>
    </cfRule>
  </conditionalFormatting>
  <conditionalFormatting sqref="BT75:BZ79">
    <cfRule type="expression" dxfId="26" priority="10">
      <formula>$BO$14&lt;&gt;2</formula>
    </cfRule>
  </conditionalFormatting>
  <conditionalFormatting sqref="BT80:BZ84">
    <cfRule type="expression" dxfId="25" priority="9">
      <formula>$BO$15&lt;&gt;2</formula>
    </cfRule>
  </conditionalFormatting>
  <conditionalFormatting sqref="BT85:BZ89">
    <cfRule type="expression" dxfId="24" priority="8">
      <formula>$BO$16&lt;&gt;2</formula>
    </cfRule>
  </conditionalFormatting>
  <conditionalFormatting sqref="BT90:BZ94">
    <cfRule type="expression" dxfId="23" priority="7">
      <formula>$BO$17&lt;&gt;2</formula>
    </cfRule>
  </conditionalFormatting>
  <conditionalFormatting sqref="CK2">
    <cfRule type="notContainsBlanks" dxfId="22" priority="69">
      <formula>LEN(TRIM(CK2))&gt;0</formula>
    </cfRule>
  </conditionalFormatting>
  <conditionalFormatting sqref="CK4:CL21">
    <cfRule type="notContainsBlanks" dxfId="21" priority="107">
      <formula>LEN(TRIM(CK4))&gt;0</formula>
    </cfRule>
  </conditionalFormatting>
  <conditionalFormatting sqref="CP11">
    <cfRule type="containsText" dxfId="20" priority="72" operator="containsText" text="Macro">
      <formula>NOT(ISERROR(SEARCH("Macro",CP11)))</formula>
    </cfRule>
  </conditionalFormatting>
  <conditionalFormatting sqref="CS5">
    <cfRule type="expression" dxfId="19" priority="102">
      <formula>#REF!=0</formula>
    </cfRule>
  </conditionalFormatting>
  <conditionalFormatting sqref="DO16">
    <cfRule type="expression" dxfId="18" priority="1">
      <formula>$DN$16="m"</formula>
    </cfRule>
    <cfRule type="expression" dxfId="17" priority="2" stopIfTrue="1">
      <formula>$DN$16="A"</formula>
    </cfRule>
  </conditionalFormatting>
  <conditionalFormatting sqref="DQ3:DR3">
    <cfRule type="notContainsBlanks" dxfId="16" priority="67">
      <formula>LEN(TRIM(DQ3))&gt;0</formula>
    </cfRule>
  </conditionalFormatting>
  <hyperlinks>
    <hyperlink ref="DO16:DT16" location="GENIUS!DX47" display="Click aquí para revisar y realizar ajuste manual a los fac &quot;Net Premium Entered&quot;." xr:uid="{7A29CFCF-1CDA-427B-8EA4-1ECF3AF1AD11}"/>
  </hyperlinks>
  <pageMargins left="0.511811024" right="0.511811024" top="0.78740157499999996" bottom="0.78740157499999996" header="0.31496062000000002" footer="0.31496062000000002"/>
  <pageSetup paperSize="9" orientation="portrait" verticalDpi="599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3</xdr:col>
                <xdr:colOff>514350</xdr:colOff>
                <xdr:row>21</xdr:row>
                <xdr:rowOff>104775</xdr:rowOff>
              </from>
              <to>
                <xdr:col>6</xdr:col>
                <xdr:colOff>638175</xdr:colOff>
                <xdr:row>25</xdr:row>
                <xdr:rowOff>161925</xdr:rowOff>
              </to>
            </anchor>
          </controlPr>
        </control>
      </mc:Choice>
      <mc:Fallback>
        <control shapeId="4099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200-000002000000}">
            <xm:f>'SF DATA'!$E$16="NO EMITIR, VERIFICAR"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S11:U11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C6FB9A9-6A0D-4D03-9167-F5FF0428A434}">
          <x14:formula1>
            <xm:f>FAC!$A$3:$A$27</xm:f>
          </x14:formula1>
          <xm:sqref>DX50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3F964-875F-4E13-88C8-24B8DEEB28F4}">
  <sheetPr codeName="Sheet6">
    <tabColor theme="4" tint="0.39997558519241921"/>
  </sheetPr>
  <dimension ref="A1:AC33"/>
  <sheetViews>
    <sheetView zoomScale="70" zoomScaleNormal="70" workbookViewId="0">
      <selection activeCell="D40" sqref="D40"/>
    </sheetView>
  </sheetViews>
  <sheetFormatPr defaultRowHeight="14.25" x14ac:dyDescent="0.2"/>
  <cols>
    <col min="1" max="3" width="15.125" style="221" customWidth="1"/>
    <col min="4" max="4" width="29.25" style="221" customWidth="1"/>
    <col min="5" max="5" width="13.375" style="221" customWidth="1"/>
    <col min="6" max="6" width="29.25" style="221" customWidth="1"/>
    <col min="7" max="7" width="14.375" style="221" customWidth="1"/>
    <col min="8" max="8" width="20.625" style="221" customWidth="1"/>
    <col min="9" max="9" width="22.25" style="221" customWidth="1"/>
    <col min="10" max="10" width="19.625" style="221" customWidth="1"/>
    <col min="11" max="11" width="15.625" style="221" customWidth="1"/>
    <col min="12" max="12" width="26.5" style="221" customWidth="1"/>
    <col min="13" max="14" width="12.25" style="221" customWidth="1"/>
    <col min="15" max="15" width="20.875" style="221" customWidth="1"/>
    <col min="16" max="16" width="18.75" style="221" bestFit="1" customWidth="1"/>
    <col min="17" max="17" width="14" style="221" customWidth="1"/>
    <col min="18" max="20" width="21.25" style="221" customWidth="1"/>
    <col min="21" max="24" width="14.625" style="221" customWidth="1"/>
    <col min="25" max="26" width="12.625" style="221" customWidth="1"/>
    <col min="27" max="27" width="22.125" style="207" bestFit="1" customWidth="1"/>
    <col min="28" max="29" width="19.75" style="68" customWidth="1"/>
  </cols>
  <sheetData>
    <row r="1" spans="1:29" ht="21" x14ac:dyDescent="0.2">
      <c r="A1" s="467" t="s">
        <v>223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213"/>
      <c r="U1" s="214"/>
      <c r="V1" s="213" t="s">
        <v>712</v>
      </c>
      <c r="W1" s="213" t="s">
        <v>713</v>
      </c>
      <c r="X1" s="214"/>
      <c r="Y1" s="214"/>
      <c r="Z1" s="214"/>
      <c r="AB1" s="66"/>
      <c r="AC1" s="66"/>
    </row>
    <row r="2" spans="1:29" s="57" customFormat="1" ht="60" x14ac:dyDescent="0.2">
      <c r="A2" s="67" t="s">
        <v>714</v>
      </c>
      <c r="B2" s="67" t="s">
        <v>715</v>
      </c>
      <c r="C2" s="67" t="s">
        <v>716</v>
      </c>
      <c r="D2" s="67" t="s">
        <v>717</v>
      </c>
      <c r="E2" s="67" t="s">
        <v>718</v>
      </c>
      <c r="F2" s="67" t="s">
        <v>719</v>
      </c>
      <c r="G2" s="67" t="s">
        <v>720</v>
      </c>
      <c r="H2" s="67" t="s">
        <v>226</v>
      </c>
      <c r="I2" s="67" t="s">
        <v>721</v>
      </c>
      <c r="J2" s="67" t="s">
        <v>722</v>
      </c>
      <c r="K2" s="67" t="s">
        <v>723</v>
      </c>
      <c r="L2" s="67" t="s">
        <v>724</v>
      </c>
      <c r="M2" s="67" t="s">
        <v>725</v>
      </c>
      <c r="N2" s="67" t="s">
        <v>726</v>
      </c>
      <c r="O2" s="67" t="s">
        <v>727</v>
      </c>
      <c r="P2" s="67" t="s">
        <v>728</v>
      </c>
      <c r="Q2" s="215" t="s">
        <v>729</v>
      </c>
      <c r="R2" s="215" t="s">
        <v>730</v>
      </c>
      <c r="S2" s="215" t="s">
        <v>731</v>
      </c>
      <c r="T2" s="216" t="str">
        <f>+A2</f>
        <v>#FAC SF</v>
      </c>
      <c r="U2" s="216" t="s">
        <v>225</v>
      </c>
      <c r="V2" s="216" t="s">
        <v>722</v>
      </c>
      <c r="W2" s="216" t="s">
        <v>723</v>
      </c>
      <c r="X2" s="216" t="s">
        <v>724</v>
      </c>
      <c r="Y2" s="216" t="s">
        <v>725</v>
      </c>
      <c r="Z2" s="216" t="s">
        <v>726</v>
      </c>
      <c r="AA2" s="213" t="s">
        <v>1616</v>
      </c>
      <c r="AB2" s="68"/>
      <c r="AC2" s="68"/>
    </row>
    <row r="3" spans="1:29" ht="15" x14ac:dyDescent="0.2">
      <c r="A3" s="69" t="s">
        <v>732</v>
      </c>
      <c r="B3" s="69" t="str">
        <f>IF(C3="","","10")</f>
        <v>10</v>
      </c>
      <c r="C3" s="61" t="s">
        <v>733</v>
      </c>
      <c r="D3" s="61" t="s">
        <v>227</v>
      </c>
      <c r="E3" s="61" t="s">
        <v>734</v>
      </c>
      <c r="F3" s="61" t="s">
        <v>228</v>
      </c>
      <c r="G3" s="61" t="s">
        <v>735</v>
      </c>
      <c r="H3" s="217" t="s">
        <v>231</v>
      </c>
      <c r="I3" s="218" t="str">
        <f>IFERROR(IF(A3="","",(+U3/100)),"")</f>
        <v/>
      </c>
      <c r="J3" s="218" t="str">
        <f t="shared" ref="J3:J27" si="0">IFERROR(IF(A3="","",(+V3/100)),"")</f>
        <v/>
      </c>
      <c r="K3" s="218" t="str">
        <f t="shared" ref="K3:K27" si="1">IFERROR(IF(A3="","",(+W3/100)),"")</f>
        <v/>
      </c>
      <c r="L3" s="218" t="str">
        <f t="shared" ref="L3:L27" si="2">IFERROR(+IF(A3="","",(+X3/100)),"")</f>
        <v/>
      </c>
      <c r="M3" s="218" t="str">
        <f t="shared" ref="M3:M27" si="3">IFERROR(IF(A3="","",(+Y3/100)),"")</f>
        <v/>
      </c>
      <c r="N3" s="218" t="str">
        <f t="shared" ref="N3:N27" si="4">IFERROR(IF(A3="","",(+Z3/100)),"")</f>
        <v/>
      </c>
      <c r="O3" s="217" t="s">
        <v>235</v>
      </c>
      <c r="P3" s="219" t="s">
        <v>736</v>
      </c>
      <c r="Q3" s="217" t="s">
        <v>229</v>
      </c>
      <c r="R3" s="217" t="str">
        <f>IFERROR(IF(A3="","",(I3*H3)),"")</f>
        <v/>
      </c>
      <c r="S3" s="217" t="str">
        <f>IFERROR(IF(A3="","",((H3*I3)*L3)),"")</f>
        <v/>
      </c>
      <c r="T3" s="68" t="str">
        <f>IF(A3="","",A3)</f>
        <v>&amp;=FAC.FAC_NAME(noadd)</v>
      </c>
      <c r="U3" s="220" t="s">
        <v>230</v>
      </c>
      <c r="V3" s="220" t="s">
        <v>737</v>
      </c>
      <c r="W3" s="220" t="s">
        <v>738</v>
      </c>
      <c r="X3" s="220" t="s">
        <v>232</v>
      </c>
      <c r="Y3" s="220" t="s">
        <v>233</v>
      </c>
      <c r="Z3" s="220" t="s">
        <v>234</v>
      </c>
      <c r="AA3" s="223" t="s">
        <v>1617</v>
      </c>
    </row>
    <row r="4" spans="1:29" ht="15" x14ac:dyDescent="0.2">
      <c r="A4" s="69"/>
      <c r="B4" s="69" t="str">
        <f>IF(C4="","","20")</f>
        <v/>
      </c>
      <c r="C4" s="61"/>
      <c r="D4" s="61"/>
      <c r="E4" s="61"/>
      <c r="F4" s="61"/>
      <c r="G4" s="61"/>
      <c r="H4" s="217"/>
      <c r="I4" s="218" t="str">
        <f t="shared" ref="I4:I26" si="5">IFERROR(IF(A4="","",(+U4/100)),"")</f>
        <v/>
      </c>
      <c r="J4" s="218" t="str">
        <f t="shared" si="0"/>
        <v/>
      </c>
      <c r="K4" s="218" t="str">
        <f t="shared" si="1"/>
        <v/>
      </c>
      <c r="L4" s="218" t="str">
        <f t="shared" si="2"/>
        <v/>
      </c>
      <c r="M4" s="218" t="str">
        <f t="shared" si="3"/>
        <v/>
      </c>
      <c r="N4" s="218" t="str">
        <f t="shared" si="4"/>
        <v/>
      </c>
      <c r="O4" s="217" t="str">
        <f>IFERROR(IF(A4="","",(+#REF!/100)),"")</f>
        <v/>
      </c>
      <c r="P4" s="219"/>
      <c r="Q4" s="217"/>
      <c r="R4" s="217" t="str">
        <f t="shared" ref="R4:R28" si="6">IFERROR(IF(A4="","",(I4*H4)),"")</f>
        <v/>
      </c>
      <c r="S4" s="217" t="str">
        <f t="shared" ref="S4:S27" si="7">IFERROR(IF(A4="","",((H4*I4)*L4)),"")</f>
        <v/>
      </c>
      <c r="T4" s="68" t="str">
        <f t="shared" ref="T4:T27" si="8">IF(A4="","",A4)</f>
        <v/>
      </c>
      <c r="U4" s="220"/>
      <c r="V4" s="220"/>
      <c r="W4" s="220"/>
      <c r="X4" s="220"/>
      <c r="Y4" s="220"/>
      <c r="Z4" s="220"/>
      <c r="AA4" s="223"/>
    </row>
    <row r="5" spans="1:29" ht="15" x14ac:dyDescent="0.2">
      <c r="A5" s="69"/>
      <c r="B5" s="69" t="str">
        <f>IF(C5="","","30")</f>
        <v/>
      </c>
      <c r="C5" s="61"/>
      <c r="D5" s="61"/>
      <c r="E5" s="61"/>
      <c r="F5" s="61"/>
      <c r="G5" s="61"/>
      <c r="H5" s="217"/>
      <c r="I5" s="218" t="str">
        <f t="shared" si="5"/>
        <v/>
      </c>
      <c r="J5" s="218" t="str">
        <f t="shared" si="0"/>
        <v/>
      </c>
      <c r="K5" s="218" t="str">
        <f t="shared" si="1"/>
        <v/>
      </c>
      <c r="L5" s="218" t="str">
        <f t="shared" si="2"/>
        <v/>
      </c>
      <c r="M5" s="218" t="str">
        <f t="shared" si="3"/>
        <v/>
      </c>
      <c r="N5" s="218" t="str">
        <f t="shared" si="4"/>
        <v/>
      </c>
      <c r="O5" s="217" t="str">
        <f>IFERROR(IF(A5="","",(+#REF!/100)),"")</f>
        <v/>
      </c>
      <c r="P5" s="219"/>
      <c r="Q5" s="217"/>
      <c r="R5" s="217" t="str">
        <f t="shared" si="6"/>
        <v/>
      </c>
      <c r="S5" s="217" t="str">
        <f t="shared" si="7"/>
        <v/>
      </c>
      <c r="T5" s="68" t="str">
        <f t="shared" si="8"/>
        <v/>
      </c>
      <c r="U5" s="220"/>
      <c r="V5" s="220"/>
      <c r="W5" s="220"/>
      <c r="X5" s="220"/>
      <c r="Y5" s="220"/>
      <c r="Z5" s="220"/>
      <c r="AA5" s="223"/>
    </row>
    <row r="6" spans="1:29" ht="15" x14ac:dyDescent="0.2">
      <c r="A6" s="69"/>
      <c r="B6" s="69" t="str">
        <f>IF(C6="","","40")</f>
        <v/>
      </c>
      <c r="C6" s="61"/>
      <c r="D6" s="61"/>
      <c r="E6" s="61"/>
      <c r="F6" s="61"/>
      <c r="G6" s="61"/>
      <c r="H6" s="217"/>
      <c r="I6" s="218" t="str">
        <f t="shared" si="5"/>
        <v/>
      </c>
      <c r="J6" s="218" t="str">
        <f t="shared" si="0"/>
        <v/>
      </c>
      <c r="K6" s="218" t="str">
        <f t="shared" si="1"/>
        <v/>
      </c>
      <c r="L6" s="218" t="str">
        <f t="shared" si="2"/>
        <v/>
      </c>
      <c r="M6" s="218" t="str">
        <f t="shared" si="3"/>
        <v/>
      </c>
      <c r="N6" s="218" t="str">
        <f t="shared" si="4"/>
        <v/>
      </c>
      <c r="O6" s="217" t="str">
        <f>IFERROR(IF(A6="","",(+#REF!/100)),"")</f>
        <v/>
      </c>
      <c r="P6" s="219"/>
      <c r="Q6" s="217"/>
      <c r="R6" s="217" t="str">
        <f t="shared" si="6"/>
        <v/>
      </c>
      <c r="S6" s="217" t="str">
        <f t="shared" si="7"/>
        <v/>
      </c>
      <c r="T6" s="68" t="str">
        <f t="shared" si="8"/>
        <v/>
      </c>
      <c r="U6" s="220"/>
      <c r="V6" s="220"/>
      <c r="W6" s="220"/>
      <c r="X6" s="220"/>
      <c r="Y6" s="220"/>
      <c r="Z6" s="220"/>
      <c r="AA6" s="223"/>
    </row>
    <row r="7" spans="1:29" ht="15" x14ac:dyDescent="0.2">
      <c r="A7" s="69"/>
      <c r="B7" s="69" t="str">
        <f>IF(C7="","","50")</f>
        <v/>
      </c>
      <c r="C7" s="61"/>
      <c r="D7" s="61"/>
      <c r="E7" s="61"/>
      <c r="F7" s="61"/>
      <c r="G7" s="61"/>
      <c r="H7" s="217"/>
      <c r="I7" s="218" t="str">
        <f t="shared" si="5"/>
        <v/>
      </c>
      <c r="J7" s="218" t="str">
        <f t="shared" si="0"/>
        <v/>
      </c>
      <c r="K7" s="218" t="str">
        <f t="shared" si="1"/>
        <v/>
      </c>
      <c r="L7" s="218" t="str">
        <f t="shared" si="2"/>
        <v/>
      </c>
      <c r="M7" s="218" t="str">
        <f t="shared" si="3"/>
        <v/>
      </c>
      <c r="N7" s="218" t="str">
        <f t="shared" si="4"/>
        <v/>
      </c>
      <c r="O7" s="217" t="str">
        <f>IFERROR(IF(A7="","",(+#REF!/100)),"")</f>
        <v/>
      </c>
      <c r="P7" s="219"/>
      <c r="Q7" s="217"/>
      <c r="R7" s="217" t="str">
        <f t="shared" si="6"/>
        <v/>
      </c>
      <c r="S7" s="217" t="str">
        <f t="shared" si="7"/>
        <v/>
      </c>
      <c r="T7" s="68" t="str">
        <f t="shared" si="8"/>
        <v/>
      </c>
      <c r="U7" s="220"/>
      <c r="V7" s="220"/>
      <c r="W7" s="220"/>
      <c r="X7" s="220"/>
      <c r="Y7" s="220"/>
      <c r="Z7" s="220"/>
      <c r="AA7" s="223"/>
    </row>
    <row r="8" spans="1:29" ht="15" x14ac:dyDescent="0.2">
      <c r="A8" s="69"/>
      <c r="B8" s="69" t="str">
        <f>IF(C8="","","60")</f>
        <v/>
      </c>
      <c r="C8" s="61"/>
      <c r="D8" s="61"/>
      <c r="E8" s="61"/>
      <c r="F8" s="61"/>
      <c r="G8" s="61"/>
      <c r="H8" s="217"/>
      <c r="I8" s="218" t="str">
        <f t="shared" si="5"/>
        <v/>
      </c>
      <c r="J8" s="218" t="str">
        <f t="shared" si="0"/>
        <v/>
      </c>
      <c r="K8" s="218" t="str">
        <f t="shared" si="1"/>
        <v/>
      </c>
      <c r="L8" s="218" t="str">
        <f t="shared" si="2"/>
        <v/>
      </c>
      <c r="M8" s="218" t="str">
        <f t="shared" si="3"/>
        <v/>
      </c>
      <c r="N8" s="218" t="str">
        <f t="shared" si="4"/>
        <v/>
      </c>
      <c r="O8" s="217" t="str">
        <f>IFERROR(IF(A8="","",(+#REF!/100)),"")</f>
        <v/>
      </c>
      <c r="P8" s="219"/>
      <c r="Q8" s="217"/>
      <c r="R8" s="217" t="str">
        <f t="shared" si="6"/>
        <v/>
      </c>
      <c r="S8" s="217" t="str">
        <f t="shared" si="7"/>
        <v/>
      </c>
      <c r="T8" s="68" t="str">
        <f t="shared" si="8"/>
        <v/>
      </c>
      <c r="U8" s="220"/>
      <c r="V8" s="220"/>
      <c r="W8" s="220"/>
      <c r="X8" s="220"/>
      <c r="Y8" s="220"/>
      <c r="Z8" s="220"/>
      <c r="AA8" s="223"/>
    </row>
    <row r="9" spans="1:29" ht="15" x14ac:dyDescent="0.2">
      <c r="A9" s="69"/>
      <c r="B9" s="69" t="str">
        <f>IF(C9="","","70")</f>
        <v/>
      </c>
      <c r="C9" s="61"/>
      <c r="D9" s="61"/>
      <c r="E9" s="61"/>
      <c r="F9" s="61"/>
      <c r="G9" s="61"/>
      <c r="H9" s="217"/>
      <c r="I9" s="218" t="str">
        <f t="shared" si="5"/>
        <v/>
      </c>
      <c r="J9" s="218" t="str">
        <f t="shared" si="0"/>
        <v/>
      </c>
      <c r="K9" s="218" t="str">
        <f t="shared" si="1"/>
        <v/>
      </c>
      <c r="L9" s="218" t="str">
        <f t="shared" si="2"/>
        <v/>
      </c>
      <c r="M9" s="218" t="str">
        <f t="shared" si="3"/>
        <v/>
      </c>
      <c r="N9" s="218" t="str">
        <f t="shared" si="4"/>
        <v/>
      </c>
      <c r="O9" s="217" t="str">
        <f>IFERROR(IF(A9="","",(+#REF!/100)),"")</f>
        <v/>
      </c>
      <c r="P9" s="219"/>
      <c r="Q9" s="217"/>
      <c r="R9" s="217" t="str">
        <f t="shared" si="6"/>
        <v/>
      </c>
      <c r="S9" s="217" t="str">
        <f t="shared" si="7"/>
        <v/>
      </c>
      <c r="T9" s="68" t="str">
        <f t="shared" si="8"/>
        <v/>
      </c>
      <c r="U9" s="220"/>
      <c r="V9" s="220"/>
      <c r="W9" s="220"/>
      <c r="X9" s="220"/>
      <c r="Y9" s="220"/>
      <c r="Z9" s="220"/>
      <c r="AA9" s="223"/>
    </row>
    <row r="10" spans="1:29" ht="15" x14ac:dyDescent="0.2">
      <c r="A10" s="69"/>
      <c r="B10" s="69" t="str">
        <f>IF(C10="","","80")</f>
        <v/>
      </c>
      <c r="C10" s="61"/>
      <c r="D10" s="61"/>
      <c r="E10" s="61"/>
      <c r="F10" s="61"/>
      <c r="G10" s="61"/>
      <c r="H10" s="217"/>
      <c r="I10" s="218" t="str">
        <f t="shared" si="5"/>
        <v/>
      </c>
      <c r="J10" s="218" t="str">
        <f t="shared" si="0"/>
        <v/>
      </c>
      <c r="K10" s="218" t="str">
        <f t="shared" si="1"/>
        <v/>
      </c>
      <c r="L10" s="218" t="str">
        <f t="shared" si="2"/>
        <v/>
      </c>
      <c r="M10" s="218" t="str">
        <f t="shared" si="3"/>
        <v/>
      </c>
      <c r="N10" s="218" t="str">
        <f t="shared" si="4"/>
        <v/>
      </c>
      <c r="O10" s="217" t="str">
        <f>IFERROR(IF(A10="","",(+#REF!/100)),"")</f>
        <v/>
      </c>
      <c r="P10" s="219"/>
      <c r="Q10" s="217"/>
      <c r="R10" s="217" t="str">
        <f t="shared" si="6"/>
        <v/>
      </c>
      <c r="S10" s="217" t="str">
        <f t="shared" si="7"/>
        <v/>
      </c>
      <c r="T10" s="68" t="str">
        <f t="shared" si="8"/>
        <v/>
      </c>
      <c r="U10" s="220"/>
      <c r="V10" s="220"/>
      <c r="W10" s="220"/>
      <c r="X10" s="220"/>
      <c r="Y10" s="220"/>
      <c r="Z10" s="220"/>
      <c r="AA10" s="223"/>
    </row>
    <row r="11" spans="1:29" ht="15" x14ac:dyDescent="0.2">
      <c r="A11" s="69"/>
      <c r="B11" s="69" t="str">
        <f>IF(C11="","","90")</f>
        <v/>
      </c>
      <c r="C11" s="61"/>
      <c r="D11" s="61"/>
      <c r="E11" s="61"/>
      <c r="F11" s="61"/>
      <c r="G11" s="61"/>
      <c r="H11" s="217"/>
      <c r="I11" s="218" t="str">
        <f t="shared" si="5"/>
        <v/>
      </c>
      <c r="J11" s="218" t="str">
        <f t="shared" si="0"/>
        <v/>
      </c>
      <c r="K11" s="218" t="str">
        <f t="shared" si="1"/>
        <v/>
      </c>
      <c r="L11" s="218" t="str">
        <f t="shared" si="2"/>
        <v/>
      </c>
      <c r="M11" s="218" t="str">
        <f t="shared" si="3"/>
        <v/>
      </c>
      <c r="N11" s="218" t="str">
        <f t="shared" si="4"/>
        <v/>
      </c>
      <c r="O11" s="217" t="str">
        <f>IFERROR(IF(A11="","",(+#REF!/100)),"")</f>
        <v/>
      </c>
      <c r="P11" s="219"/>
      <c r="Q11" s="217"/>
      <c r="R11" s="217" t="str">
        <f t="shared" si="6"/>
        <v/>
      </c>
      <c r="S11" s="217" t="str">
        <f t="shared" si="7"/>
        <v/>
      </c>
      <c r="T11" s="68" t="str">
        <f t="shared" si="8"/>
        <v/>
      </c>
      <c r="U11" s="220"/>
      <c r="V11" s="220"/>
      <c r="W11" s="220"/>
      <c r="X11" s="220"/>
      <c r="Y11" s="220"/>
      <c r="Z11" s="220"/>
      <c r="AA11" s="223"/>
    </row>
    <row r="12" spans="1:29" ht="15" x14ac:dyDescent="0.2">
      <c r="A12" s="69"/>
      <c r="B12" s="69" t="str">
        <f>IF(C12="","","100")</f>
        <v/>
      </c>
      <c r="C12" s="61"/>
      <c r="D12" s="61"/>
      <c r="E12" s="61"/>
      <c r="F12" s="61"/>
      <c r="G12" s="61"/>
      <c r="H12" s="217"/>
      <c r="I12" s="218" t="str">
        <f t="shared" si="5"/>
        <v/>
      </c>
      <c r="J12" s="218" t="str">
        <f t="shared" si="0"/>
        <v/>
      </c>
      <c r="K12" s="218" t="str">
        <f t="shared" si="1"/>
        <v/>
      </c>
      <c r="L12" s="218" t="str">
        <f t="shared" si="2"/>
        <v/>
      </c>
      <c r="M12" s="218" t="str">
        <f t="shared" si="3"/>
        <v/>
      </c>
      <c r="N12" s="218" t="str">
        <f t="shared" si="4"/>
        <v/>
      </c>
      <c r="O12" s="217" t="str">
        <f>IFERROR(IF(A12="","",(+#REF!/100)),"")</f>
        <v/>
      </c>
      <c r="P12" s="219"/>
      <c r="Q12" s="217"/>
      <c r="R12" s="217" t="str">
        <f t="shared" si="6"/>
        <v/>
      </c>
      <c r="S12" s="217" t="str">
        <f t="shared" si="7"/>
        <v/>
      </c>
      <c r="T12" s="68" t="str">
        <f t="shared" si="8"/>
        <v/>
      </c>
      <c r="U12" s="220"/>
      <c r="V12" s="220"/>
      <c r="W12" s="220"/>
      <c r="X12" s="220"/>
      <c r="Y12" s="220"/>
      <c r="Z12" s="220"/>
      <c r="AA12" s="223"/>
    </row>
    <row r="13" spans="1:29" ht="15" x14ac:dyDescent="0.2">
      <c r="A13" s="69"/>
      <c r="B13" s="69" t="str">
        <f>IF(C13="","","110")</f>
        <v/>
      </c>
      <c r="C13" s="61"/>
      <c r="D13" s="61"/>
      <c r="E13" s="61"/>
      <c r="F13" s="61"/>
      <c r="G13" s="61"/>
      <c r="H13" s="217"/>
      <c r="I13" s="218" t="str">
        <f t="shared" si="5"/>
        <v/>
      </c>
      <c r="J13" s="218" t="str">
        <f t="shared" si="0"/>
        <v/>
      </c>
      <c r="K13" s="218" t="str">
        <f t="shared" si="1"/>
        <v/>
      </c>
      <c r="L13" s="218" t="str">
        <f t="shared" si="2"/>
        <v/>
      </c>
      <c r="M13" s="218" t="str">
        <f t="shared" si="3"/>
        <v/>
      </c>
      <c r="N13" s="218" t="str">
        <f t="shared" si="4"/>
        <v/>
      </c>
      <c r="O13" s="217" t="str">
        <f>IFERROR(IF(A13="","",(+#REF!/100)),"")</f>
        <v/>
      </c>
      <c r="P13" s="219"/>
      <c r="Q13" s="217"/>
      <c r="R13" s="217" t="str">
        <f t="shared" si="6"/>
        <v/>
      </c>
      <c r="S13" s="217" t="str">
        <f t="shared" si="7"/>
        <v/>
      </c>
      <c r="T13" s="68" t="str">
        <f t="shared" si="8"/>
        <v/>
      </c>
      <c r="U13" s="220"/>
      <c r="V13" s="220"/>
      <c r="W13" s="220"/>
      <c r="X13" s="220"/>
      <c r="Y13" s="220"/>
      <c r="Z13" s="220"/>
      <c r="AA13" s="223"/>
    </row>
    <row r="14" spans="1:29" ht="15" x14ac:dyDescent="0.2">
      <c r="A14" s="69"/>
      <c r="B14" s="69" t="str">
        <f>IF(C14="","","120")</f>
        <v/>
      </c>
      <c r="C14" s="61"/>
      <c r="D14" s="61"/>
      <c r="E14" s="61"/>
      <c r="F14" s="61"/>
      <c r="G14" s="61"/>
      <c r="H14" s="217"/>
      <c r="I14" s="218" t="str">
        <f t="shared" si="5"/>
        <v/>
      </c>
      <c r="J14" s="218" t="str">
        <f t="shared" si="0"/>
        <v/>
      </c>
      <c r="K14" s="218" t="str">
        <f t="shared" si="1"/>
        <v/>
      </c>
      <c r="L14" s="218" t="str">
        <f t="shared" si="2"/>
        <v/>
      </c>
      <c r="M14" s="218" t="str">
        <f t="shared" si="3"/>
        <v/>
      </c>
      <c r="N14" s="218" t="str">
        <f t="shared" si="4"/>
        <v/>
      </c>
      <c r="O14" s="217" t="str">
        <f>IFERROR(IF(A14="","",(+#REF!/100)),"")</f>
        <v/>
      </c>
      <c r="P14" s="219"/>
      <c r="Q14" s="217"/>
      <c r="R14" s="217" t="str">
        <f t="shared" si="6"/>
        <v/>
      </c>
      <c r="S14" s="217" t="str">
        <f t="shared" si="7"/>
        <v/>
      </c>
      <c r="T14" s="68" t="str">
        <f t="shared" si="8"/>
        <v/>
      </c>
      <c r="U14" s="220"/>
      <c r="V14" s="220"/>
      <c r="W14" s="220"/>
      <c r="X14" s="220"/>
      <c r="Y14" s="220"/>
      <c r="Z14" s="220"/>
      <c r="AA14" s="223"/>
    </row>
    <row r="15" spans="1:29" ht="15" x14ac:dyDescent="0.2">
      <c r="A15" s="69"/>
      <c r="B15" s="69" t="str">
        <f>IF(C15="","","130")</f>
        <v/>
      </c>
      <c r="C15" s="61"/>
      <c r="D15" s="61"/>
      <c r="E15" s="61"/>
      <c r="F15" s="61"/>
      <c r="G15" s="61"/>
      <c r="H15" s="217"/>
      <c r="I15" s="218" t="str">
        <f t="shared" si="5"/>
        <v/>
      </c>
      <c r="J15" s="218" t="str">
        <f t="shared" si="0"/>
        <v/>
      </c>
      <c r="K15" s="218" t="str">
        <f t="shared" si="1"/>
        <v/>
      </c>
      <c r="L15" s="218" t="str">
        <f t="shared" si="2"/>
        <v/>
      </c>
      <c r="M15" s="218" t="str">
        <f t="shared" si="3"/>
        <v/>
      </c>
      <c r="N15" s="218" t="str">
        <f t="shared" si="4"/>
        <v/>
      </c>
      <c r="O15" s="217" t="str">
        <f>IFERROR(IF(A15="","",(+#REF!/100)),"")</f>
        <v/>
      </c>
      <c r="P15" s="219"/>
      <c r="Q15" s="217"/>
      <c r="R15" s="217" t="str">
        <f t="shared" si="6"/>
        <v/>
      </c>
      <c r="S15" s="217" t="str">
        <f t="shared" si="7"/>
        <v/>
      </c>
      <c r="T15" s="68" t="str">
        <f t="shared" si="8"/>
        <v/>
      </c>
      <c r="U15" s="220"/>
      <c r="V15" s="220"/>
      <c r="W15" s="220"/>
      <c r="X15" s="220"/>
      <c r="Y15" s="220"/>
      <c r="Z15" s="220"/>
      <c r="AA15" s="223"/>
    </row>
    <row r="16" spans="1:29" ht="15" x14ac:dyDescent="0.2">
      <c r="A16" s="69"/>
      <c r="B16" s="69" t="str">
        <f>IF(C16="","","140")</f>
        <v/>
      </c>
      <c r="C16" s="61"/>
      <c r="D16" s="61"/>
      <c r="E16" s="61"/>
      <c r="F16" s="61"/>
      <c r="G16" s="61"/>
      <c r="H16" s="217"/>
      <c r="I16" s="218" t="str">
        <f t="shared" si="5"/>
        <v/>
      </c>
      <c r="J16" s="218" t="str">
        <f t="shared" si="0"/>
        <v/>
      </c>
      <c r="K16" s="218" t="str">
        <f t="shared" si="1"/>
        <v/>
      </c>
      <c r="L16" s="218" t="str">
        <f t="shared" si="2"/>
        <v/>
      </c>
      <c r="M16" s="218" t="str">
        <f t="shared" si="3"/>
        <v/>
      </c>
      <c r="N16" s="218" t="str">
        <f t="shared" si="4"/>
        <v/>
      </c>
      <c r="O16" s="217" t="str">
        <f>IFERROR(IF(A16="","",(+#REF!/100)),"")</f>
        <v/>
      </c>
      <c r="P16" s="219"/>
      <c r="Q16" s="217"/>
      <c r="R16" s="217" t="str">
        <f t="shared" si="6"/>
        <v/>
      </c>
      <c r="S16" s="217" t="str">
        <f t="shared" si="7"/>
        <v/>
      </c>
      <c r="T16" s="68" t="str">
        <f t="shared" si="8"/>
        <v/>
      </c>
      <c r="U16" s="220"/>
      <c r="V16" s="220"/>
      <c r="W16" s="220"/>
      <c r="X16" s="220"/>
      <c r="Y16" s="220"/>
      <c r="Z16" s="220"/>
      <c r="AA16" s="223"/>
    </row>
    <row r="17" spans="1:27" ht="15" x14ac:dyDescent="0.2">
      <c r="A17" s="69"/>
      <c r="B17" s="69" t="str">
        <f>IF(C17="","","150")</f>
        <v/>
      </c>
      <c r="C17" s="61"/>
      <c r="D17" s="61"/>
      <c r="E17" s="61"/>
      <c r="F17" s="61"/>
      <c r="G17" s="61"/>
      <c r="H17" s="217"/>
      <c r="I17" s="218" t="str">
        <f t="shared" si="5"/>
        <v/>
      </c>
      <c r="J17" s="218" t="str">
        <f t="shared" si="0"/>
        <v/>
      </c>
      <c r="K17" s="218" t="str">
        <f t="shared" si="1"/>
        <v/>
      </c>
      <c r="L17" s="218" t="str">
        <f t="shared" si="2"/>
        <v/>
      </c>
      <c r="M17" s="218" t="str">
        <f t="shared" si="3"/>
        <v/>
      </c>
      <c r="N17" s="218" t="str">
        <f t="shared" si="4"/>
        <v/>
      </c>
      <c r="O17" s="217" t="str">
        <f>IFERROR(IF(A17="","",(+#REF!/100)),"")</f>
        <v/>
      </c>
      <c r="P17" s="219"/>
      <c r="Q17" s="217"/>
      <c r="R17" s="217" t="str">
        <f t="shared" si="6"/>
        <v/>
      </c>
      <c r="S17" s="217" t="str">
        <f t="shared" si="7"/>
        <v/>
      </c>
      <c r="T17" s="68" t="str">
        <f t="shared" si="8"/>
        <v/>
      </c>
      <c r="U17" s="220"/>
      <c r="V17" s="220"/>
      <c r="W17" s="220"/>
      <c r="X17" s="220"/>
      <c r="Y17" s="220"/>
      <c r="Z17" s="220"/>
      <c r="AA17" s="223"/>
    </row>
    <row r="18" spans="1:27" ht="15" x14ac:dyDescent="0.2">
      <c r="A18" s="69"/>
      <c r="B18" s="69" t="str">
        <f>IF(C18="","","160")</f>
        <v/>
      </c>
      <c r="C18" s="61"/>
      <c r="D18" s="61"/>
      <c r="E18" s="61"/>
      <c r="F18" s="61"/>
      <c r="G18" s="61"/>
      <c r="H18" s="217"/>
      <c r="I18" s="218" t="str">
        <f t="shared" si="5"/>
        <v/>
      </c>
      <c r="J18" s="218" t="str">
        <f t="shared" si="0"/>
        <v/>
      </c>
      <c r="K18" s="218" t="str">
        <f t="shared" si="1"/>
        <v/>
      </c>
      <c r="L18" s="218" t="str">
        <f t="shared" si="2"/>
        <v/>
      </c>
      <c r="M18" s="218" t="str">
        <f t="shared" si="3"/>
        <v/>
      </c>
      <c r="N18" s="218" t="str">
        <f t="shared" si="4"/>
        <v/>
      </c>
      <c r="O18" s="217" t="str">
        <f>IFERROR(IF(A18="","",(+#REF!/100)),"")</f>
        <v/>
      </c>
      <c r="P18" s="219"/>
      <c r="Q18" s="217"/>
      <c r="R18" s="217" t="str">
        <f t="shared" si="6"/>
        <v/>
      </c>
      <c r="S18" s="217" t="str">
        <f t="shared" si="7"/>
        <v/>
      </c>
      <c r="T18" s="68" t="str">
        <f t="shared" si="8"/>
        <v/>
      </c>
      <c r="U18" s="220"/>
      <c r="V18" s="220"/>
      <c r="W18" s="220"/>
      <c r="X18" s="220"/>
      <c r="Y18" s="220"/>
      <c r="Z18" s="220"/>
      <c r="AA18" s="223"/>
    </row>
    <row r="19" spans="1:27" ht="15" x14ac:dyDescent="0.2">
      <c r="A19" s="69"/>
      <c r="B19" s="69" t="str">
        <f>IF(C19="","","170")</f>
        <v/>
      </c>
      <c r="C19" s="61"/>
      <c r="D19" s="61"/>
      <c r="E19" s="61"/>
      <c r="F19" s="61"/>
      <c r="G19" s="61"/>
      <c r="H19" s="217"/>
      <c r="I19" s="218" t="str">
        <f t="shared" si="5"/>
        <v/>
      </c>
      <c r="J19" s="218" t="str">
        <f t="shared" si="0"/>
        <v/>
      </c>
      <c r="K19" s="218" t="str">
        <f t="shared" si="1"/>
        <v/>
      </c>
      <c r="L19" s="218" t="str">
        <f t="shared" si="2"/>
        <v/>
      </c>
      <c r="M19" s="218" t="str">
        <f t="shared" si="3"/>
        <v/>
      </c>
      <c r="N19" s="218" t="str">
        <f t="shared" si="4"/>
        <v/>
      </c>
      <c r="O19" s="217" t="str">
        <f>IFERROR(IF(A19="","",(+#REF!/100)),"")</f>
        <v/>
      </c>
      <c r="P19" s="219"/>
      <c r="Q19" s="217"/>
      <c r="R19" s="217" t="str">
        <f t="shared" si="6"/>
        <v/>
      </c>
      <c r="S19" s="217" t="str">
        <f t="shared" si="7"/>
        <v/>
      </c>
      <c r="T19" s="68" t="str">
        <f t="shared" si="8"/>
        <v/>
      </c>
      <c r="U19" s="220"/>
      <c r="V19" s="220"/>
      <c r="W19" s="220"/>
      <c r="X19" s="220"/>
      <c r="Y19" s="220"/>
      <c r="Z19" s="220"/>
      <c r="AA19" s="223"/>
    </row>
    <row r="20" spans="1:27" ht="15" x14ac:dyDescent="0.2">
      <c r="A20" s="69"/>
      <c r="B20" s="69" t="str">
        <f>IF(C20="","","180")</f>
        <v/>
      </c>
      <c r="C20" s="61"/>
      <c r="D20" s="61"/>
      <c r="E20" s="61"/>
      <c r="F20" s="61"/>
      <c r="G20" s="61"/>
      <c r="H20" s="217"/>
      <c r="I20" s="218" t="str">
        <f t="shared" si="5"/>
        <v/>
      </c>
      <c r="J20" s="218" t="str">
        <f t="shared" si="0"/>
        <v/>
      </c>
      <c r="K20" s="218" t="str">
        <f t="shared" si="1"/>
        <v/>
      </c>
      <c r="L20" s="218" t="str">
        <f t="shared" si="2"/>
        <v/>
      </c>
      <c r="M20" s="218" t="str">
        <f t="shared" si="3"/>
        <v/>
      </c>
      <c r="N20" s="218" t="str">
        <f t="shared" si="4"/>
        <v/>
      </c>
      <c r="O20" s="217" t="str">
        <f>IFERROR(IF(A20="","",(+#REF!/100)),"")</f>
        <v/>
      </c>
      <c r="P20" s="219"/>
      <c r="Q20" s="217"/>
      <c r="R20" s="217" t="str">
        <f t="shared" si="6"/>
        <v/>
      </c>
      <c r="S20" s="217" t="str">
        <f t="shared" si="7"/>
        <v/>
      </c>
      <c r="T20" s="68" t="str">
        <f t="shared" si="8"/>
        <v/>
      </c>
      <c r="U20" s="220"/>
      <c r="V20" s="220"/>
      <c r="W20" s="220"/>
      <c r="X20" s="220"/>
      <c r="Y20" s="220"/>
      <c r="Z20" s="220"/>
      <c r="AA20" s="223"/>
    </row>
    <row r="21" spans="1:27" ht="15" x14ac:dyDescent="0.2">
      <c r="A21" s="69"/>
      <c r="B21" s="69" t="str">
        <f>IF(C21="","","190")</f>
        <v/>
      </c>
      <c r="C21" s="61"/>
      <c r="D21" s="61"/>
      <c r="E21" s="61"/>
      <c r="F21" s="61"/>
      <c r="G21" s="61"/>
      <c r="H21" s="217"/>
      <c r="I21" s="218" t="str">
        <f t="shared" si="5"/>
        <v/>
      </c>
      <c r="J21" s="218" t="str">
        <f t="shared" si="0"/>
        <v/>
      </c>
      <c r="K21" s="218" t="str">
        <f t="shared" si="1"/>
        <v/>
      </c>
      <c r="L21" s="218" t="str">
        <f t="shared" si="2"/>
        <v/>
      </c>
      <c r="M21" s="218" t="str">
        <f t="shared" si="3"/>
        <v/>
      </c>
      <c r="N21" s="218" t="str">
        <f t="shared" si="4"/>
        <v/>
      </c>
      <c r="O21" s="217" t="str">
        <f>IFERROR(IF(A21="","",(+#REF!/100)),"")</f>
        <v/>
      </c>
      <c r="P21" s="219"/>
      <c r="Q21" s="217"/>
      <c r="R21" s="217" t="str">
        <f t="shared" si="6"/>
        <v/>
      </c>
      <c r="S21" s="217" t="str">
        <f t="shared" si="7"/>
        <v/>
      </c>
      <c r="T21" s="68" t="str">
        <f t="shared" si="8"/>
        <v/>
      </c>
      <c r="U21" s="220"/>
      <c r="V21" s="220"/>
      <c r="W21" s="220"/>
      <c r="X21" s="220"/>
      <c r="Y21" s="220"/>
      <c r="Z21" s="220"/>
      <c r="AA21" s="223"/>
    </row>
    <row r="22" spans="1:27" ht="15" x14ac:dyDescent="0.2">
      <c r="A22" s="69"/>
      <c r="B22" s="69" t="str">
        <f>IF(C22="","","200")</f>
        <v/>
      </c>
      <c r="C22" s="61"/>
      <c r="D22" s="61"/>
      <c r="E22" s="61"/>
      <c r="F22" s="61"/>
      <c r="G22" s="61"/>
      <c r="H22" s="217"/>
      <c r="I22" s="218" t="str">
        <f t="shared" si="5"/>
        <v/>
      </c>
      <c r="J22" s="218" t="str">
        <f t="shared" si="0"/>
        <v/>
      </c>
      <c r="K22" s="218" t="str">
        <f t="shared" si="1"/>
        <v/>
      </c>
      <c r="L22" s="218" t="str">
        <f t="shared" si="2"/>
        <v/>
      </c>
      <c r="M22" s="218" t="str">
        <f t="shared" si="3"/>
        <v/>
      </c>
      <c r="N22" s="218" t="str">
        <f t="shared" si="4"/>
        <v/>
      </c>
      <c r="O22" s="217" t="str">
        <f>IFERROR(IF(A22="","",(+#REF!/100)),"")</f>
        <v/>
      </c>
      <c r="P22" s="219"/>
      <c r="Q22" s="217"/>
      <c r="R22" s="217" t="str">
        <f t="shared" si="6"/>
        <v/>
      </c>
      <c r="S22" s="217" t="str">
        <f t="shared" si="7"/>
        <v/>
      </c>
      <c r="T22" s="68" t="str">
        <f t="shared" si="8"/>
        <v/>
      </c>
      <c r="U22" s="220"/>
      <c r="V22" s="220"/>
      <c r="W22" s="220"/>
      <c r="X22" s="220"/>
      <c r="Y22" s="220"/>
      <c r="Z22" s="220"/>
      <c r="AA22" s="223"/>
    </row>
    <row r="23" spans="1:27" ht="15" x14ac:dyDescent="0.2">
      <c r="A23" s="69"/>
      <c r="B23" s="69" t="str">
        <f>IF(C23="","","210")</f>
        <v/>
      </c>
      <c r="C23" s="61"/>
      <c r="D23" s="61"/>
      <c r="E23" s="61"/>
      <c r="F23" s="61"/>
      <c r="G23" s="61"/>
      <c r="H23" s="217"/>
      <c r="I23" s="218" t="str">
        <f t="shared" si="5"/>
        <v/>
      </c>
      <c r="J23" s="218" t="str">
        <f t="shared" si="0"/>
        <v/>
      </c>
      <c r="K23" s="218" t="str">
        <f t="shared" si="1"/>
        <v/>
      </c>
      <c r="L23" s="218" t="str">
        <f t="shared" si="2"/>
        <v/>
      </c>
      <c r="M23" s="218" t="str">
        <f t="shared" si="3"/>
        <v/>
      </c>
      <c r="N23" s="218" t="str">
        <f t="shared" si="4"/>
        <v/>
      </c>
      <c r="O23" s="217" t="str">
        <f>IFERROR(IF(A23="","",(+#REF!/100)),"")</f>
        <v/>
      </c>
      <c r="P23" s="219"/>
      <c r="Q23" s="217"/>
      <c r="R23" s="217" t="str">
        <f t="shared" si="6"/>
        <v/>
      </c>
      <c r="S23" s="217" t="str">
        <f t="shared" si="7"/>
        <v/>
      </c>
      <c r="T23" s="68" t="str">
        <f t="shared" si="8"/>
        <v/>
      </c>
      <c r="U23" s="220"/>
      <c r="V23" s="220"/>
      <c r="W23" s="220"/>
      <c r="X23" s="220"/>
      <c r="Y23" s="220"/>
      <c r="Z23" s="220"/>
      <c r="AA23" s="223"/>
    </row>
    <row r="24" spans="1:27" ht="15" x14ac:dyDescent="0.2">
      <c r="A24" s="69"/>
      <c r="B24" s="69" t="str">
        <f>IF(C24="","","220")</f>
        <v/>
      </c>
      <c r="C24" s="61"/>
      <c r="D24" s="61"/>
      <c r="E24" s="61"/>
      <c r="F24" s="61"/>
      <c r="G24" s="61"/>
      <c r="H24" s="217"/>
      <c r="I24" s="218" t="str">
        <f t="shared" si="5"/>
        <v/>
      </c>
      <c r="J24" s="218" t="str">
        <f t="shared" si="0"/>
        <v/>
      </c>
      <c r="K24" s="218" t="str">
        <f t="shared" si="1"/>
        <v/>
      </c>
      <c r="L24" s="218" t="str">
        <f t="shared" si="2"/>
        <v/>
      </c>
      <c r="M24" s="218" t="str">
        <f t="shared" si="3"/>
        <v/>
      </c>
      <c r="N24" s="218" t="str">
        <f t="shared" si="4"/>
        <v/>
      </c>
      <c r="O24" s="217" t="str">
        <f>IFERROR(IF(A24="","",(+#REF!/100)),"")</f>
        <v/>
      </c>
      <c r="P24" s="219"/>
      <c r="Q24" s="217"/>
      <c r="R24" s="217" t="str">
        <f t="shared" si="6"/>
        <v/>
      </c>
      <c r="S24" s="217" t="str">
        <f t="shared" si="7"/>
        <v/>
      </c>
      <c r="T24" s="68" t="str">
        <f t="shared" si="8"/>
        <v/>
      </c>
      <c r="U24" s="220"/>
      <c r="V24" s="220"/>
      <c r="W24" s="220"/>
      <c r="X24" s="220"/>
      <c r="Y24" s="220"/>
      <c r="Z24" s="220"/>
      <c r="AA24" s="223"/>
    </row>
    <row r="25" spans="1:27" ht="15" x14ac:dyDescent="0.2">
      <c r="A25" s="69"/>
      <c r="B25" s="69" t="str">
        <f>IF(C25="","","230")</f>
        <v/>
      </c>
      <c r="C25" s="61"/>
      <c r="D25" s="61"/>
      <c r="E25" s="61"/>
      <c r="F25" s="61"/>
      <c r="G25" s="61"/>
      <c r="H25" s="217"/>
      <c r="I25" s="218" t="str">
        <f t="shared" si="5"/>
        <v/>
      </c>
      <c r="J25" s="218" t="str">
        <f t="shared" si="0"/>
        <v/>
      </c>
      <c r="K25" s="218" t="str">
        <f t="shared" si="1"/>
        <v/>
      </c>
      <c r="L25" s="218" t="str">
        <f t="shared" si="2"/>
        <v/>
      </c>
      <c r="M25" s="218" t="str">
        <f t="shared" si="3"/>
        <v/>
      </c>
      <c r="N25" s="218" t="str">
        <f t="shared" si="4"/>
        <v/>
      </c>
      <c r="O25" s="217" t="str">
        <f>IFERROR(IF(A25="","",(+#REF!/100)),"")</f>
        <v/>
      </c>
      <c r="P25" s="219"/>
      <c r="Q25" s="217"/>
      <c r="R25" s="217" t="str">
        <f t="shared" si="6"/>
        <v/>
      </c>
      <c r="S25" s="217" t="str">
        <f t="shared" si="7"/>
        <v/>
      </c>
      <c r="T25" s="68" t="str">
        <f t="shared" si="8"/>
        <v/>
      </c>
      <c r="U25" s="220"/>
      <c r="V25" s="220"/>
      <c r="W25" s="220"/>
      <c r="X25" s="220"/>
      <c r="Y25" s="220"/>
      <c r="Z25" s="220"/>
      <c r="AA25" s="223"/>
    </row>
    <row r="26" spans="1:27" ht="15" x14ac:dyDescent="0.2">
      <c r="A26" s="69"/>
      <c r="B26" s="69" t="str">
        <f>IF(C26="","","240")</f>
        <v/>
      </c>
      <c r="C26" s="61"/>
      <c r="D26" s="61"/>
      <c r="E26" s="61"/>
      <c r="F26" s="61"/>
      <c r="G26" s="61"/>
      <c r="H26" s="217"/>
      <c r="I26" s="218" t="str">
        <f t="shared" si="5"/>
        <v/>
      </c>
      <c r="J26" s="218" t="str">
        <f t="shared" si="0"/>
        <v/>
      </c>
      <c r="K26" s="218" t="str">
        <f t="shared" si="1"/>
        <v/>
      </c>
      <c r="L26" s="218" t="str">
        <f t="shared" si="2"/>
        <v/>
      </c>
      <c r="M26" s="218" t="str">
        <f t="shared" si="3"/>
        <v/>
      </c>
      <c r="N26" s="218" t="str">
        <f t="shared" si="4"/>
        <v/>
      </c>
      <c r="O26" s="217" t="str">
        <f>IFERROR(IF(A26="","",(+#REF!/100)),"")</f>
        <v/>
      </c>
      <c r="P26" s="219"/>
      <c r="Q26" s="217"/>
      <c r="R26" s="217" t="str">
        <f t="shared" si="6"/>
        <v/>
      </c>
      <c r="S26" s="217" t="str">
        <f t="shared" si="7"/>
        <v/>
      </c>
      <c r="T26" s="68" t="str">
        <f t="shared" si="8"/>
        <v/>
      </c>
      <c r="U26" s="220"/>
      <c r="V26" s="220"/>
      <c r="W26" s="220"/>
      <c r="X26" s="220"/>
      <c r="Y26" s="220"/>
      <c r="Z26" s="220"/>
      <c r="AA26" s="223"/>
    </row>
    <row r="27" spans="1:27" ht="15" x14ac:dyDescent="0.2">
      <c r="A27" s="69"/>
      <c r="B27" s="69" t="str">
        <f>IF(C27="","","250")</f>
        <v/>
      </c>
      <c r="C27" s="61"/>
      <c r="D27" s="61"/>
      <c r="E27" s="61"/>
      <c r="F27" s="61"/>
      <c r="G27" s="61"/>
      <c r="H27" s="217"/>
      <c r="I27" s="218" t="str">
        <f>IFERROR(IF(A27="","",(+U27/100)),"")</f>
        <v/>
      </c>
      <c r="J27" s="218" t="str">
        <f t="shared" si="0"/>
        <v/>
      </c>
      <c r="K27" s="218" t="str">
        <f t="shared" si="1"/>
        <v/>
      </c>
      <c r="L27" s="218" t="str">
        <f t="shared" si="2"/>
        <v/>
      </c>
      <c r="M27" s="218" t="str">
        <f t="shared" si="3"/>
        <v/>
      </c>
      <c r="N27" s="218" t="str">
        <f t="shared" si="4"/>
        <v/>
      </c>
      <c r="O27" s="217" t="str">
        <f>IFERROR(IF(A27="","",(+#REF!/100)),"")</f>
        <v/>
      </c>
      <c r="P27" s="219"/>
      <c r="Q27" s="217"/>
      <c r="R27" s="217" t="str">
        <f t="shared" si="6"/>
        <v/>
      </c>
      <c r="S27" s="217" t="str">
        <f t="shared" si="7"/>
        <v/>
      </c>
      <c r="T27" s="68" t="str">
        <f t="shared" si="8"/>
        <v/>
      </c>
      <c r="U27" s="220"/>
      <c r="V27" s="220"/>
      <c r="W27" s="220"/>
      <c r="X27" s="220"/>
      <c r="Y27" s="220"/>
      <c r="Z27" s="220"/>
      <c r="AA27" s="223"/>
    </row>
    <row r="28" spans="1:27" ht="15" x14ac:dyDescent="0.2">
      <c r="I28" s="222">
        <f>SUM(I3:I27)</f>
        <v>0</v>
      </c>
      <c r="R28" s="221" t="str">
        <f t="shared" si="6"/>
        <v/>
      </c>
      <c r="T28" s="213"/>
      <c r="AA28" s="221"/>
    </row>
    <row r="29" spans="1:27" x14ac:dyDescent="0.2">
      <c r="I29" s="222">
        <v>1</v>
      </c>
      <c r="AA29" s="221"/>
    </row>
    <row r="30" spans="1:27" x14ac:dyDescent="0.2">
      <c r="I30" s="222">
        <f>+I29-I28</f>
        <v>1</v>
      </c>
      <c r="AA30" s="221"/>
    </row>
    <row r="31" spans="1:27" x14ac:dyDescent="0.2">
      <c r="I31" s="222">
        <v>0</v>
      </c>
      <c r="AA31" s="221"/>
    </row>
    <row r="32" spans="1:27" x14ac:dyDescent="0.2">
      <c r="AA32" s="221"/>
    </row>
    <row r="33" spans="27:27" x14ac:dyDescent="0.2">
      <c r="AA33" s="221"/>
    </row>
  </sheetData>
  <mergeCells count="1">
    <mergeCell ref="A1:S1"/>
  </mergeCells>
  <conditionalFormatting sqref="I30">
    <cfRule type="expression" dxfId="14" priority="1">
      <formula>$I$30&gt;$I$31</formula>
    </cfRule>
    <cfRule type="expression" dxfId="13" priority="2">
      <formula>$I$30=$I$31</formula>
    </cfRule>
    <cfRule type="expression" dxfId="12" priority="3">
      <formula>$I$30&lt;$I$31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BBB0-6245-4367-8892-DC2AB126FA31}">
  <sheetPr codeName="Sheet7">
    <tabColor theme="4" tint="0.39997558519241921"/>
  </sheetPr>
  <dimension ref="A1:C38"/>
  <sheetViews>
    <sheetView zoomScale="70" zoomScaleNormal="70" workbookViewId="0">
      <selection activeCell="A3" sqref="A3"/>
    </sheetView>
  </sheetViews>
  <sheetFormatPr defaultColWidth="8" defaultRowHeight="15" x14ac:dyDescent="0.2"/>
  <cols>
    <col min="1" max="1" width="55.125" style="172" bestFit="1" customWidth="1"/>
    <col min="2" max="2" width="48.125" style="172" bestFit="1" customWidth="1"/>
    <col min="3" max="3" width="96.375" style="172" customWidth="1"/>
    <col min="4" max="16384" width="8" style="172"/>
  </cols>
  <sheetData>
    <row r="1" spans="1:3" x14ac:dyDescent="0.2">
      <c r="A1" s="469" t="s">
        <v>1488</v>
      </c>
      <c r="B1" s="470"/>
      <c r="C1" s="471" t="s">
        <v>1489</v>
      </c>
    </row>
    <row r="2" spans="1:3" x14ac:dyDescent="0.2">
      <c r="A2" s="145" t="s">
        <v>602</v>
      </c>
      <c r="B2" s="173" t="s">
        <v>555</v>
      </c>
      <c r="C2" s="472"/>
    </row>
    <row r="3" spans="1:3" x14ac:dyDescent="0.2">
      <c r="A3" s="174" t="s">
        <v>1490</v>
      </c>
      <c r="B3" s="175" t="str">
        <f>IF($B$4="","",'SF DATA'!$C$18)</f>
        <v/>
      </c>
      <c r="C3" s="473"/>
    </row>
    <row r="4" spans="1:3" x14ac:dyDescent="0.2">
      <c r="A4" s="174" t="s">
        <v>1443</v>
      </c>
      <c r="B4" s="176"/>
      <c r="C4" s="473"/>
    </row>
    <row r="5" spans="1:3" x14ac:dyDescent="0.2">
      <c r="A5" s="174" t="s">
        <v>1491</v>
      </c>
      <c r="B5" s="175" t="str">
        <f>IF($B$4="","",'SF DATA'!$C$19)</f>
        <v/>
      </c>
      <c r="C5" s="473"/>
    </row>
    <row r="6" spans="1:3" x14ac:dyDescent="0.2">
      <c r="A6" s="174" t="s">
        <v>1492</v>
      </c>
      <c r="B6" s="176" t="str">
        <f>IF($B$4="","",VLOOKUP(DataBase!$AC$11,DataBase!$AC$4:$AE$8,3))</f>
        <v/>
      </c>
      <c r="C6" s="473"/>
    </row>
    <row r="7" spans="1:3" x14ac:dyDescent="0.2">
      <c r="A7" s="174" t="s">
        <v>1493</v>
      </c>
      <c r="B7" s="176" t="str">
        <f>IF(B4="","",'SF DATA'!$C$30)</f>
        <v/>
      </c>
      <c r="C7" s="473"/>
    </row>
    <row r="8" spans="1:3" x14ac:dyDescent="0.2">
      <c r="A8" s="174" t="s">
        <v>1501</v>
      </c>
      <c r="B8" s="176" t="str">
        <f>IF($B$13="LIBSEGMX","MXN",(IF($B$13="LIBSEGPE","PEN","USD")))</f>
        <v>USD</v>
      </c>
      <c r="C8" s="473"/>
    </row>
    <row r="9" spans="1:3" x14ac:dyDescent="0.2">
      <c r="A9" s="174" t="s">
        <v>1494</v>
      </c>
      <c r="B9" s="177" t="str">
        <f>IFERROR((VLOOKUP($B$4,FAC!$A$3:$S$27,12,0))*100,"")</f>
        <v/>
      </c>
      <c r="C9" s="473"/>
    </row>
    <row r="10" spans="1:3" x14ac:dyDescent="0.2">
      <c r="A10" s="174" t="s">
        <v>1495</v>
      </c>
      <c r="B10" s="176" t="str">
        <f>IF(B4="","",(VLOOKUP('SF DATA'!K24,DataBase!$AC$4:$AE$11,2,0)))</f>
        <v/>
      </c>
      <c r="C10" s="473"/>
    </row>
    <row r="11" spans="1:3" x14ac:dyDescent="0.2">
      <c r="A11" s="174" t="s">
        <v>1496</v>
      </c>
      <c r="B11" s="176" t="str">
        <f>IFERROR(VLOOKUP($B$4,FAC!$A$3:$S$27,5,0),"")</f>
        <v/>
      </c>
      <c r="C11" s="473"/>
    </row>
    <row r="12" spans="1:3" x14ac:dyDescent="0.2">
      <c r="A12" s="174" t="s">
        <v>1497</v>
      </c>
      <c r="B12" s="176" t="str">
        <f>IFERROR(IF((VLOOKUP($B$4,FAC!$A$3:$S$27,7,0))="","",(VLOOKUP($B$4,FAC!$A$3:$S$27,7,0))),"")</f>
        <v/>
      </c>
      <c r="C12" s="473"/>
    </row>
    <row r="13" spans="1:3" x14ac:dyDescent="0.2">
      <c r="A13" s="174" t="s">
        <v>606</v>
      </c>
      <c r="B13" s="176" t="str">
        <f>IF($B$4="","",'SF DATA'!$C$8)</f>
        <v/>
      </c>
      <c r="C13" s="473"/>
    </row>
    <row r="14" spans="1:3" x14ac:dyDescent="0.2">
      <c r="A14" s="174" t="s">
        <v>139</v>
      </c>
      <c r="B14" s="176" t="str">
        <f>IF($B$4="","",'SF DATA'!$C$9)</f>
        <v/>
      </c>
      <c r="C14" s="473"/>
    </row>
    <row r="15" spans="1:3" x14ac:dyDescent="0.2">
      <c r="A15" s="174" t="s">
        <v>1498</v>
      </c>
      <c r="B15" s="178" t="str">
        <f>IFERROR(VLOOKUP($B$4,FAC!$A$3:$S$27,9,0)*100,"")</f>
        <v/>
      </c>
      <c r="C15" s="473"/>
    </row>
    <row r="16" spans="1:3" x14ac:dyDescent="0.2">
      <c r="A16" s="474" t="s">
        <v>1499</v>
      </c>
      <c r="B16" s="474"/>
      <c r="C16" s="473"/>
    </row>
    <row r="17" spans="1:3" x14ac:dyDescent="0.2">
      <c r="A17" s="179" t="s">
        <v>742</v>
      </c>
      <c r="B17" s="180" t="str">
        <f>IFERROR((VLOOKUP(B4,FAC!$A$3:$S$27,13,0))*100,"")</f>
        <v/>
      </c>
      <c r="C17" s="473"/>
    </row>
    <row r="18" spans="1:3" x14ac:dyDescent="0.2">
      <c r="A18" s="179" t="s">
        <v>148</v>
      </c>
      <c r="B18" s="180" t="str">
        <f>IFERROR((VLOOKUP(B4,FAC!$A$3:$S$27,14,0))*100,"")</f>
        <v/>
      </c>
      <c r="C18" s="473"/>
    </row>
    <row r="19" spans="1:3" x14ac:dyDescent="0.2">
      <c r="B19" s="181">
        <f>SUM(B17:B18)</f>
        <v>0</v>
      </c>
      <c r="C19" s="473"/>
    </row>
    <row r="20" spans="1:3" x14ac:dyDescent="0.2">
      <c r="B20" s="181"/>
      <c r="C20" s="473"/>
    </row>
    <row r="21" spans="1:3" x14ac:dyDescent="0.2">
      <c r="A21" s="475" t="s">
        <v>1500</v>
      </c>
      <c r="B21" s="476"/>
      <c r="C21" s="473"/>
    </row>
    <row r="22" spans="1:3" x14ac:dyDescent="0.2">
      <c r="A22" s="182" t="s">
        <v>602</v>
      </c>
      <c r="B22" s="183" t="s">
        <v>555</v>
      </c>
      <c r="C22" s="473"/>
    </row>
    <row r="23" spans="1:3" x14ac:dyDescent="0.2">
      <c r="A23" s="174" t="s">
        <v>1490</v>
      </c>
      <c r="B23" s="175" t="str">
        <f>IF(B24="","",'SF DATA'!$C$18)</f>
        <v/>
      </c>
      <c r="C23" s="473"/>
    </row>
    <row r="24" spans="1:3" x14ac:dyDescent="0.2">
      <c r="A24" s="174" t="s">
        <v>1443</v>
      </c>
      <c r="B24" s="176"/>
      <c r="C24" s="473"/>
    </row>
    <row r="25" spans="1:3" x14ac:dyDescent="0.2">
      <c r="A25" s="174" t="s">
        <v>1491</v>
      </c>
      <c r="B25" s="175" t="str">
        <f>IF(B24="","",'SF DATA'!$C$19)</f>
        <v/>
      </c>
      <c r="C25" s="473"/>
    </row>
    <row r="26" spans="1:3" x14ac:dyDescent="0.2">
      <c r="A26" s="174" t="s">
        <v>1492</v>
      </c>
      <c r="B26" s="176" t="str">
        <f>IF(B24="","",VLOOKUP(DataBase!$AC$11,DataBase!$AC$4:$AE$8,3))</f>
        <v/>
      </c>
      <c r="C26" s="473"/>
    </row>
    <row r="27" spans="1:3" x14ac:dyDescent="0.2">
      <c r="A27" s="174" t="s">
        <v>1493</v>
      </c>
      <c r="B27" s="176" t="str">
        <f>IF(B24="","",'SF DATA'!$C$30)</f>
        <v/>
      </c>
      <c r="C27" s="473"/>
    </row>
    <row r="28" spans="1:3" x14ac:dyDescent="0.2">
      <c r="A28" s="174" t="s">
        <v>1501</v>
      </c>
      <c r="B28" s="176" t="str">
        <f>IF(B24="LIBSEGMX","MXN",(IF(B24="LIBSEGPE","PEN","USD")))</f>
        <v>USD</v>
      </c>
      <c r="C28" s="473"/>
    </row>
    <row r="29" spans="1:3" x14ac:dyDescent="0.2">
      <c r="A29" s="174" t="s">
        <v>1494</v>
      </c>
      <c r="B29" s="177" t="str">
        <f>IFERROR((VLOOKUP(B24,FAC!$A$3:$S$27,12,0))*100,"")</f>
        <v/>
      </c>
      <c r="C29" s="473"/>
    </row>
    <row r="30" spans="1:3" x14ac:dyDescent="0.2">
      <c r="A30" s="174" t="s">
        <v>1495</v>
      </c>
      <c r="B30" s="176" t="str">
        <f>IF(B24="","",(VLOOKUP('SF DATA'!K24,DataBase!$AC$4:$AE$11,2,0)))</f>
        <v/>
      </c>
      <c r="C30" s="473"/>
    </row>
    <row r="31" spans="1:3" x14ac:dyDescent="0.2">
      <c r="A31" s="174" t="s">
        <v>1497</v>
      </c>
      <c r="B31" s="176" t="str">
        <f>IFERROR(IF((VLOOKUP(B24,FAC!$A$3:$S$27,7,0))="","",(VLOOKUP(B24,FAC!$A$3:$S$27,7,0))),"")</f>
        <v/>
      </c>
      <c r="C31" s="473"/>
    </row>
    <row r="32" spans="1:3" x14ac:dyDescent="0.2">
      <c r="A32" s="174" t="s">
        <v>606</v>
      </c>
      <c r="B32" s="176" t="str">
        <f>IF(B24="","",'SF DATA'!$C$8)</f>
        <v/>
      </c>
      <c r="C32" s="473"/>
    </row>
    <row r="33" spans="1:3" x14ac:dyDescent="0.2">
      <c r="A33" s="174" t="s">
        <v>139</v>
      </c>
      <c r="B33" s="176" t="str">
        <f>IF(B24="","",'SF DATA'!$C$9)</f>
        <v/>
      </c>
      <c r="C33" s="473"/>
    </row>
    <row r="34" spans="1:3" x14ac:dyDescent="0.2">
      <c r="A34" s="174" t="s">
        <v>1498</v>
      </c>
      <c r="B34" s="178" t="str">
        <f>IFERROR(VLOOKUP(B24,FAC!$A$3:$S$27,9,0)*100,"")</f>
        <v/>
      </c>
      <c r="C34" s="473"/>
    </row>
    <row r="35" spans="1:3" x14ac:dyDescent="0.2">
      <c r="A35" s="474" t="s">
        <v>1499</v>
      </c>
      <c r="B35" s="474"/>
      <c r="C35" s="473"/>
    </row>
    <row r="36" spans="1:3" x14ac:dyDescent="0.2">
      <c r="A36" s="179" t="s">
        <v>742</v>
      </c>
      <c r="B36" s="180" t="str">
        <f>IFERROR((VLOOKUP(B24,FAC!$A$3:$S$27,13,0))*100,"")</f>
        <v/>
      </c>
      <c r="C36" s="473"/>
    </row>
    <row r="37" spans="1:3" x14ac:dyDescent="0.2">
      <c r="A37" s="179" t="s">
        <v>148</v>
      </c>
      <c r="B37" s="180" t="str">
        <f>IFERROR((VLOOKUP(B24,FAC!$A$3:$S$27,14,0))*100,"")</f>
        <v/>
      </c>
      <c r="C37" s="473"/>
    </row>
    <row r="38" spans="1:3" x14ac:dyDescent="0.2">
      <c r="B38" s="181">
        <f>SUM(B36:B37)</f>
        <v>0</v>
      </c>
      <c r="C38" s="473"/>
    </row>
  </sheetData>
  <mergeCells count="6">
    <mergeCell ref="A1:B1"/>
    <mergeCell ref="C1:C2"/>
    <mergeCell ref="C3:C38"/>
    <mergeCell ref="A16:B16"/>
    <mergeCell ref="A21:B21"/>
    <mergeCell ref="A35:B35"/>
  </mergeCells>
  <conditionalFormatting sqref="A16:B16">
    <cfRule type="expression" dxfId="11" priority="4">
      <formula>$B$19&gt;0</formula>
    </cfRule>
  </conditionalFormatting>
  <conditionalFormatting sqref="A17:B17">
    <cfRule type="expression" dxfId="10" priority="6">
      <formula>($B$17=0)+($B$17="")</formula>
    </cfRule>
  </conditionalFormatting>
  <conditionalFormatting sqref="A18:B18">
    <cfRule type="expression" dxfId="9" priority="5">
      <formula>($B$18=0)+($B$18="")</formula>
    </cfRule>
  </conditionalFormatting>
  <conditionalFormatting sqref="A35:B35">
    <cfRule type="expression" dxfId="8" priority="1">
      <formula>$B$38&gt;0</formula>
    </cfRule>
  </conditionalFormatting>
  <conditionalFormatting sqref="A36:B36">
    <cfRule type="expression" dxfId="7" priority="3">
      <formula>($B$36=0)+($B$36="")</formula>
    </cfRule>
  </conditionalFormatting>
  <conditionalFormatting sqref="A37:B37">
    <cfRule type="expression" dxfId="6" priority="2">
      <formula>($B$37=0)+($B$37="")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B19C31-F4B1-4261-A951-AAB71FE4D797}">
          <x14:formula1>
            <xm:f>FAC!$A$3:$A$27</xm:f>
          </x14:formula1>
          <xm:sqref>B4 B24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4F141-D936-431D-BD9F-B8927D9A8C57}">
  <sheetPr codeName="Sheet10">
    <tabColor theme="4" tint="0.39997558519241921"/>
  </sheetPr>
  <dimension ref="A1:B19"/>
  <sheetViews>
    <sheetView workbookViewId="0">
      <selection activeCell="B5" sqref="B5"/>
    </sheetView>
  </sheetViews>
  <sheetFormatPr defaultRowHeight="14.25" x14ac:dyDescent="0.2"/>
  <cols>
    <col min="1" max="1" width="25.75" bestFit="1" customWidth="1"/>
    <col min="2" max="2" width="12.875" customWidth="1"/>
  </cols>
  <sheetData>
    <row r="1" spans="1:2" ht="15" x14ac:dyDescent="0.2">
      <c r="A1" s="477" t="s">
        <v>1488</v>
      </c>
      <c r="B1" s="477"/>
    </row>
    <row r="2" spans="1:2" ht="15" x14ac:dyDescent="0.2">
      <c r="A2" s="145" t="s">
        <v>602</v>
      </c>
      <c r="B2" s="145" t="s">
        <v>555</v>
      </c>
    </row>
    <row r="3" spans="1:2" ht="15" x14ac:dyDescent="0.2">
      <c r="A3" s="325" t="s">
        <v>1443</v>
      </c>
      <c r="B3" s="326"/>
    </row>
    <row r="4" spans="1:2" ht="15" x14ac:dyDescent="0.2">
      <c r="A4" s="325" t="s">
        <v>1490</v>
      </c>
      <c r="B4" s="327" t="str">
        <f>IF($B$3="","",'SF DATA'!$C$18)</f>
        <v/>
      </c>
    </row>
    <row r="5" spans="1:2" ht="15" x14ac:dyDescent="0.2">
      <c r="A5" s="325" t="s">
        <v>1491</v>
      </c>
      <c r="B5" s="327" t="str">
        <f>IF($B$3="","",'SF DATA'!$C$19)</f>
        <v/>
      </c>
    </row>
    <row r="6" spans="1:2" ht="15" x14ac:dyDescent="0.2">
      <c r="A6" s="325" t="s">
        <v>606</v>
      </c>
      <c r="B6" s="328" t="str">
        <f>IF($B$3="","",'SF DATA'!$C$8)</f>
        <v/>
      </c>
    </row>
    <row r="7" spans="1:2" ht="15" x14ac:dyDescent="0.2">
      <c r="A7" s="325" t="s">
        <v>139</v>
      </c>
      <c r="B7" s="328" t="str">
        <f>IF($B$3="","",'SF DATA'!$C$9)</f>
        <v/>
      </c>
    </row>
    <row r="8" spans="1:2" ht="15" x14ac:dyDescent="0.2">
      <c r="A8" s="325" t="s">
        <v>1492</v>
      </c>
      <c r="B8" s="326" t="str">
        <f>IF($B$3="","",VLOOKUP('SF DATA'!$K$24,DataBase!$AC$4:$AE$8,3))</f>
        <v/>
      </c>
    </row>
    <row r="9" spans="1:2" ht="15" x14ac:dyDescent="0.2">
      <c r="A9" s="325" t="s">
        <v>1493</v>
      </c>
      <c r="B9" s="326" t="str">
        <f>IF(B3="","",'SF DATA'!$C$30)</f>
        <v/>
      </c>
    </row>
    <row r="10" spans="1:2" ht="15" x14ac:dyDescent="0.2">
      <c r="A10" s="325" t="s">
        <v>204</v>
      </c>
      <c r="B10" s="326" t="str">
        <f>IFERROR(VLOOKUP($B$3,FAC!$A$3:$T$27,20,0),"")</f>
        <v/>
      </c>
    </row>
    <row r="11" spans="1:2" ht="15" x14ac:dyDescent="0.2">
      <c r="A11" s="325" t="s">
        <v>1495</v>
      </c>
      <c r="B11" s="326" t="str">
        <f>IF(B3="","",(VLOOKUP('SF DATA'!$K$24,DataBase!$AC$4:$AE$11,2,0)))</f>
        <v/>
      </c>
    </row>
    <row r="12" spans="1:2" ht="15" x14ac:dyDescent="0.2">
      <c r="A12" s="325" t="s">
        <v>1496</v>
      </c>
      <c r="B12" s="326" t="str">
        <f>IFERROR(VLOOKUP($B$3,FAC!$A$3:$S$27,5,0),"")</f>
        <v/>
      </c>
    </row>
    <row r="13" spans="1:2" ht="15" x14ac:dyDescent="0.2">
      <c r="A13" s="325" t="s">
        <v>1497</v>
      </c>
      <c r="B13" s="326" t="str">
        <f>IFERROR(IF((VLOOKUP($B$3,FAC!$A$3:$S$27,7,0))="","",(VLOOKUP($B$3,FAC!$A$3:$S$27,7,0))),"")</f>
        <v/>
      </c>
    </row>
    <row r="14" spans="1:2" ht="15" x14ac:dyDescent="0.2">
      <c r="A14" s="325" t="s">
        <v>1498</v>
      </c>
      <c r="B14" s="326" t="str">
        <f>IFERROR(VLOOKUP($B$3,FAC!$A$3:$S$27,9,0)*100,"")</f>
        <v/>
      </c>
    </row>
    <row r="15" spans="1:2" ht="15" customHeight="1" x14ac:dyDescent="0.2">
      <c r="A15" s="477" t="s">
        <v>2402</v>
      </c>
      <c r="B15" s="477"/>
    </row>
    <row r="16" spans="1:2" ht="15" x14ac:dyDescent="0.2">
      <c r="A16" s="325" t="s">
        <v>1494</v>
      </c>
      <c r="B16" s="331" t="str">
        <f>IFERROR((VLOOKUP($B$3,FAC!$A$3:$S$27,12,0))*100,"")</f>
        <v/>
      </c>
    </row>
    <row r="17" spans="1:2" ht="15" x14ac:dyDescent="0.2">
      <c r="A17" s="325" t="s">
        <v>148</v>
      </c>
      <c r="B17" s="326" t="str">
        <f>IFERROR((VLOOKUP(B3,FAC!$A$3:$S$27,14,0))*100,"")</f>
        <v/>
      </c>
    </row>
    <row r="18" spans="1:2" ht="15" x14ac:dyDescent="0.2">
      <c r="A18" s="325" t="s">
        <v>742</v>
      </c>
      <c r="B18" s="326" t="str">
        <f>IFERROR((VLOOKUP(B3,FAC!$A$3:$S$27,13,0))*100,"")</f>
        <v/>
      </c>
    </row>
    <row r="19" spans="1:2" ht="15" x14ac:dyDescent="0.2">
      <c r="A19" s="329"/>
      <c r="B19" s="330">
        <f>SUM(B18:B18)</f>
        <v>0</v>
      </c>
    </row>
  </sheetData>
  <mergeCells count="2">
    <mergeCell ref="A1:B1"/>
    <mergeCell ref="A15:B1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BAE28A-C35B-4A08-A9D3-F7E07F8CE4C9}">
          <x14:formula1>
            <xm:f>FAC!$A$3:$A$27</xm:f>
          </x14:formula1>
          <xm:sqref>B3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026C-5996-43D5-84BC-C0A26DAD2656}">
  <sheetPr codeName="Sheet8">
    <tabColor theme="4" tint="0.39997558519241921"/>
  </sheetPr>
  <dimension ref="A1:C32"/>
  <sheetViews>
    <sheetView zoomScale="70" zoomScaleNormal="70" workbookViewId="0">
      <selection activeCell="A3" sqref="A3"/>
    </sheetView>
  </sheetViews>
  <sheetFormatPr defaultColWidth="8" defaultRowHeight="15" x14ac:dyDescent="0.2"/>
  <cols>
    <col min="1" max="1" width="55.125" style="159" bestFit="1" customWidth="1"/>
    <col min="2" max="2" width="48.125" style="159" bestFit="1" customWidth="1"/>
    <col min="3" max="3" width="96.375" style="159" customWidth="1"/>
    <col min="4" max="16384" width="8" style="159"/>
  </cols>
  <sheetData>
    <row r="1" spans="1:3" x14ac:dyDescent="0.2">
      <c r="A1" s="478" t="s">
        <v>1488</v>
      </c>
      <c r="B1" s="479"/>
      <c r="C1" s="480" t="s">
        <v>1489</v>
      </c>
    </row>
    <row r="2" spans="1:3" x14ac:dyDescent="0.2">
      <c r="A2" s="67" t="s">
        <v>602</v>
      </c>
      <c r="B2" s="160" t="s">
        <v>555</v>
      </c>
      <c r="C2" s="481"/>
    </row>
    <row r="3" spans="1:3" x14ac:dyDescent="0.2">
      <c r="A3" s="161" t="s">
        <v>1490</v>
      </c>
      <c r="B3" s="162" t="str">
        <f>IF($B$4="","",'SF DATA'!$C$18)</f>
        <v/>
      </c>
      <c r="C3" s="163"/>
    </row>
    <row r="4" spans="1:3" x14ac:dyDescent="0.2">
      <c r="A4" s="161" t="s">
        <v>1443</v>
      </c>
      <c r="B4" s="176"/>
      <c r="C4" s="165"/>
    </row>
    <row r="5" spans="1:3" x14ac:dyDescent="0.2">
      <c r="A5" s="161" t="s">
        <v>1491</v>
      </c>
      <c r="B5" s="175" t="str">
        <f>IF($B$4="","",'SF DATA'!$C$19)</f>
        <v/>
      </c>
      <c r="C5" s="165"/>
    </row>
    <row r="6" spans="1:3" x14ac:dyDescent="0.2">
      <c r="A6" s="161" t="s">
        <v>1492</v>
      </c>
      <c r="B6" s="176" t="str">
        <f>IF($B$4="","",VLOOKUP(DataBase!$AC$11,DataBase!$AC$4:$AE$8,3))</f>
        <v/>
      </c>
      <c r="C6" s="165"/>
    </row>
    <row r="7" spans="1:3" x14ac:dyDescent="0.2">
      <c r="A7" s="161" t="s">
        <v>1493</v>
      </c>
      <c r="B7" s="176" t="str">
        <f>IF(B4="","",'SF DATA'!$C$30)</f>
        <v/>
      </c>
      <c r="C7" s="165"/>
    </row>
    <row r="8" spans="1:3" x14ac:dyDescent="0.2">
      <c r="A8" s="161" t="s">
        <v>1494</v>
      </c>
      <c r="B8" s="177" t="str">
        <f>IFERROR((VLOOKUP($B$4,FAC!$A$3:$S$27,12,0))*100,"")</f>
        <v/>
      </c>
      <c r="C8" s="165"/>
    </row>
    <row r="9" spans="1:3" x14ac:dyDescent="0.2">
      <c r="A9" s="161" t="s">
        <v>1495</v>
      </c>
      <c r="B9" s="164" t="str">
        <f>IF(B4="","",(VLOOKUP('SF DATA'!K24,DataBase!$AC$4:$AE$11,2,0)))</f>
        <v/>
      </c>
      <c r="C9" s="165"/>
    </row>
    <row r="10" spans="1:3" x14ac:dyDescent="0.2">
      <c r="A10" s="161" t="s">
        <v>1496</v>
      </c>
      <c r="B10" s="164" t="str">
        <f>IFERROR(VLOOKUP($B$4,FAC!$A$3:$S$27,5,0),"")</f>
        <v/>
      </c>
      <c r="C10" s="165"/>
    </row>
    <row r="11" spans="1:3" x14ac:dyDescent="0.2">
      <c r="A11" s="161" t="s">
        <v>1497</v>
      </c>
      <c r="B11" s="164" t="str">
        <f>IFERROR(IF((VLOOKUP($B$4,FAC!$A$3:$S$27,7,0))="","",(VLOOKUP($B$4,FAC!$A$3:$S$27,7,0))),"")</f>
        <v/>
      </c>
      <c r="C11" s="165"/>
    </row>
    <row r="12" spans="1:3" x14ac:dyDescent="0.2">
      <c r="A12" s="161" t="s">
        <v>1498</v>
      </c>
      <c r="B12" s="166" t="str">
        <f>IFERROR(VLOOKUP($B$4,FAC!$A$3:$S$27,9,0)*100,"")</f>
        <v/>
      </c>
      <c r="C12" s="165"/>
    </row>
    <row r="13" spans="1:3" x14ac:dyDescent="0.2">
      <c r="A13" s="474" t="s">
        <v>1499</v>
      </c>
      <c r="B13" s="474"/>
      <c r="C13" s="165"/>
    </row>
    <row r="14" spans="1:3" x14ac:dyDescent="0.2">
      <c r="A14" s="179" t="s">
        <v>742</v>
      </c>
      <c r="B14" s="180" t="str">
        <f>IFERROR((VLOOKUP(B4,FAC!$A$3:$S$27,13,0))*100,"")</f>
        <v/>
      </c>
      <c r="C14" s="165"/>
    </row>
    <row r="15" spans="1:3" x14ac:dyDescent="0.2">
      <c r="A15" s="179" t="s">
        <v>148</v>
      </c>
      <c r="B15" s="180" t="str">
        <f>IFERROR((VLOOKUP(B4,FAC!$A$3:$S$27,14,0))*100,"")</f>
        <v/>
      </c>
      <c r="C15" s="165"/>
    </row>
    <row r="16" spans="1:3" x14ac:dyDescent="0.2">
      <c r="A16" s="172"/>
      <c r="B16" s="181">
        <f>SUM(B14:B15)</f>
        <v>0</v>
      </c>
      <c r="C16" s="165"/>
    </row>
    <row r="17" spans="1:3" x14ac:dyDescent="0.2">
      <c r="B17" s="169"/>
      <c r="C17" s="165"/>
    </row>
    <row r="18" spans="1:3" x14ac:dyDescent="0.2">
      <c r="A18" s="170" t="s">
        <v>1500</v>
      </c>
      <c r="B18" s="170"/>
      <c r="C18" s="165"/>
    </row>
    <row r="19" spans="1:3" x14ac:dyDescent="0.2">
      <c r="A19" s="170" t="s">
        <v>602</v>
      </c>
      <c r="B19" s="170" t="s">
        <v>555</v>
      </c>
      <c r="C19" s="165"/>
    </row>
    <row r="20" spans="1:3" x14ac:dyDescent="0.2">
      <c r="A20" s="161" t="s">
        <v>1490</v>
      </c>
      <c r="B20" s="175" t="str">
        <f>IF(B21="","",'SF DATA'!$C$18)</f>
        <v/>
      </c>
      <c r="C20" s="165"/>
    </row>
    <row r="21" spans="1:3" x14ac:dyDescent="0.2">
      <c r="A21" s="161" t="s">
        <v>1443</v>
      </c>
      <c r="B21" s="176"/>
      <c r="C21" s="165"/>
    </row>
    <row r="22" spans="1:3" x14ac:dyDescent="0.2">
      <c r="A22" s="161" t="s">
        <v>1491</v>
      </c>
      <c r="B22" s="175" t="str">
        <f>IF(B21="","",'SF DATA'!$C$19)</f>
        <v/>
      </c>
      <c r="C22" s="165"/>
    </row>
    <row r="23" spans="1:3" x14ac:dyDescent="0.2">
      <c r="A23" s="161" t="s">
        <v>1492</v>
      </c>
      <c r="B23" s="176" t="str">
        <f>IF(B21="","",VLOOKUP(DataBase!$AC$11,DataBase!$AC$4:$AE$8,3))</f>
        <v/>
      </c>
      <c r="C23" s="165"/>
    </row>
    <row r="24" spans="1:3" x14ac:dyDescent="0.2">
      <c r="A24" s="161" t="s">
        <v>1493</v>
      </c>
      <c r="B24" s="176" t="str">
        <f>IF(B21="","",'SF DATA'!$C$30)</f>
        <v/>
      </c>
      <c r="C24" s="165"/>
    </row>
    <row r="25" spans="1:3" x14ac:dyDescent="0.2">
      <c r="A25" s="161" t="s">
        <v>1494</v>
      </c>
      <c r="B25" s="177" t="str">
        <f>IFERROR((VLOOKUP(B21,FAC!$A$3:$S$27,12,0))*100,"")</f>
        <v/>
      </c>
      <c r="C25" s="165"/>
    </row>
    <row r="26" spans="1:3" x14ac:dyDescent="0.2">
      <c r="A26" s="161" t="s">
        <v>1495</v>
      </c>
      <c r="B26" s="176" t="str">
        <f>IF(B21="","",(VLOOKUP('SF DATA'!K24,DataBase!$AC$4:$AE$11,2,0)))</f>
        <v/>
      </c>
      <c r="C26" s="165"/>
    </row>
    <row r="27" spans="1:3" x14ac:dyDescent="0.2">
      <c r="A27" s="161" t="s">
        <v>1497</v>
      </c>
      <c r="B27" s="176" t="str">
        <f>IFERROR(IF((VLOOKUP(B21,FAC!$A$3:$S$27,7,0))="","",(VLOOKUP(B21,FAC!$A$3:$S$27,7,0))),"")</f>
        <v/>
      </c>
      <c r="C27" s="165"/>
    </row>
    <row r="28" spans="1:3" x14ac:dyDescent="0.2">
      <c r="A28" s="161" t="s">
        <v>1498</v>
      </c>
      <c r="B28" s="178" t="str">
        <f>IFERROR(VLOOKUP(B21,FAC!$A$3:$S$27,9,0)*100,"")</f>
        <v/>
      </c>
      <c r="C28" s="171"/>
    </row>
    <row r="29" spans="1:3" x14ac:dyDescent="0.2">
      <c r="A29" s="482" t="s">
        <v>1499</v>
      </c>
      <c r="B29" s="482"/>
    </row>
    <row r="30" spans="1:3" x14ac:dyDescent="0.2">
      <c r="A30" s="167" t="s">
        <v>742</v>
      </c>
      <c r="B30" s="168" t="str">
        <f>IFERROR((VLOOKUP(B21,FAC!$A$3:$S$27,13,0))*100,"")</f>
        <v/>
      </c>
    </row>
    <row r="31" spans="1:3" x14ac:dyDescent="0.2">
      <c r="A31" s="167" t="s">
        <v>148</v>
      </c>
      <c r="B31" s="168" t="str">
        <f>IFERROR((VLOOKUP(B21,FAC!$A$3:$S$27,14,0))*100,"")</f>
        <v/>
      </c>
    </row>
    <row r="32" spans="1:3" x14ac:dyDescent="0.2">
      <c r="B32" s="169">
        <f>SUM(B30:B31)</f>
        <v>0</v>
      </c>
    </row>
  </sheetData>
  <mergeCells count="4">
    <mergeCell ref="A1:B1"/>
    <mergeCell ref="C1:C2"/>
    <mergeCell ref="A13:B13"/>
    <mergeCell ref="A29:B29"/>
  </mergeCells>
  <conditionalFormatting sqref="A13:B13">
    <cfRule type="expression" dxfId="5" priority="1">
      <formula>$B$16&gt;0</formula>
    </cfRule>
  </conditionalFormatting>
  <conditionalFormatting sqref="A14:B14">
    <cfRule type="expression" dxfId="4" priority="3">
      <formula>($B$14=0)+($B$14="")</formula>
    </cfRule>
  </conditionalFormatting>
  <conditionalFormatting sqref="A15:B15">
    <cfRule type="expression" dxfId="3" priority="2">
      <formula>($B$15=0)+($B$15="")</formula>
    </cfRule>
  </conditionalFormatting>
  <conditionalFormatting sqref="A29:B29">
    <cfRule type="expression" dxfId="2" priority="4">
      <formula>$B$32&gt;0</formula>
    </cfRule>
  </conditionalFormatting>
  <conditionalFormatting sqref="A30:B30">
    <cfRule type="expression" dxfId="1" priority="6">
      <formula>($B$30=0)+($B$30="")</formula>
    </cfRule>
  </conditionalFormatting>
  <conditionalFormatting sqref="A31:B31">
    <cfRule type="expression" dxfId="0" priority="5">
      <formula>($B$31=0)+($B$31="")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53B409-71F0-4494-9969-701E6736C507}">
          <x14:formula1>
            <xm:f>FAC!$A$3:$A$27</xm:f>
          </x14:formula1>
          <xm:sqref>B4 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5B25A00DA4334E8A2F801FA45D9862" ma:contentTypeVersion="11" ma:contentTypeDescription="Create a new document." ma:contentTypeScope="" ma:versionID="93186911e946cca84617b7fb7f56515a">
  <xsd:schema xmlns:xsd="http://www.w3.org/2001/XMLSchema" xmlns:xs="http://www.w3.org/2001/XMLSchema" xmlns:p="http://schemas.microsoft.com/office/2006/metadata/properties" xmlns:ns3="01851b5e-adef-453b-9f25-18015ac56a77" xmlns:ns4="c9db0991-8ea9-447b-8d9b-aee39936a1ed" targetNamespace="http://schemas.microsoft.com/office/2006/metadata/properties" ma:root="true" ma:fieldsID="4fc256fb413ac17bb568d85934adffd1" ns3:_="" ns4:_="">
    <xsd:import namespace="01851b5e-adef-453b-9f25-18015ac56a77"/>
    <xsd:import namespace="c9db0991-8ea9-447b-8d9b-aee39936a1e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851b5e-adef-453b-9f25-18015ac56a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db0991-8ea9-447b-8d9b-aee39936a1e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0770D8-3F01-4DFF-8BB0-25BE06A5A82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B102787-7EF4-4EE9-AF08-C3B254CB1727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851b5e-adef-453b-9f25-18015ac56a77"/>
    <ds:schemaRef ds:uri="c9db0991-8ea9-447b-8d9b-aee39936a1e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BE31942-6EC9-4AA9-B7DE-4FEF06E73FC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C65FFC-F2CF-4CEB-9900-F020FAC152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851b5e-adef-453b-9f25-18015ac56a77"/>
    <ds:schemaRef ds:uri="c9db0991-8ea9-447b-8d9b-aee39936a1e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DATA</vt:lpstr>
      <vt:lpstr>DataBase</vt:lpstr>
      <vt:lpstr>SF DATA</vt:lpstr>
      <vt:lpstr>TABLA</vt:lpstr>
      <vt:lpstr>GENIUS</vt:lpstr>
      <vt:lpstr>FAC</vt:lpstr>
      <vt:lpstr>MACRO FAC REG ROW</vt:lpstr>
      <vt:lpstr>BASE FAC</vt:lpstr>
      <vt:lpstr>MACRO FAC REG LIBSEGBR</vt:lpstr>
      <vt:lpstr>branch1</vt:lpstr>
      <vt:lpstr>BROKER1</vt:lpstr>
      <vt:lpstr>COVERAGE</vt:lpstr>
      <vt:lpstr>CUOTA</vt:lpstr>
      <vt:lpstr>directasu</vt:lpstr>
      <vt:lpstr>'SF DATA'!EFFECTIVE</vt:lpstr>
      <vt:lpstr>FAC</vt:lpstr>
      <vt:lpstr>fr</vt:lpstr>
      <vt:lpstr>INSTALLAMENT1</vt:lpstr>
      <vt:lpstr>INSTALLAMENT10</vt:lpstr>
      <vt:lpstr>INSTALLAMENT11</vt:lpstr>
      <vt:lpstr>INSTALLAMENT12</vt:lpstr>
      <vt:lpstr>INSTALLAMENT13</vt:lpstr>
      <vt:lpstr>INSTALLAMENT2</vt:lpstr>
      <vt:lpstr>INSTALLAMENT3</vt:lpstr>
      <vt:lpstr>INSTALLAMENT4</vt:lpstr>
      <vt:lpstr>INSTALLAMENT5</vt:lpstr>
      <vt:lpstr>INSTALLAMENT6</vt:lpstr>
      <vt:lpstr>INSTALLAMENT7</vt:lpstr>
      <vt:lpstr>INSTALLAMENT8</vt:lpstr>
      <vt:lpstr>INSTALLAMENT9</vt:lpstr>
      <vt:lpstr>MACRORUTA</vt:lpstr>
      <vt:lpstr>NO_BROKER</vt:lpstr>
      <vt:lpstr>nombre</vt:lpstr>
      <vt:lpstr>'SF DATA'!NUM_INST_FIELD</vt:lpstr>
      <vt:lpstr>'SF DATA'!NUM_INST_LIST</vt:lpstr>
      <vt:lpstr>'SF DATA'!PPW</vt:lpstr>
      <vt:lpstr>RENEW1</vt:lpstr>
      <vt:lpstr>RENEW10</vt:lpstr>
      <vt:lpstr>RENEW11</vt:lpstr>
      <vt:lpstr>RENEW12</vt:lpstr>
      <vt:lpstr>RENEW13</vt:lpstr>
      <vt:lpstr>RENEW2</vt:lpstr>
      <vt:lpstr>RENEW3</vt:lpstr>
      <vt:lpstr>RENEW4</vt:lpstr>
      <vt:lpstr>RENEW5</vt:lpstr>
      <vt:lpstr>RENEW6</vt:lpstr>
      <vt:lpstr>RENEW7</vt:lpstr>
      <vt:lpstr>RENEW8</vt:lpstr>
      <vt:lpstr>RENEW9</vt:lpstr>
      <vt:lpstr>TREATY</vt:lpstr>
      <vt:lpstr>UNDERWRITER</vt:lpstr>
    </vt:vector>
  </TitlesOfParts>
  <Company>Liberty Mutual Insurance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Liberty Mutual</dc:creator>
  <cp:lastModifiedBy>Ramo, Wikin</cp:lastModifiedBy>
  <cp:lastPrinted>2016-06-14T20:47:07Z</cp:lastPrinted>
  <dcterms:created xsi:type="dcterms:W3CDTF">2014-07-03T18:02:28Z</dcterms:created>
  <dcterms:modified xsi:type="dcterms:W3CDTF">2024-04-01T16:18:37Z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0x010100C05B25A00DA4334E8A2F801FA45D9862</vt:lpwstr>
  </property>
</Properties>
</file>