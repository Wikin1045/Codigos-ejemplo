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"/>
    </mc:Choice>
  </mc:AlternateContent>
  <xr:revisionPtr revIDLastSave="107" documentId="13_ncr:1_{F3575A09-B5E6-4656-BF10-78013ADFB3C8}" xr6:coauthVersionLast="47" xr6:coauthVersionMax="47" xr10:uidLastSave="{542588BB-9F09-4555-B5A3-CF452EFE5D72}"/>
  <bookViews>
    <workbookView xWindow="-120" yWindow="-120" windowWidth="20730" windowHeight="11160" activeTab="4" xr2:uid="{00000000-000D-0000-FFFF-FFFF00000000}"/>
  </bookViews>
  <sheets>
    <sheet name="Buttons" sheetId="8" r:id="rId1"/>
    <sheet name="SOV" sheetId="3" r:id="rId2"/>
    <sheet name="Pricing" sheetId="5" r:id="rId3"/>
    <sheet name="Rate Monitoring" sheetId="6" r:id="rId4"/>
    <sheet name="Genius" sheetId="7" r:id="rId5"/>
    <sheet name="DATA" sheetId="9" r:id="rId6"/>
    <sheet name="Lists" sheetId="2" state="veryHidden" r:id="rId7"/>
  </sheets>
  <definedNames>
    <definedName name="_xlnm._FilterDatabase" localSheetId="6" hidden="1">Lists!$H$1:$N$50</definedName>
    <definedName name="_xlnm._FilterDatabase" localSheetId="1" hidden="1">SOV!$A$3:$Y$3</definedName>
    <definedName name="Alto_Grupo_A">Lists!$AK$10:$AL$10</definedName>
    <definedName name="Alto_Grupo_B">Lists!$AK$15:$AL$15</definedName>
    <definedName name="Bajo_Grupo_A">Lists!$AK$2</definedName>
    <definedName name="CATArgentina">Lists!$Q$43</definedName>
    <definedName name="CATBolivia">Lists!$Q$44</definedName>
    <definedName name="CATChile">Lists!$Q$38:$Q$42</definedName>
    <definedName name="CATColombia">Lists!$Q$21:$Q$29</definedName>
    <definedName name="CATCosta_Rica">Lists!$Q$6</definedName>
    <definedName name="CATEcuador">Lists!$Q$2:$Q$5</definedName>
    <definedName name="CATEl_Salvador">Lists!$Q$7</definedName>
    <definedName name="CATGuatemala">Lists!$Q$8:$Q$11</definedName>
    <definedName name="CATHonduras">Lists!$Q$12:$Q$17</definedName>
    <definedName name="CATNicaragua">Lists!$Q$18:$Q$19</definedName>
    <definedName name="CATPanama">Lists!$Q$20</definedName>
    <definedName name="CATParaguay">Lists!$Q$45</definedName>
    <definedName name="CATPeru">Lists!$Q$30:$Q$37</definedName>
    <definedName name="CATPuerto_Rico">Lists!$Q$47</definedName>
    <definedName name="CATUruguay">Lists!$Q$46</definedName>
    <definedName name="Churches">Lists!$I$2</definedName>
    <definedName name="Education">Lists!$I$3:$I$6</definedName>
    <definedName name="Electronics">Lists!$I$7:$I$9</definedName>
    <definedName name="Entertainment">Lists!$I$10:$I$16</definedName>
    <definedName name="Food__Drink">Lists!$I$17:$I$22</definedName>
    <definedName name="General_Commercial">Lists!$I$23:$I$27</definedName>
    <definedName name="GROUP">DATA!$A$1:$A$279</definedName>
    <definedName name="Healthcare">Lists!$I$28:$I$30</definedName>
    <definedName name="Industrial_Light__Manufacturing">Lists!$I$31:$I$34</definedName>
    <definedName name="Medio_Grupo_A">Lists!$AK$3:$AL$3</definedName>
    <definedName name="Medio_Grupo_B">Lists!$AK$8:$AL$8</definedName>
    <definedName name="Municipalities">Lists!$I$35:$I$38</definedName>
    <definedName name="Pharmaceuticals">Lists!$I$39</definedName>
    <definedName name="Ports__Terminals">Lists!$I$40:$I$41</definedName>
    <definedName name="PRIMARY">DATA!$B$1:$B$279</definedName>
    <definedName name="_xlnm.Print_Area" localSheetId="0">Buttons!$A$1:$G$16</definedName>
    <definedName name="_xlnm.Print_Area" localSheetId="2">Pricing!$A$1:$K$66</definedName>
    <definedName name="_xlnm.Print_Area" localSheetId="3">'Rate Monitoring'!$A$1:$K$24</definedName>
    <definedName name="Rail__Roads">Lists!$I$42</definedName>
    <definedName name="Residential">Lists!$I$43:$I$46</definedName>
    <definedName name="SECUNDARY">DATA!$C$1:$C$279</definedName>
    <definedName name="Severo_Grupo_A">Lists!$AK$17:$AL$17</definedName>
    <definedName name="Telecommunications">Lists!$I$47:$I$48</definedName>
    <definedName name="Temporary_Accomodation">Lists!$I$49</definedName>
    <definedName name="Utilities">Lists!$I$50</definedName>
    <definedName name="Warehouse">Lists!$I$51</definedName>
  </definedNames>
  <calcPr calcId="191029"/>
  <pivotCaches>
    <pivotCache cacheId="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1" i="7" l="1"/>
  <c r="F58" i="7"/>
  <c r="F54" i="7"/>
  <c r="F50" i="7"/>
  <c r="F43" i="7"/>
  <c r="F42" i="7"/>
  <c r="F41" i="7"/>
  <c r="F40" i="7"/>
  <c r="F39" i="7"/>
  <c r="F18" i="7"/>
  <c r="F19" i="7" s="1"/>
  <c r="F34" i="7"/>
  <c r="F11" i="7" a="1"/>
  <c r="F11" i="7" s="1"/>
  <c r="F5" i="7"/>
  <c r="C3" i="7"/>
  <c r="F3" i="7"/>
  <c r="F37" i="7" a="1"/>
  <c r="F37" i="7" s="1"/>
  <c r="F55" i="7"/>
  <c r="E62" i="5"/>
  <c r="E61" i="5" l="1"/>
  <c r="AA1" i="3" l="1"/>
  <c r="M4" i="3"/>
  <c r="F28" i="5"/>
  <c r="E28" i="5"/>
  <c r="S22" i="2" l="1"/>
  <c r="T22" i="2"/>
  <c r="U22" i="2"/>
  <c r="Z22" i="2" s="1"/>
  <c r="S23" i="2"/>
  <c r="T23" i="2"/>
  <c r="U23" i="2"/>
  <c r="S24" i="2"/>
  <c r="T24" i="2"/>
  <c r="U24" i="2"/>
  <c r="S25" i="2"/>
  <c r="T25" i="2"/>
  <c r="U25" i="2"/>
  <c r="Z25" i="2" s="1"/>
  <c r="S26" i="2"/>
  <c r="T26" i="2"/>
  <c r="U26" i="2"/>
  <c r="Z26" i="2" s="1"/>
  <c r="S27" i="2"/>
  <c r="T27" i="2"/>
  <c r="U27" i="2"/>
  <c r="S28" i="2"/>
  <c r="T28" i="2"/>
  <c r="U28" i="2"/>
  <c r="S29" i="2"/>
  <c r="T29" i="2"/>
  <c r="U29" i="2"/>
  <c r="Z29" i="2" s="1"/>
  <c r="S30" i="2"/>
  <c r="T30" i="2"/>
  <c r="U30" i="2"/>
  <c r="Z30" i="2" s="1"/>
  <c r="S31" i="2"/>
  <c r="T31" i="2"/>
  <c r="U31" i="2"/>
  <c r="Z31" i="2" s="1"/>
  <c r="S32" i="2"/>
  <c r="T32" i="2"/>
  <c r="U32" i="2"/>
  <c r="S33" i="2"/>
  <c r="T33" i="2"/>
  <c r="U33" i="2"/>
  <c r="Z33" i="2" s="1"/>
  <c r="S34" i="2"/>
  <c r="T34" i="2"/>
  <c r="U34" i="2"/>
  <c r="Z34" i="2" s="1"/>
  <c r="S35" i="2"/>
  <c r="T35" i="2"/>
  <c r="U35" i="2"/>
  <c r="S36" i="2"/>
  <c r="T36" i="2"/>
  <c r="U36" i="2"/>
  <c r="S37" i="2"/>
  <c r="T37" i="2"/>
  <c r="U37" i="2"/>
  <c r="S38" i="2"/>
  <c r="T38" i="2"/>
  <c r="U38" i="2"/>
  <c r="Z38" i="2" s="1"/>
  <c r="S39" i="2"/>
  <c r="T39" i="2"/>
  <c r="U39" i="2"/>
  <c r="S40" i="2"/>
  <c r="T40" i="2"/>
  <c r="U40" i="2"/>
  <c r="S41" i="2"/>
  <c r="T41" i="2"/>
  <c r="U41" i="2"/>
  <c r="Z41" i="2" s="1"/>
  <c r="S42" i="2"/>
  <c r="T42" i="2"/>
  <c r="U42" i="2"/>
  <c r="Z42" i="2" s="1"/>
  <c r="S43" i="2"/>
  <c r="T43" i="2"/>
  <c r="U43" i="2"/>
  <c r="S44" i="2"/>
  <c r="T44" i="2"/>
  <c r="U44" i="2"/>
  <c r="S45" i="2"/>
  <c r="T45" i="2"/>
  <c r="U45" i="2"/>
  <c r="Z45" i="2" s="1"/>
  <c r="S46" i="2"/>
  <c r="T46" i="2"/>
  <c r="U46" i="2"/>
  <c r="Z46" i="2" s="1"/>
  <c r="T21" i="2"/>
  <c r="S21" i="2"/>
  <c r="U21" i="2"/>
  <c r="Z21" i="2" s="1"/>
  <c r="D54" i="5"/>
  <c r="AF48" i="2"/>
  <c r="AF49" i="2"/>
  <c r="AF50" i="2"/>
  <c r="AF51" i="2"/>
  <c r="AF52" i="2"/>
  <c r="AF53" i="2"/>
  <c r="AF54" i="2"/>
  <c r="O4" i="3"/>
  <c r="Y21" i="2"/>
  <c r="Y22" i="2"/>
  <c r="Y23" i="2"/>
  <c r="Z23" i="2"/>
  <c r="Y24" i="2"/>
  <c r="Z24" i="2"/>
  <c r="Y25" i="2"/>
  <c r="Y26" i="2"/>
  <c r="Y27" i="2"/>
  <c r="Z27" i="2"/>
  <c r="Y28" i="2"/>
  <c r="Z28" i="2"/>
  <c r="Y29" i="2"/>
  <c r="Y30" i="2"/>
  <c r="Y31" i="2"/>
  <c r="Y32" i="2"/>
  <c r="Z32" i="2"/>
  <c r="Y33" i="2"/>
  <c r="Y34" i="2"/>
  <c r="Y35" i="2"/>
  <c r="Z35" i="2"/>
  <c r="Y36" i="2"/>
  <c r="Z36" i="2"/>
  <c r="Y37" i="2"/>
  <c r="Z37" i="2"/>
  <c r="Y38" i="2"/>
  <c r="Y39" i="2"/>
  <c r="Z39" i="2"/>
  <c r="Y40" i="2"/>
  <c r="Z40" i="2"/>
  <c r="Y41" i="2"/>
  <c r="Y42" i="2"/>
  <c r="Y43" i="2"/>
  <c r="Z43" i="2"/>
  <c r="Y44" i="2"/>
  <c r="Z44" i="2"/>
  <c r="Y45" i="2"/>
  <c r="Y46" i="2"/>
  <c r="Y47" i="2"/>
  <c r="Z47" i="2"/>
  <c r="Y6" i="2" l="1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X4" i="3" l="1"/>
  <c r="Z4" i="3" s="1"/>
  <c r="AB4" i="3" s="1"/>
  <c r="W2" i="3"/>
  <c r="X2" i="3"/>
  <c r="Y2" i="3"/>
  <c r="D49" i="5" s="1"/>
  <c r="V2" i="3"/>
  <c r="Z2" i="3" l="1"/>
  <c r="E38" i="5"/>
  <c r="F16" i="5"/>
  <c r="C5" i="7"/>
  <c r="C13" i="7"/>
  <c r="C4" i="7"/>
  <c r="C20" i="7" l="1"/>
  <c r="C19" i="7"/>
  <c r="C27" i="7" l="1"/>
  <c r="C22" i="7"/>
  <c r="C16" i="7"/>
  <c r="C12" i="7"/>
  <c r="C11" i="7"/>
  <c r="F8" i="5" l="1"/>
  <c r="C10" i="7"/>
  <c r="C7" i="7"/>
  <c r="F39" i="5" l="1"/>
  <c r="AL11" i="2" l="1"/>
  <c r="AL7" i="2"/>
  <c r="AL9" i="2"/>
  <c r="D16" i="6"/>
  <c r="D6" i="6"/>
  <c r="D9" i="6"/>
  <c r="D8" i="6"/>
  <c r="AF47" i="2" l="1"/>
  <c r="H28" i="5"/>
  <c r="E22" i="5"/>
  <c r="E41" i="5" l="1"/>
  <c r="Y2" i="2" l="1"/>
  <c r="Z2" i="2"/>
  <c r="Y3" i="2"/>
  <c r="Z3" i="2"/>
  <c r="Z5" i="2" l="1"/>
  <c r="Z4" i="2"/>
  <c r="Y4" i="2"/>
  <c r="Y5" i="2"/>
  <c r="AL16" i="2" l="1"/>
  <c r="AL15" i="2"/>
  <c r="AL14" i="2"/>
  <c r="AL13" i="2"/>
  <c r="AL12" i="2"/>
  <c r="AL10" i="2"/>
  <c r="AL8" i="2"/>
  <c r="AL6" i="2"/>
  <c r="AL5" i="2"/>
  <c r="AL4" i="2"/>
  <c r="AL3" i="2"/>
  <c r="AF46" i="2"/>
  <c r="AF45" i="2"/>
  <c r="AF44" i="2"/>
  <c r="AF43" i="2"/>
  <c r="AF42" i="2"/>
  <c r="D55" i="5" l="1"/>
  <c r="D17" i="5"/>
  <c r="E55" i="5" l="1"/>
  <c r="D15" i="6"/>
  <c r="E47" i="5"/>
  <c r="E48" i="5"/>
  <c r="I22" i="5"/>
  <c r="AE41" i="2"/>
  <c r="AF41" i="2" s="1"/>
  <c r="F41" i="5" l="1"/>
  <c r="G28" i="5" l="1"/>
  <c r="I17" i="5"/>
  <c r="F38" i="5" l="1"/>
  <c r="F37" i="5"/>
  <c r="I16" i="5" l="1"/>
  <c r="E49" i="5" s="1"/>
  <c r="I15" i="5"/>
  <c r="F47" i="5" s="1"/>
  <c r="G47" i="5" s="1"/>
  <c r="H47" i="5" s="1"/>
  <c r="F49" i="5" l="1"/>
  <c r="F48" i="5"/>
  <c r="D48" i="5"/>
  <c r="D47" i="5"/>
  <c r="I47" i="5" l="1"/>
  <c r="D50" i="5"/>
  <c r="E50" i="5" l="1"/>
  <c r="D63" i="5"/>
  <c r="E63" i="5" s="1"/>
  <c r="C34" i="7"/>
  <c r="C18" i="7"/>
  <c r="C32" i="7"/>
  <c r="C30" i="7"/>
  <c r="C15" i="7"/>
  <c r="G48" i="5"/>
  <c r="H48" i="5" l="1"/>
  <c r="I48" i="5" s="1"/>
  <c r="C14" i="7"/>
  <c r="G49" i="5"/>
  <c r="H49" i="5" l="1"/>
  <c r="I49" i="5" s="1"/>
  <c r="I50" i="5" s="1"/>
  <c r="H50" i="5" s="1"/>
  <c r="D52" i="5" s="1"/>
  <c r="G50" i="5"/>
  <c r="F50" i="5" s="1"/>
  <c r="D56" i="5" l="1"/>
  <c r="D14" i="6" l="1"/>
  <c r="C24" i="7"/>
  <c r="C25" i="7" s="1"/>
  <c r="H62" i="5"/>
  <c r="I62" i="5" l="1"/>
  <c r="F19" i="6"/>
  <c r="H63" i="5" s="1"/>
  <c r="H6" i="6" l="1"/>
  <c r="H19" i="6"/>
  <c r="I63" i="5" s="1"/>
  <c r="H5" i="5" s="1"/>
  <c r="C2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Amber Townsend</author>
  </authors>
  <commentList>
    <comment ref="L3" authorId="0" shapeId="0" xr:uid="{3C3E5C3A-7660-41EF-9806-2E950526EC1B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Drop Down Selection</t>
        </r>
      </text>
    </comment>
    <comment ref="N3" authorId="0" shapeId="0" xr:uid="{008B3F4C-30CA-4F59-8FF3-1F27D54F194F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Select from list
</t>
        </r>
      </text>
    </comment>
    <comment ref="Q3" authorId="0" shapeId="0" xr:uid="{60ED5B13-69A4-4BD8-B18D-BEA1A105ABBD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Select from List</t>
        </r>
      </text>
    </comment>
    <comment ref="V3" authorId="0" shapeId="0" xr:uid="{060D38D6-1854-4ED8-B042-504838CAB859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Either Enter in Buildings and Contents OR a total</t>
        </r>
      </text>
    </comment>
    <comment ref="W3" authorId="0" shapeId="0" xr:uid="{94C0EE14-2FAB-48E7-86EB-1AC369513BB9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Either Enter in Buildings and Contents OR a total</t>
        </r>
      </text>
    </comment>
    <comment ref="X3" authorId="0" shapeId="0" xr:uid="{FE196B32-71C1-422D-BC97-EAE97E7C043B}">
      <text>
        <r>
          <rPr>
            <b/>
            <sz val="9"/>
            <color indexed="81"/>
            <rFont val="Tahoma"/>
            <family val="2"/>
          </rPr>
          <t>Amber Townsend:</t>
        </r>
        <r>
          <rPr>
            <sz val="9"/>
            <color indexed="81"/>
            <rFont val="Tahoma"/>
            <family val="2"/>
          </rPr>
          <t xml:space="preserve">
Either Enter in Buildings and Contents OR a total. If total is used, system will assume a building and contents split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" authorId="0" shapeId="0" xr:uid="{BD55D724-D4EC-47F2-A9E5-5A7E4908DA6F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Siempre será “John L. Giralt”</t>
        </r>
      </text>
    </comment>
    <comment ref="F11" authorId="0" shapeId="0" xr:uid="{625C16F5-5040-4929-9DED-C02D2C4ACBA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Día en que se está haciendo el submmision o renew.</t>
        </r>
      </text>
    </comment>
    <comment ref="F12" authorId="0" shapeId="0" xr:uid="{8689C4CD-A599-4404-890E-3E5847372F39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Son 15 días para el cierre de la oportunidad</t>
        </r>
      </text>
    </comment>
    <comment ref="F13" authorId="0" shapeId="0" xr:uid="{990AE626-6716-4D3F-AB52-429FA75DF5BA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Siempre será Luis Paternina</t>
        </r>
      </text>
    </comment>
    <comment ref="F14" authorId="0" shapeId="0" xr:uid="{7287D854-38FE-4302-A9F7-66B5B6A57C7A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Debe ser creado en Clearance</t>
        </r>
      </text>
    </comment>
    <comment ref="F15" authorId="0" shapeId="0" xr:uid="{82764F36-716F-43D0-AA53-7E44881692F5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Esto dependerá del país de donde sea el “Broker Name”. Por ejemplo, si es de USA, se deberá registrar: LATAM Rest of World LM.</t>
        </r>
      </text>
    </comment>
    <comment ref="F17" authorId="0" shapeId="0" xr:uid="{88C985E5-45D1-498D-8A6E-8C572B676CCF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Siempre será "English"</t>
        </r>
      </text>
    </comment>
    <comment ref="F20" authorId="0" shapeId="0" xr:uid="{0013F310-6E37-49E1-BF4E-EFD95C5E499D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Siempre se aplicará el “Template Solis Re Prop CARIBE ROW Reinsurance” para todas las cuentas.</t>
        </r>
      </text>
    </comment>
    <comment ref="F21" authorId="0" shapeId="0" xr:uid="{0B53AC40-7581-4078-8D1A-C9582ABA99BA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Siempre será Luis Paternina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<sst xmlns="http://schemas.openxmlformats.org/spreadsheetml/2006/main" count="1997" uniqueCount="949">
  <si>
    <t>USD</t>
  </si>
  <si>
    <t>Heavy Timber</t>
  </si>
  <si>
    <t>Reinforced Masonry</t>
  </si>
  <si>
    <t>Unknown</t>
  </si>
  <si>
    <t>Education</t>
  </si>
  <si>
    <t>Railroad</t>
  </si>
  <si>
    <t>General Commercial</t>
  </si>
  <si>
    <t>Restaurants</t>
  </si>
  <si>
    <t>Currency</t>
  </si>
  <si>
    <t># of Bldgs</t>
  </si>
  <si>
    <t>Construction Class</t>
  </si>
  <si>
    <t>Location name</t>
  </si>
  <si>
    <t>Location Number</t>
  </si>
  <si>
    <t>Country</t>
  </si>
  <si>
    <t>Currency Code</t>
  </si>
  <si>
    <t>Currency Name</t>
  </si>
  <si>
    <t>US Dollar</t>
  </si>
  <si>
    <t>CRC</t>
  </si>
  <si>
    <t>Costa Rican Colon</t>
  </si>
  <si>
    <t>GTQ</t>
  </si>
  <si>
    <t>Guatemalan Quetzal</t>
  </si>
  <si>
    <t>HNL</t>
  </si>
  <si>
    <t>Honduran Lempira</t>
  </si>
  <si>
    <t>NIO</t>
  </si>
  <si>
    <t>Nicaraguan Cordoba Oro</t>
  </si>
  <si>
    <t>PAB</t>
  </si>
  <si>
    <t>Panamanian Balboa</t>
  </si>
  <si>
    <t>SVC</t>
  </si>
  <si>
    <t>Salvadoran Colon</t>
  </si>
  <si>
    <t>Country Name</t>
  </si>
  <si>
    <t>Country Code</t>
  </si>
  <si>
    <t>CR</t>
  </si>
  <si>
    <t>Costa Rica</t>
  </si>
  <si>
    <t>GT</t>
  </si>
  <si>
    <t>Guatemala</t>
  </si>
  <si>
    <t>HN</t>
  </si>
  <si>
    <t>Honduras</t>
  </si>
  <si>
    <t>NI</t>
  </si>
  <si>
    <t>Nicaragua</t>
  </si>
  <si>
    <t>PA</t>
  </si>
  <si>
    <t>SV</t>
  </si>
  <si>
    <t>TIV</t>
  </si>
  <si>
    <t>Asegurado</t>
  </si>
  <si>
    <t>País</t>
  </si>
  <si>
    <t>Moneda</t>
  </si>
  <si>
    <t xml:space="preserve">Tasa base </t>
  </si>
  <si>
    <t>El Salvador</t>
  </si>
  <si>
    <t>Protecciones</t>
  </si>
  <si>
    <t>Siniestralidad</t>
  </si>
  <si>
    <t>Normales</t>
  </si>
  <si>
    <t>Deficientes</t>
  </si>
  <si>
    <t>Modificador</t>
  </si>
  <si>
    <t>De 0% a 25% (neto)</t>
  </si>
  <si>
    <t>De 41% a 50% (neto)</t>
  </si>
  <si>
    <t>Mas de 50% (neto)</t>
  </si>
  <si>
    <t>De 21% a 40% (neto)</t>
  </si>
  <si>
    <t>Aceptación Especial</t>
  </si>
  <si>
    <t>Occupancy Group</t>
  </si>
  <si>
    <t>Sub-Occupancy</t>
  </si>
  <si>
    <t>Churches</t>
  </si>
  <si>
    <t>Churches, Cathedrals</t>
  </si>
  <si>
    <t>School</t>
  </si>
  <si>
    <t>Dormitories</t>
  </si>
  <si>
    <t>Electronics</t>
  </si>
  <si>
    <t>Electronic Assembly</t>
  </si>
  <si>
    <t>Electronic Manufacturing - HiTech/Semicons</t>
  </si>
  <si>
    <t>Electronic Manufacturing (other inc brown/white goods)</t>
  </si>
  <si>
    <t>Entertainment</t>
  </si>
  <si>
    <t>Restaurant</t>
  </si>
  <si>
    <t>Theme Park</t>
  </si>
  <si>
    <t>Stadium</t>
  </si>
  <si>
    <t>Exhibition Hall / Museum</t>
  </si>
  <si>
    <t>Healthclub</t>
  </si>
  <si>
    <t>TV / Film studio</t>
  </si>
  <si>
    <t>Food &amp; Drink</t>
  </si>
  <si>
    <t>Dairy Products</t>
  </si>
  <si>
    <t>Bakery and Confectionary Products</t>
  </si>
  <si>
    <t>Food Processing</t>
  </si>
  <si>
    <t>Fruit &amp; Vegetables Canning and Fresh Packaging</t>
  </si>
  <si>
    <t>Soft Drinks Manufacturing</t>
  </si>
  <si>
    <t xml:space="preserve">Brewery / Winery </t>
  </si>
  <si>
    <t>Automobile Dealership</t>
  </si>
  <si>
    <t>Shopping Mall</t>
  </si>
  <si>
    <t>Healthcare</t>
  </si>
  <si>
    <t>Hospital</t>
  </si>
  <si>
    <t xml:space="preserve">Nursing home </t>
  </si>
  <si>
    <t>Nursing home - psychiatric</t>
  </si>
  <si>
    <t>Industrial Light &amp; Manufacturing</t>
  </si>
  <si>
    <t>Industrial Light &amp; Manufacturing Misc</t>
  </si>
  <si>
    <t>Pottery</t>
  </si>
  <si>
    <t>Bottling Plant (plastic)</t>
  </si>
  <si>
    <t>Glass/Bottle Production</t>
  </si>
  <si>
    <t>Municipalities</t>
  </si>
  <si>
    <t>Jail</t>
  </si>
  <si>
    <t>Library</t>
  </si>
  <si>
    <t>Water / Sewage Works</t>
  </si>
  <si>
    <t>Municipal Buildings</t>
  </si>
  <si>
    <t>Pharmaceuticals</t>
  </si>
  <si>
    <t>Pharmaceutical Manufacturers  Low/Medium Hazard</t>
  </si>
  <si>
    <t>Ports &amp; Terminals</t>
  </si>
  <si>
    <t>Airports</t>
  </si>
  <si>
    <t>Aircraft Hangar</t>
  </si>
  <si>
    <t>Rail &amp; Roads</t>
  </si>
  <si>
    <t>Residential</t>
  </si>
  <si>
    <t>Apartments</t>
  </si>
  <si>
    <t>Condos</t>
  </si>
  <si>
    <t>High value</t>
  </si>
  <si>
    <t>Houses</t>
  </si>
  <si>
    <t>Telecommunications</t>
  </si>
  <si>
    <t>Switching Stations</t>
  </si>
  <si>
    <t>Media (inc TV &amp; Radio)</t>
  </si>
  <si>
    <t>Temporary Accomodation</t>
  </si>
  <si>
    <t>Hotels - purpose built</t>
  </si>
  <si>
    <t>Utilities</t>
  </si>
  <si>
    <t>Warehouse</t>
  </si>
  <si>
    <t>Warehousing - Low Hazard</t>
  </si>
  <si>
    <t>Fire Rate</t>
  </si>
  <si>
    <t>CRESTA ZONE</t>
  </si>
  <si>
    <t>WS Rate</t>
  </si>
  <si>
    <t>Flood Rate</t>
  </si>
  <si>
    <t>Occupancy num</t>
  </si>
  <si>
    <t>Actividad General</t>
  </si>
  <si>
    <t>Actividad Específica</t>
  </si>
  <si>
    <t>Excede lo Normal</t>
  </si>
  <si>
    <t>HPR</t>
  </si>
  <si>
    <t>Lucro Cesante</t>
  </si>
  <si>
    <t>Sin Lucro</t>
  </si>
  <si>
    <t>3 meses</t>
  </si>
  <si>
    <t>6 meses</t>
  </si>
  <si>
    <t>12 meses</t>
  </si>
  <si>
    <t>5 Dias</t>
  </si>
  <si>
    <t>7 Dias</t>
  </si>
  <si>
    <t>15 Dias</t>
  </si>
  <si>
    <t>Deducible Daños</t>
  </si>
  <si>
    <t>Deducible Lucro</t>
  </si>
  <si>
    <t>Daños</t>
  </si>
  <si>
    <t>Lucro</t>
  </si>
  <si>
    <t>CAT</t>
  </si>
  <si>
    <t>COBERTURAS ADICIONALES</t>
  </si>
  <si>
    <t>Cobertura</t>
  </si>
  <si>
    <t>Rotura de Maquinaria</t>
  </si>
  <si>
    <t>Equipo Electronico</t>
  </si>
  <si>
    <t>CBI</t>
  </si>
  <si>
    <t>Cubierto</t>
  </si>
  <si>
    <t>Sublímite</t>
  </si>
  <si>
    <t>Zona Cresta</t>
  </si>
  <si>
    <t>Tasa EQ</t>
  </si>
  <si>
    <t>Tasa WS</t>
  </si>
  <si>
    <t>SUMAS ASEGURADAS</t>
  </si>
  <si>
    <t>Rubro</t>
  </si>
  <si>
    <t>Edificio</t>
  </si>
  <si>
    <t>Contenidos</t>
  </si>
  <si>
    <t>TOTAL</t>
  </si>
  <si>
    <t>VALOR</t>
  </si>
  <si>
    <t>STATUS</t>
  </si>
  <si>
    <t>Tasa CAT</t>
  </si>
  <si>
    <t>PARTICIPACIÓN LMIC</t>
  </si>
  <si>
    <t>Participación LMIC</t>
  </si>
  <si>
    <t>Capacidad LMIC</t>
  </si>
  <si>
    <t>S&amp;T</t>
  </si>
  <si>
    <t>Prima Neta</t>
  </si>
  <si>
    <t>Tasa Neta Técnica</t>
  </si>
  <si>
    <t>Comisión</t>
  </si>
  <si>
    <t>Impuestos</t>
  </si>
  <si>
    <t>Tasa bruta Técnica</t>
  </si>
  <si>
    <t>Pricing Adequacy</t>
  </si>
  <si>
    <t>Tasa Bruta Comerical</t>
  </si>
  <si>
    <t>Deducciones Totales</t>
  </si>
  <si>
    <t>Pais</t>
  </si>
  <si>
    <t>Impuesto</t>
  </si>
  <si>
    <t>Capacidad Máxima</t>
  </si>
  <si>
    <t>Retención Mínima</t>
  </si>
  <si>
    <t>Valor</t>
  </si>
  <si>
    <t>Límites Facility</t>
  </si>
  <si>
    <t>Adequacy</t>
  </si>
  <si>
    <r>
      <t>(</t>
    </r>
    <r>
      <rPr>
        <sz val="11"/>
        <color theme="1"/>
        <rFont val="Calibri"/>
        <family val="2"/>
      </rPr>
      <t>‰</t>
    </r>
    <r>
      <rPr>
        <sz val="11"/>
        <color theme="1"/>
        <rFont val="Arial"/>
        <family val="2"/>
      </rPr>
      <t xml:space="preserve"> - por mil)</t>
    </r>
  </si>
  <si>
    <t>ACTIVIDAD, INFOMRACIÓN GENERAL DEL RIESGO &amp; DESCUENTOS DE INCENDIO</t>
  </si>
  <si>
    <t>Regargo /Descuento</t>
  </si>
  <si>
    <t>Año de Construcción</t>
  </si>
  <si>
    <t>Renovación sin siniestos - 2 años</t>
  </si>
  <si>
    <t>Renovación sin siniestos - 3 años</t>
  </si>
  <si>
    <t>Renovación sin siniestos - 4 años</t>
  </si>
  <si>
    <t>Renovación sin siniestos - 5 años</t>
  </si>
  <si>
    <t>De 5 a 10 años</t>
  </si>
  <si>
    <t>De 10 a 20 años</t>
  </si>
  <si>
    <t>Menor a 5 años</t>
  </si>
  <si>
    <t>Mayor a 20 años</t>
  </si>
  <si>
    <t>AMIT - HMACC</t>
  </si>
  <si>
    <t>Medio</t>
  </si>
  <si>
    <t>Alto</t>
  </si>
  <si>
    <t>Bajo</t>
  </si>
  <si>
    <t>Severo</t>
  </si>
  <si>
    <t>Excluido</t>
  </si>
  <si>
    <t>Recargo</t>
  </si>
  <si>
    <t>Full Value</t>
  </si>
  <si>
    <t>SRCC Exposure</t>
  </si>
  <si>
    <t>Panamá</t>
  </si>
  <si>
    <t>Recargo/Descuetos</t>
  </si>
  <si>
    <t>Utilidad Bruta Anual</t>
  </si>
  <si>
    <t>N/A</t>
  </si>
  <si>
    <t>Office</t>
  </si>
  <si>
    <t>Bank</t>
  </si>
  <si>
    <t>University Private</t>
  </si>
  <si>
    <t>University Public</t>
  </si>
  <si>
    <t>Deducción TOT</t>
  </si>
  <si>
    <t>Sublimit 1</t>
  </si>
  <si>
    <t>Sublimit 2</t>
  </si>
  <si>
    <t>Grupo</t>
  </si>
  <si>
    <t>Todos los paises</t>
  </si>
  <si>
    <t>Grupo A</t>
  </si>
  <si>
    <t>Grupo B</t>
  </si>
  <si>
    <t>1,000,000 (Fuera de Vías Principales)</t>
  </si>
  <si>
    <t>Diff &lt;5 años</t>
  </si>
  <si>
    <t>Diff &gt;20 años</t>
  </si>
  <si>
    <t>Tasa 2020</t>
  </si>
  <si>
    <t>Ecuador</t>
  </si>
  <si>
    <t>10% de la perdida, Min USD $500</t>
  </si>
  <si>
    <t>15% de la perdida, Min USD $1,000</t>
  </si>
  <si>
    <t>20% de la Perdida, Min USD 5,000</t>
  </si>
  <si>
    <t>10% de la perdida, Min USD $1000</t>
  </si>
  <si>
    <t>15% de la perdida, Min USD $2000</t>
  </si>
  <si>
    <t>Ecuador - Zona 1</t>
  </si>
  <si>
    <t>Ecuador - Manta</t>
  </si>
  <si>
    <t>Ecuador - Zona 3</t>
  </si>
  <si>
    <t>Ecuador - Zona 2</t>
  </si>
  <si>
    <t>Retención Cedente</t>
  </si>
  <si>
    <t>COTIZADOR PROPERTY - FACILITY MSC RE</t>
  </si>
  <si>
    <t>VIGENCIA ACTUAL</t>
  </si>
  <si>
    <t>VIGENCIA ANTERIOR</t>
  </si>
  <si>
    <t>Deducciones totales</t>
  </si>
  <si>
    <t>RATE CHANGE - FACILITY MSC RE</t>
  </si>
  <si>
    <t>RATE CHANGE</t>
  </si>
  <si>
    <t>EC</t>
  </si>
  <si>
    <t>Cedente</t>
  </si>
  <si>
    <t>Recargo Sublimit 1</t>
  </si>
  <si>
    <t>Recargo Sublimit 2</t>
  </si>
  <si>
    <t>AIG METROPOLITANA</t>
  </si>
  <si>
    <t>Aseguradora del Sur</t>
  </si>
  <si>
    <t xml:space="preserve">Chubb Seguros Ecuador </t>
  </si>
  <si>
    <t xml:space="preserve">Ecuatoriana Suiza S.A </t>
  </si>
  <si>
    <t>Hispana de Seguros</t>
  </si>
  <si>
    <t xml:space="preserve">La Union Compañia Nacional de Seguros </t>
  </si>
  <si>
    <t>Latina de Seguros</t>
  </si>
  <si>
    <t>Mapfre Atlas</t>
  </si>
  <si>
    <t>Pichincha seguros</t>
  </si>
  <si>
    <t>Seguros Alianza</t>
  </si>
  <si>
    <t xml:space="preserve">Seguros Condor </t>
  </si>
  <si>
    <t>Seguros Equinoccial</t>
  </si>
  <si>
    <t>Seguros Unidos S.A</t>
  </si>
  <si>
    <t>Sucre Seguros</t>
  </si>
  <si>
    <t>Vazseguros S.A Compañia de Seguros</t>
  </si>
  <si>
    <t>Zurich Ecuador</t>
  </si>
  <si>
    <t>Major Class</t>
  </si>
  <si>
    <t>Minor Class</t>
  </si>
  <si>
    <t>Numero de Poliza</t>
  </si>
  <si>
    <t>Primario/Exceso</t>
  </si>
  <si>
    <t>Attachment Point</t>
  </si>
  <si>
    <t>% Share</t>
  </si>
  <si>
    <t>Effective Date From</t>
  </si>
  <si>
    <t>Effective Date To</t>
  </si>
  <si>
    <t>Occupancy</t>
  </si>
  <si>
    <t>Premium Prop</t>
  </si>
  <si>
    <t>Limit Prop</t>
  </si>
  <si>
    <t>Retention Prop</t>
  </si>
  <si>
    <t xml:space="preserve">Retention Type </t>
  </si>
  <si>
    <t>Premium Terrorism</t>
  </si>
  <si>
    <t>Limit Terrorism</t>
  </si>
  <si>
    <t>Retention Terr</t>
  </si>
  <si>
    <t>Tech Premium</t>
  </si>
  <si>
    <t>Modif Premium</t>
  </si>
  <si>
    <t>Broker Commission</t>
  </si>
  <si>
    <t>RWT</t>
  </si>
  <si>
    <t>Ecuador Local Tax</t>
  </si>
  <si>
    <t>WS Limit</t>
  </si>
  <si>
    <t>WS Deductible</t>
  </si>
  <si>
    <t>EQ Limit</t>
  </si>
  <si>
    <t>EQ DEductible</t>
  </si>
  <si>
    <t>FL Limit</t>
  </si>
  <si>
    <t>FL Deductible</t>
  </si>
  <si>
    <t>Installments</t>
  </si>
  <si>
    <t>Cancellation period (# days to pay)</t>
  </si>
  <si>
    <t>Days to Cancel after non payment</t>
  </si>
  <si>
    <t>Primario</t>
  </si>
  <si>
    <t>NA</t>
  </si>
  <si>
    <t>Inicio Vigencia</t>
  </si>
  <si>
    <t>Fin Vigencia</t>
  </si>
  <si>
    <t>Prop Dmg ea accident occurrenc</t>
  </si>
  <si>
    <t>2% del artículo afectado, Min USD 3,000</t>
  </si>
  <si>
    <t>PML</t>
  </si>
  <si>
    <t>EML</t>
  </si>
  <si>
    <t>Major</t>
  </si>
  <si>
    <t>Minor</t>
  </si>
  <si>
    <t>Occ</t>
  </si>
  <si>
    <t>Premises</t>
  </si>
  <si>
    <t>CHURCHES</t>
  </si>
  <si>
    <t>LIBRARY INFO CENTERS MODERN</t>
  </si>
  <si>
    <t>SCHOOL DANCE</t>
  </si>
  <si>
    <t>COLLEGE UNIVERSITY RELIG ORG</t>
  </si>
  <si>
    <t>Education Svs Colleges</t>
  </si>
  <si>
    <t>Education Services</t>
  </si>
  <si>
    <t>Manufacturing</t>
  </si>
  <si>
    <t>ELECTRONIC TAPE MFG</t>
  </si>
  <si>
    <t>"Electronic Components, Not"</t>
  </si>
  <si>
    <t>SEMICONDUCTOR MFG</t>
  </si>
  <si>
    <t>Electronic Connectors</t>
  </si>
  <si>
    <t>CLUBHOUSE MEMB SPORTS REC CLUB</t>
  </si>
  <si>
    <t>Other Entertainment Activities</t>
  </si>
  <si>
    <t>RESTAURANTS</t>
  </si>
  <si>
    <t>PARK GARAGE STRUCTURE N OTH SV</t>
  </si>
  <si>
    <t>Amusement Parks</t>
  </si>
  <si>
    <t>STADIUMS SPORTS</t>
  </si>
  <si>
    <t>Sports Stadium</t>
  </si>
  <si>
    <t>MUSEUM ART GALLERY NON COMM MD</t>
  </si>
  <si>
    <t>Museums &amp; Art Galleries</t>
  </si>
  <si>
    <t>Recreation Sports Clubs</t>
  </si>
  <si>
    <t>FILM EDIT DEVELOP SVS</t>
  </si>
  <si>
    <t>Radio/TV</t>
  </si>
  <si>
    <t>Food Processing - Other</t>
  </si>
  <si>
    <t>DAIRY PRODUCTS MFG</t>
  </si>
  <si>
    <t>Food Store Dairy Products</t>
  </si>
  <si>
    <t xml:space="preserve">Bakery Product MFG Bread Cake </t>
  </si>
  <si>
    <t>Food Product Bread Oth Bakery</t>
  </si>
  <si>
    <t>MEAT MEAT PROD WHOLESALE</t>
  </si>
  <si>
    <t>FRUIT VEG WHOLESALE NOC</t>
  </si>
  <si>
    <t>Food Product Canned Fruit Veg</t>
  </si>
  <si>
    <t>SOFT DRINK CARB MIN WATER MFG</t>
  </si>
  <si>
    <t>Food &amp; Beverage non-alcoholic</t>
  </si>
  <si>
    <t>WINE MFG</t>
  </si>
  <si>
    <t>Alcoholic Beverage Mfg</t>
  </si>
  <si>
    <t>ART COMMERCIAL SVS BUSINESS</t>
  </si>
  <si>
    <t>Commercial Property</t>
  </si>
  <si>
    <t>AUTOMOBILE WHOLESALING</t>
  </si>
  <si>
    <t>Auto Dealers</t>
  </si>
  <si>
    <t>OFFICES EXCEPT GOVERNMENT</t>
  </si>
  <si>
    <t>Commercial Banks</t>
  </si>
  <si>
    <t>SHOPPING CENTERS OTHER</t>
  </si>
  <si>
    <t>Shopping Centres</t>
  </si>
  <si>
    <t>HOSPITAL DIAGNOSTIC MED SURG</t>
  </si>
  <si>
    <t>Hospitals</t>
  </si>
  <si>
    <t>OLD AGE HOME HEALTH CARE INCID</t>
  </si>
  <si>
    <t>Health Services Nursing Home</t>
  </si>
  <si>
    <t>NURSING PERSONAL CARE FACILITY</t>
  </si>
  <si>
    <t>AIRCRAFT &amp; PARTS MFG (EQUIP)</t>
  </si>
  <si>
    <t>LIGHTING EQUIP MFG ELECTIRCAL</t>
  </si>
  <si>
    <t>Light Manufacturing</t>
  </si>
  <si>
    <t>POTTERY RELATED PRODUCTS MFG</t>
  </si>
  <si>
    <t>Stone Glass Pottery NEC</t>
  </si>
  <si>
    <t>PLASTIC PROD MFG PLASTIC GP A</t>
  </si>
  <si>
    <t>Plastics Materials And Synthet</t>
  </si>
  <si>
    <t>GLASS PRODUCTS MFG</t>
  </si>
  <si>
    <t>Bottled Drink Manufacturing</t>
  </si>
  <si>
    <t>SWITCHGEAR MFG ELECTRIC</t>
  </si>
  <si>
    <t>JAIL CORRECTIONAL INSTITUTION</t>
  </si>
  <si>
    <t>"Library,archives,museums,other"</t>
  </si>
  <si>
    <t>WATER TRANSP SVS NOC</t>
  </si>
  <si>
    <t>Sewage Water Treatment</t>
  </si>
  <si>
    <t>GOVT OFFICE GEN NOC</t>
  </si>
  <si>
    <t>Municipal Government</t>
  </si>
  <si>
    <t>PHARM MFG MEDIC CHEM BOT PROD</t>
  </si>
  <si>
    <t>Pharmaceutical</t>
  </si>
  <si>
    <t>AIRPORT TERMINAL SERVICES</t>
  </si>
  <si>
    <t>Air Transport Airport Terminal</t>
  </si>
  <si>
    <t>Aircraft and Components</t>
  </si>
  <si>
    <t>Civil Civil Road</t>
  </si>
  <si>
    <t>Roads/Rail/Infrastructure</t>
  </si>
  <si>
    <t>Roads</t>
  </si>
  <si>
    <t>APARTMENT HOUSES W PUB PROTECT</t>
  </si>
  <si>
    <t>CONDOMINIUMS W PUB PROTECTION</t>
  </si>
  <si>
    <t>WAREHOUSING LOW HAZARD</t>
  </si>
  <si>
    <t>ELECREPAIR SHOP RADIO TV APPL</t>
  </si>
  <si>
    <t>Media &amp; Telecoms</t>
  </si>
  <si>
    <t>HOTEL MOTEL RESORT MODERN CITY</t>
  </si>
  <si>
    <t>Hotels</t>
  </si>
  <si>
    <t>Warehouse &amp; Storage</t>
  </si>
  <si>
    <t>BANKS</t>
  </si>
  <si>
    <t>Rete Change</t>
  </si>
  <si>
    <t>Cedentes EC</t>
  </si>
  <si>
    <t>Property Construction DESCRIPTION</t>
  </si>
  <si>
    <t>AIR Description</t>
  </si>
  <si>
    <t>Construction Class Code</t>
  </si>
  <si>
    <t>Frame</t>
  </si>
  <si>
    <t>Wood Frame (Modern)</t>
  </si>
  <si>
    <t>Joisted Masonry</t>
  </si>
  <si>
    <t>Mobile Homes</t>
  </si>
  <si>
    <t>Non-Combustile</t>
  </si>
  <si>
    <t>Steel</t>
  </si>
  <si>
    <t>Masonry Non-Combustile</t>
  </si>
  <si>
    <t>Modified Fire Resistive</t>
  </si>
  <si>
    <t>Reinforced Concrete MRF</t>
  </si>
  <si>
    <t>Fire Resistive</t>
  </si>
  <si>
    <t>Reinforced Concrete</t>
  </si>
  <si>
    <t>Heavy Timber Joisted Masonry</t>
  </si>
  <si>
    <t>Superior Non-Combustible</t>
  </si>
  <si>
    <t>Superior Masonry Non-Combustible</t>
  </si>
  <si>
    <t>Combustive frame/roof/walls/lining</t>
  </si>
  <si>
    <t>Light Metal</t>
  </si>
  <si>
    <t>Non-comb frame but comb lining</t>
  </si>
  <si>
    <t>Non-comb frame and linings</t>
  </si>
  <si>
    <t>EPS Paneling</t>
  </si>
  <si>
    <t>Steel Frame with URM</t>
  </si>
  <si>
    <t>PIR Paneling</t>
  </si>
  <si>
    <t>PUR Paneling</t>
  </si>
  <si>
    <t>CO</t>
  </si>
  <si>
    <t>PE</t>
  </si>
  <si>
    <t>Colombia</t>
  </si>
  <si>
    <t>Peru</t>
  </si>
  <si>
    <t>CL</t>
  </si>
  <si>
    <t>Chile</t>
  </si>
  <si>
    <t>PR</t>
  </si>
  <si>
    <t>Puerto Rico</t>
  </si>
  <si>
    <t>*Las celdas en azul son listas, arrastre la fórmula.</t>
  </si>
  <si>
    <t>**100 caracteres máximos en cada celda y no caracteres especiales. Ejemplo: "()</t>
  </si>
  <si>
    <t>Street Address (if available)</t>
  </si>
  <si>
    <t>City (if available)</t>
  </si>
  <si>
    <t>Sub Area</t>
  </si>
  <si>
    <t>State / Province / Area (if available)</t>
  </si>
  <si>
    <t>Zip / Postal Code (if available)</t>
  </si>
  <si>
    <t>Latitude (required if address is blank)</t>
  </si>
  <si>
    <t>Longitude (required if address is blank)</t>
  </si>
  <si>
    <t># of Stories (if available)</t>
  </si>
  <si>
    <t>Year Built (if available)</t>
  </si>
  <si>
    <t>Building</t>
  </si>
  <si>
    <t>Contents</t>
  </si>
  <si>
    <t>PD Total</t>
  </si>
  <si>
    <t>BI (time Element)</t>
  </si>
  <si>
    <t>Location Total (PD + BI)</t>
  </si>
  <si>
    <t>Guatemala - Zona 1</t>
  </si>
  <si>
    <t>Guatemala - Zona 2</t>
  </si>
  <si>
    <t>Guatemala - Zona 3</t>
  </si>
  <si>
    <t>Guatemala - Zona 4</t>
  </si>
  <si>
    <t>Honduras - Zona 1</t>
  </si>
  <si>
    <t>Honduras - Zona 2</t>
  </si>
  <si>
    <t>Honduras - Zona 3</t>
  </si>
  <si>
    <t>Honduras - Zona 4</t>
  </si>
  <si>
    <t>Honduras - Zona 5</t>
  </si>
  <si>
    <t>Honduras - Zona 6</t>
  </si>
  <si>
    <t>Nicaragua - Zona 1</t>
  </si>
  <si>
    <t>Nicaragua - Zona 2</t>
  </si>
  <si>
    <t>Panama</t>
  </si>
  <si>
    <t>Colombia - Zona 1</t>
  </si>
  <si>
    <t>Colombia - Zona 2</t>
  </si>
  <si>
    <t>Colombia - Zona 3</t>
  </si>
  <si>
    <t>Colombia - Zona 4</t>
  </si>
  <si>
    <t>Colombia - Zona 5</t>
  </si>
  <si>
    <t>Colombia - Zona 6</t>
  </si>
  <si>
    <t>Colombia - Zona 7</t>
  </si>
  <si>
    <t>Colombia - Zona 8</t>
  </si>
  <si>
    <t>Colombia - Zona 9</t>
  </si>
  <si>
    <t>Perú</t>
  </si>
  <si>
    <t>Argentina</t>
  </si>
  <si>
    <t>Bolivia</t>
  </si>
  <si>
    <t>Paraguay</t>
  </si>
  <si>
    <t>Uruguay</t>
  </si>
  <si>
    <t>Peru - Zona 5</t>
  </si>
  <si>
    <t>Peru - Zona 6</t>
  </si>
  <si>
    <t>Peru - Zona 7</t>
  </si>
  <si>
    <t>Peru - Zona 8</t>
  </si>
  <si>
    <t>Peru - Zona 9</t>
  </si>
  <si>
    <t>Peru - Zona 10</t>
  </si>
  <si>
    <t>Peru - Zona 11</t>
  </si>
  <si>
    <t>Peru - Zona 12</t>
  </si>
  <si>
    <t>Chile - Zona 1</t>
  </si>
  <si>
    <t>Chile - Zona 2</t>
  </si>
  <si>
    <t>Chile - Zona 3</t>
  </si>
  <si>
    <t>Chile - Zona 4</t>
  </si>
  <si>
    <t>Chile - Zona 5</t>
  </si>
  <si>
    <t>AR</t>
  </si>
  <si>
    <t>BO</t>
  </si>
  <si>
    <t>PY</t>
  </si>
  <si>
    <t>UY</t>
  </si>
  <si>
    <t>USD $500</t>
  </si>
  <si>
    <t>USD $1,000</t>
  </si>
  <si>
    <t>USD $2,500</t>
  </si>
  <si>
    <t>CAT REPORTS</t>
  </si>
  <si>
    <t>Margen CAT</t>
  </si>
  <si>
    <t>Modificador EQ</t>
  </si>
  <si>
    <t>Modificador WS</t>
  </si>
  <si>
    <t>Tasa CAT con Modificadores</t>
  </si>
  <si>
    <t>General Occupancy</t>
  </si>
  <si>
    <t>Specific Occupancy</t>
  </si>
  <si>
    <t>Tasa Base FLEXA Neta</t>
  </si>
  <si>
    <t>Tasa Neta FLEXAcon Dto</t>
  </si>
  <si>
    <t>Tasa Neta FLEXA + CAT</t>
  </si>
  <si>
    <t>SubArea2</t>
  </si>
  <si>
    <t>Cresta</t>
  </si>
  <si>
    <t>Indemnity Period (Months)</t>
  </si>
  <si>
    <t>Converted to Contract Currency</t>
  </si>
  <si>
    <t>XFACTOR (12/31/2021)</t>
  </si>
  <si>
    <t>MXN</t>
  </si>
  <si>
    <t>COP</t>
  </si>
  <si>
    <t>PEN</t>
  </si>
  <si>
    <t>ARS</t>
  </si>
  <si>
    <t>CLP</t>
  </si>
  <si>
    <t>CLF</t>
  </si>
  <si>
    <t>Chilean Peso</t>
  </si>
  <si>
    <t>Chilean Unidades De Fomento</t>
  </si>
  <si>
    <t>Argentine Peso</t>
  </si>
  <si>
    <t>BRL</t>
  </si>
  <si>
    <t>Brazilian Real</t>
  </si>
  <si>
    <t>Colombian Peso</t>
  </si>
  <si>
    <t>BOB</t>
  </si>
  <si>
    <t>Bolivian Boliviano</t>
  </si>
  <si>
    <t>Mexican New Peso</t>
  </si>
  <si>
    <t>PYG</t>
  </si>
  <si>
    <t>Paraguayan Guarani</t>
  </si>
  <si>
    <t>Peruvian Nuevo Sol</t>
  </si>
  <si>
    <t>UYU</t>
  </si>
  <si>
    <t>Uruguayan New Peso</t>
  </si>
  <si>
    <t xml:space="preserve">Contract Currency: </t>
  </si>
  <si>
    <t>Rate Change</t>
  </si>
  <si>
    <t>DEDUCIBLES</t>
  </si>
  <si>
    <t>Max share</t>
  </si>
  <si>
    <t>GENIUS</t>
  </si>
  <si>
    <t>Nombre Cedente</t>
  </si>
  <si>
    <t>MAIN INFORMATION</t>
  </si>
  <si>
    <t xml:space="preserve">Opportunity Name: </t>
  </si>
  <si>
    <t>Account Name:</t>
  </si>
  <si>
    <t xml:space="preserve">Broker Name: </t>
  </si>
  <si>
    <t xml:space="preserve">Broker Contact: </t>
  </si>
  <si>
    <t>Type:</t>
  </si>
  <si>
    <t xml:space="preserve">Close Date: </t>
  </si>
  <si>
    <t>Underwriter:</t>
  </si>
  <si>
    <t xml:space="preserve">Genius ID: </t>
  </si>
  <si>
    <t>Debe ser creado en Clearance</t>
  </si>
  <si>
    <t xml:space="preserve">Company y Branch (SFDC): </t>
  </si>
  <si>
    <t xml:space="preserve">Country Risk: </t>
  </si>
  <si>
    <t>Language:</t>
  </si>
  <si>
    <t xml:space="preserve">Opportunity Currency: </t>
  </si>
  <si>
    <t xml:space="preserve">Currency: </t>
  </si>
  <si>
    <t xml:space="preserve">Opportunity Template: </t>
  </si>
  <si>
    <r>
      <t>Opportunity Owner</t>
    </r>
    <r>
      <rPr>
        <b/>
        <sz val="11"/>
        <color theme="1"/>
        <rFont val="Calibri"/>
        <family val="2"/>
        <scheme val="minor"/>
      </rPr>
      <t>:</t>
    </r>
    <r>
      <rPr>
        <sz val="9"/>
        <color rgb="FF444444"/>
        <rFont val="-apple-system"/>
      </rPr>
      <t xml:space="preserve"> </t>
    </r>
  </si>
  <si>
    <t>LOB</t>
  </si>
  <si>
    <t xml:space="preserve">Product/Service: </t>
  </si>
  <si>
    <t>PROP</t>
  </si>
  <si>
    <t xml:space="preserve">Component: </t>
  </si>
  <si>
    <t>PROPERTY</t>
  </si>
  <si>
    <t>Line Of Business:</t>
  </si>
  <si>
    <t>All Oth Fire Fire</t>
  </si>
  <si>
    <t>BOOKING SHEET</t>
  </si>
  <si>
    <t xml:space="preserve">Opp Policy Number: </t>
  </si>
  <si>
    <t>Genius Expiring Policy #</t>
  </si>
  <si>
    <t xml:space="preserve">Liberty Role: </t>
  </si>
  <si>
    <t xml:space="preserve">Cedent: </t>
  </si>
  <si>
    <t xml:space="preserve">Primary/Excess: </t>
  </si>
  <si>
    <r>
      <t>Attachment Point:</t>
    </r>
    <r>
      <rPr>
        <sz val="11"/>
        <color rgb="FF444444"/>
        <rFont val="Calibri"/>
        <family val="2"/>
        <scheme val="minor"/>
      </rPr>
      <t xml:space="preserve"> </t>
    </r>
  </si>
  <si>
    <t xml:space="preserve">Signed Order %: </t>
  </si>
  <si>
    <t xml:space="preserve">Signed Line %: </t>
  </si>
  <si>
    <t>EML:</t>
  </si>
  <si>
    <t>PML:</t>
  </si>
  <si>
    <t xml:space="preserve">Effective Dates: From: </t>
  </si>
  <si>
    <t xml:space="preserve">Effective Dates: End: </t>
  </si>
  <si>
    <t xml:space="preserve">Operation Area: </t>
  </si>
  <si>
    <t>COVERAGE</t>
  </si>
  <si>
    <t xml:space="preserve">Premium Property: </t>
  </si>
  <si>
    <r>
      <t>Risk Limit Property:</t>
    </r>
    <r>
      <rPr>
        <sz val="11"/>
        <color rgb="FF444444"/>
        <rFont val="Calibri"/>
        <family val="2"/>
        <scheme val="minor"/>
      </rPr>
      <t xml:space="preserve"> </t>
    </r>
  </si>
  <si>
    <t>Number of Items:</t>
  </si>
  <si>
    <t xml:space="preserve">TIV (amount): </t>
  </si>
  <si>
    <t>Cyber Type:</t>
  </si>
  <si>
    <t>SRCC Limit:</t>
  </si>
  <si>
    <t>SRCC Coverage Included:</t>
  </si>
  <si>
    <t xml:space="preserve">Tech Premium: </t>
  </si>
  <si>
    <t xml:space="preserve">Renewal Rate Change: </t>
  </si>
  <si>
    <t>DEDUCTIONS / INSTALLMENTS</t>
  </si>
  <si>
    <t xml:space="preserve">Main Broker Commission %: </t>
  </si>
  <si>
    <r>
      <t>Fronting Fee %:</t>
    </r>
    <r>
      <rPr>
        <sz val="11"/>
        <color rgb="FF444444"/>
        <rFont val="Calibri"/>
        <family val="2"/>
        <scheme val="minor"/>
      </rPr>
      <t xml:space="preserve"> </t>
    </r>
  </si>
  <si>
    <t>RWT:</t>
  </si>
  <si>
    <r>
      <t>Num of Installments:</t>
    </r>
    <r>
      <rPr>
        <sz val="11"/>
        <color rgb="FF444444"/>
        <rFont val="Calibri"/>
        <family val="2"/>
        <scheme val="minor"/>
      </rPr>
      <t xml:space="preserve"> </t>
    </r>
  </si>
  <si>
    <t xml:space="preserve">PPW: </t>
  </si>
  <si>
    <t>ECU-MSC-PROP-</t>
  </si>
  <si>
    <t>MSC-RE INTERMEDIARIA DE REASEGUROS S.A.</t>
  </si>
  <si>
    <t>MARIA JOSE SEVILLA</t>
  </si>
  <si>
    <t>Nuevo negocio</t>
  </si>
  <si>
    <t>Renovacion</t>
  </si>
  <si>
    <t>Received Date (MM/DD/YYYY)</t>
  </si>
  <si>
    <t>Deisi Hernandez</t>
  </si>
  <si>
    <t>Ecuador Non AFF</t>
  </si>
  <si>
    <t xml:space="preserve">ECUADOR  </t>
  </si>
  <si>
    <t>Spanish</t>
  </si>
  <si>
    <t>Reinsurer lead</t>
  </si>
  <si>
    <t>Reinsurer follow</t>
  </si>
  <si>
    <t>Primary</t>
  </si>
  <si>
    <t>Excess</t>
  </si>
  <si>
    <t>Yes</t>
  </si>
  <si>
    <t>No</t>
  </si>
  <si>
    <r>
      <t>Retention/deducible Property:</t>
    </r>
    <r>
      <rPr>
        <sz val="11"/>
        <color rgb="FF444444"/>
        <rFont val="Calibri"/>
        <family val="2"/>
        <scheme val="minor"/>
      </rPr>
      <t xml:space="preserve"> </t>
    </r>
  </si>
  <si>
    <t>Tier 1</t>
  </si>
  <si>
    <t>Tier 2</t>
  </si>
  <si>
    <t>Tier 3</t>
  </si>
  <si>
    <t>TEMPLATE ECUADOR PROPERTY MSC</t>
  </si>
  <si>
    <t>Campaign Influence</t>
  </si>
  <si>
    <t>MSC Re Property Marine Financial Lines Ecuador</t>
  </si>
  <si>
    <t>WS Deductible %</t>
  </si>
  <si>
    <t>WS Deductible Min (USD)</t>
  </si>
  <si>
    <t>EQ Deductible %</t>
  </si>
  <si>
    <t>EQ Deductible Min (USD)</t>
  </si>
  <si>
    <t>FL Deductible %</t>
  </si>
  <si>
    <t>FLDeductible Min (USD)</t>
  </si>
  <si>
    <t>GROUP</t>
  </si>
  <si>
    <t>PRIMARY</t>
  </si>
  <si>
    <t>SECONDARY</t>
  </si>
  <si>
    <t>Agriculture, Forestry and Fishing</t>
  </si>
  <si>
    <t>Agricultural Production - Livestock and Animal Specialties</t>
  </si>
  <si>
    <t>Poultry Hatcheries</t>
  </si>
  <si>
    <t>General Farms, Primarily animals</t>
  </si>
  <si>
    <t>Agricultural Services</t>
  </si>
  <si>
    <t>Forestry</t>
  </si>
  <si>
    <t>Timber Tracts</t>
  </si>
  <si>
    <t>Fishing, Hunting and Trapping</t>
  </si>
  <si>
    <t>Finfish</t>
  </si>
  <si>
    <t>Miscellaneous Marine Products</t>
  </si>
  <si>
    <t>Mining</t>
  </si>
  <si>
    <t>Metal Mining</t>
  </si>
  <si>
    <t>Coal Mining</t>
  </si>
  <si>
    <t>Oil and Gas Extraction</t>
  </si>
  <si>
    <t>Natural Gas Liquids</t>
  </si>
  <si>
    <t>Mining and Quarrying of Nonmetallic Minerals, Except Fuels</t>
  </si>
  <si>
    <t>Food and Kindred Products</t>
  </si>
  <si>
    <t>Meat Packing Plants</t>
  </si>
  <si>
    <t>Sausages and Other Prepared Meats</t>
  </si>
  <si>
    <t>Poultry Slaughtering and Processing</t>
  </si>
  <si>
    <t>Creamery Butter</t>
  </si>
  <si>
    <t>Cheese; Natural and Processed</t>
  </si>
  <si>
    <t>Dry, Condensed, Evaporated Products</t>
  </si>
  <si>
    <t>Ice Cream and Frozen Desserts</t>
  </si>
  <si>
    <t>Fluid Milk</t>
  </si>
  <si>
    <t>Canned Specialties</t>
  </si>
  <si>
    <t>Canned Fruits and Specialties</t>
  </si>
  <si>
    <t>Dehydrated Fruits, Vegetables, Soups</t>
  </si>
  <si>
    <t>Frozen Fruits and Vegetables, Juices</t>
  </si>
  <si>
    <t>Flour and Other Grain Mill Products</t>
  </si>
  <si>
    <t>Cereal Breakfast Foods</t>
  </si>
  <si>
    <t>Wet Corn Milling</t>
  </si>
  <si>
    <t>Dog and Cat Food</t>
  </si>
  <si>
    <t>Prepared Feeds, Nec</t>
  </si>
  <si>
    <t>Bread, Cake, and Related Products</t>
  </si>
  <si>
    <t>Cane Sugar Refining</t>
  </si>
  <si>
    <t>Beet Sugar</t>
  </si>
  <si>
    <t>Candy and Other Confectionery Products</t>
  </si>
  <si>
    <t>Vegetable Oil Mills, Nec</t>
  </si>
  <si>
    <t>Animal and Marine Fats and Oils</t>
  </si>
  <si>
    <t>Malt Beverages</t>
  </si>
  <si>
    <t>Wines, Brandy, and Brandy Spirits</t>
  </si>
  <si>
    <t>Distilled and Blended Liquors</t>
  </si>
  <si>
    <t>Bottled and Canned Soft Drinks</t>
  </si>
  <si>
    <t>Canned and Cured Fish and Seafoods</t>
  </si>
  <si>
    <t>Roasted Coffee</t>
  </si>
  <si>
    <t>Manufactured Ice</t>
  </si>
  <si>
    <t>Macaroni and Spaghetti</t>
  </si>
  <si>
    <t>Food Preparations, Nec</t>
  </si>
  <si>
    <t>Tobacco Products</t>
  </si>
  <si>
    <t>Textile Mill Products</t>
  </si>
  <si>
    <t>Broadwoven Fabric Mills, Cotton</t>
  </si>
  <si>
    <t>Broadwoven Fabric Mills, Manmade</t>
  </si>
  <si>
    <t>Finishing Plants, Manmade</t>
  </si>
  <si>
    <t>Yarn Spinning Mills</t>
  </si>
  <si>
    <t>Textile Goods, Nec</t>
  </si>
  <si>
    <t>Apparel, Finished Prdcts from Fabrics &amp; Similar Materials</t>
  </si>
  <si>
    <t>Apparel and Accessories, Nec</t>
  </si>
  <si>
    <t>Household Furnishings, Nec</t>
  </si>
  <si>
    <t>Automotive and Apparel Trimmings</t>
  </si>
  <si>
    <t>Fabricated Textile Products, Nec</t>
  </si>
  <si>
    <t>Lumber and Wood Products, Except Furniture</t>
  </si>
  <si>
    <t>Sawmills and Planing Mills, General</t>
  </si>
  <si>
    <t>Hardwood Veneer and Plywood</t>
  </si>
  <si>
    <t>Structural Wood Members, Nec</t>
  </si>
  <si>
    <t>Wood Containers, Nec</t>
  </si>
  <si>
    <t>Furniture and Fixtures</t>
  </si>
  <si>
    <t>Wood Household Furniture</t>
  </si>
  <si>
    <t>Upholstered Household Furniture</t>
  </si>
  <si>
    <t>Mattresses and Bedsprings</t>
  </si>
  <si>
    <t>Wood Office Furniture</t>
  </si>
  <si>
    <t>Office Furniture, Except Wood</t>
  </si>
  <si>
    <t>Furniture and Fixtures, Nec</t>
  </si>
  <si>
    <t>Paper and Allied Products</t>
  </si>
  <si>
    <t>Paper Mills</t>
  </si>
  <si>
    <t>Paperboard Mills</t>
  </si>
  <si>
    <t>Setup Paperboard Boxes</t>
  </si>
  <si>
    <t>Corrugated and Solid Fiber Boxes</t>
  </si>
  <si>
    <t>Bags: Uncoated Paper and Multiwall</t>
  </si>
  <si>
    <t>Sanitary Paper Products</t>
  </si>
  <si>
    <t>Converted Paper Products, Nec</t>
  </si>
  <si>
    <t>Printing, Publishing and Allied Industries</t>
  </si>
  <si>
    <t>Newspapers</t>
  </si>
  <si>
    <t>Commercial Printing, Lithographic</t>
  </si>
  <si>
    <t>Commercial Printing, Nec</t>
  </si>
  <si>
    <t>Typesetting</t>
  </si>
  <si>
    <t>Chemicals and Allied Products</t>
  </si>
  <si>
    <t>Alkalies and Chlorine</t>
  </si>
  <si>
    <t>Industrial Inorganic Chemicals, Nec</t>
  </si>
  <si>
    <t>Synthetic Rubber</t>
  </si>
  <si>
    <t>Cellulosic Manmade Fibers</t>
  </si>
  <si>
    <t>Medicinals and Botanicals</t>
  </si>
  <si>
    <t>Pharmaceutical Preparations</t>
  </si>
  <si>
    <t>Biological Products, Except Diagnostic</t>
  </si>
  <si>
    <t>Soap and Other Detergents</t>
  </si>
  <si>
    <t>Perfumes, Cosmetics &amp; Toilet Preparations</t>
  </si>
  <si>
    <t>Paints and Allied Products</t>
  </si>
  <si>
    <t>Gum and Wood Chemicals</t>
  </si>
  <si>
    <t>Industrial Organic Chemicals, Nec</t>
  </si>
  <si>
    <t>Fertilizers, Mixing Only</t>
  </si>
  <si>
    <t>Explosives</t>
  </si>
  <si>
    <t>Chemical Preparations, Nec</t>
  </si>
  <si>
    <t>Salt</t>
  </si>
  <si>
    <t>Petroleum Refining and Related Industries</t>
  </si>
  <si>
    <t>Asphalt Paving Mixtures and Blocks</t>
  </si>
  <si>
    <t>Rubber and Miscellaneous Plastic Products</t>
  </si>
  <si>
    <t>Tires and Inner Tubes</t>
  </si>
  <si>
    <t>Fabricated Rubber Products, Nec</t>
  </si>
  <si>
    <t>Plastics Products, Nec</t>
  </si>
  <si>
    <t>Leather and Leather Products</t>
  </si>
  <si>
    <t>Men's Footwear, Except athletic</t>
  </si>
  <si>
    <t>Leather Goods, Nec</t>
  </si>
  <si>
    <t>Stone, Clay, Glass, and Concrete Products</t>
  </si>
  <si>
    <t>Glass Containers</t>
  </si>
  <si>
    <t>Cement, Hydraulic</t>
  </si>
  <si>
    <t>Brick and Structural Clay Tile</t>
  </si>
  <si>
    <t>Ceramic Wall and Floor Tile</t>
  </si>
  <si>
    <t>Clay Refractories</t>
  </si>
  <si>
    <t>Pottery Products, Nec</t>
  </si>
  <si>
    <t>Concrete Products, Nec</t>
  </si>
  <si>
    <t>Nonmetallic Mineral Products,</t>
  </si>
  <si>
    <t>Primary Metal Industries</t>
  </si>
  <si>
    <t>Blast Furnaces and Steel Mills</t>
  </si>
  <si>
    <t>Electrometallurgical Products</t>
  </si>
  <si>
    <t>Steel Wire and Related Products</t>
  </si>
  <si>
    <t>Steel Investment Foundries</t>
  </si>
  <si>
    <t>Primary Copper</t>
  </si>
  <si>
    <t>Primary Aluminum</t>
  </si>
  <si>
    <t>Nonferrous Rolling and Drawing, Nec</t>
  </si>
  <si>
    <t>Aluminum Foundries</t>
  </si>
  <si>
    <t>Primary Metal Products</t>
  </si>
  <si>
    <t>Fabricated Metal Prdcts, Except Machinery &amp; Transport Eqpmnt</t>
  </si>
  <si>
    <t>Metal Cans</t>
  </si>
  <si>
    <t>Hand and Edge Tools, Nec</t>
  </si>
  <si>
    <t>Metal Sanitary Ware</t>
  </si>
  <si>
    <t>Fabricated Structural Metal</t>
  </si>
  <si>
    <t>Metal Doors, Sash, and Trim</t>
  </si>
  <si>
    <t>Sheet Metalwork</t>
  </si>
  <si>
    <t>Miscellaneous Metalwork</t>
  </si>
  <si>
    <t>Metal Stampings, Nec</t>
  </si>
  <si>
    <t>Miscellaneous Fabricated Wire Products</t>
  </si>
  <si>
    <t>Fabricated Metal Products, Nec</t>
  </si>
  <si>
    <t>Industrial and Commercial Machinery and Computer Equipment</t>
  </si>
  <si>
    <t>Mining Machinery</t>
  </si>
  <si>
    <t>Rolling Mill Machinery</t>
  </si>
  <si>
    <t>Pumps and Pumping Equipment</t>
  </si>
  <si>
    <t>Computer Peripheral Equipment, Nec</t>
  </si>
  <si>
    <t>Industrial Machinery, Nec</t>
  </si>
  <si>
    <t>Electronic, Elctrcl Eqpmnt &amp; Cmpnts, Excpt Computer Eqpmnt</t>
  </si>
  <si>
    <t>Power, Distribution and Specialty Transformers</t>
  </si>
  <si>
    <t>Switchgear and Switchboard Apparatus</t>
  </si>
  <si>
    <t>Motors and Generators</t>
  </si>
  <si>
    <t>Household Refrigerators and Freezers</t>
  </si>
  <si>
    <t>Household Appliances, Nec</t>
  </si>
  <si>
    <t>Household Audio and Video Equipment</t>
  </si>
  <si>
    <t>Communications Equipment, Nec</t>
  </si>
  <si>
    <t>Semiconductors and Related Devices</t>
  </si>
  <si>
    <t>Electronic Components, Nec</t>
  </si>
  <si>
    <t>Primary Batteries, Dry and Wet</t>
  </si>
  <si>
    <t>Electrical Equipment and Supplies, Nec</t>
  </si>
  <si>
    <t>Transportation Equipment</t>
  </si>
  <si>
    <t>Motor Vehicles and Car Bodies</t>
  </si>
  <si>
    <t>Motor Vehicle Parts and Accessories</t>
  </si>
  <si>
    <t>Aircraft</t>
  </si>
  <si>
    <t>Shipbuilding and Repairing</t>
  </si>
  <si>
    <t>Railroad Equipment</t>
  </si>
  <si>
    <t>Transportation Equipment, Nec</t>
  </si>
  <si>
    <t>Mesr/Anlyz/Cntrl Instrmnts; Photo/Med/Opt Gds; Watchs/Clocks</t>
  </si>
  <si>
    <t>Surgical and Medical Instruments</t>
  </si>
  <si>
    <t>Electromedical Equipment</t>
  </si>
  <si>
    <t>Miscellaneous Manufacturing Industries</t>
  </si>
  <si>
    <t>Manufacturing Industries, Nec</t>
  </si>
  <si>
    <t>Transportation, Communications, Electric, Gas, And Sanitary Services</t>
  </si>
  <si>
    <t>Railroad Transportation</t>
  </si>
  <si>
    <t>Railroads, Line-haul Operating</t>
  </si>
  <si>
    <t>Switching and Terminal Services</t>
  </si>
  <si>
    <t>Local, Suburban Transit &amp; Interurbn Hgwy Passenger Transport</t>
  </si>
  <si>
    <t>Taxicabs</t>
  </si>
  <si>
    <t>Local Bus Charter Service</t>
  </si>
  <si>
    <t>School Buses</t>
  </si>
  <si>
    <t>Bus Terminal and Service Facilities</t>
  </si>
  <si>
    <t>Motor Freight Transportation</t>
  </si>
  <si>
    <t>General Warehousing and Storage</t>
  </si>
  <si>
    <t>Trucking Terminal Facilities</t>
  </si>
  <si>
    <t>Water Transportation</t>
  </si>
  <si>
    <t>Water Transportation of Freight</t>
  </si>
  <si>
    <t>Marine Cargo Handling</t>
  </si>
  <si>
    <t>Marinas</t>
  </si>
  <si>
    <t>Water Transportation Services, Nec</t>
  </si>
  <si>
    <t>Transportation by Air</t>
  </si>
  <si>
    <t>Airports, Flying Fields, and Airport Terminal Services</t>
  </si>
  <si>
    <t>Pipelines, Except Natural Gas</t>
  </si>
  <si>
    <t>Pipelines, Nec</t>
  </si>
  <si>
    <t>Transportation Services</t>
  </si>
  <si>
    <t>Travel Agencies</t>
  </si>
  <si>
    <t>Freight Transportation Arrangement</t>
  </si>
  <si>
    <t>Packing and Crating</t>
  </si>
  <si>
    <t>Inspection and Fixed Facilities for Motor Vehicle Transportation, Tolls</t>
  </si>
  <si>
    <t>Communications</t>
  </si>
  <si>
    <t>Telephone Communication, Except Radio</t>
  </si>
  <si>
    <t>Television Broadcasting Stations</t>
  </si>
  <si>
    <t>Communication Services, Nec</t>
  </si>
  <si>
    <t>Electric, Gas and Sanitary Services</t>
  </si>
  <si>
    <t>Electric Services</t>
  </si>
  <si>
    <t>Natural Gas Transmission</t>
  </si>
  <si>
    <t>Natural Gas Distribution</t>
  </si>
  <si>
    <t>Water Supply</t>
  </si>
  <si>
    <t>Sewerage Systems</t>
  </si>
  <si>
    <t>Sanitary Services, Nec</t>
  </si>
  <si>
    <t>Irrigation Systems</t>
  </si>
  <si>
    <t>Wholesale Trade</t>
  </si>
  <si>
    <t>Wholesale Trade - Durable Goods</t>
  </si>
  <si>
    <t>Automobiles and Other Motor Vehicles</t>
  </si>
  <si>
    <t>Commercial Equipment, Nec</t>
  </si>
  <si>
    <t>Electronic Parts and Equipment, Nec</t>
  </si>
  <si>
    <t>Industrial Supplies</t>
  </si>
  <si>
    <t>Durable Goods, Nec</t>
  </si>
  <si>
    <t>Wholesale Trade - Nondurable Goods</t>
  </si>
  <si>
    <t>Drugs, Proprietaries, and Sundries</t>
  </si>
  <si>
    <t>Men's and Boy's Clothing</t>
  </si>
  <si>
    <t>Fish and Seafoods</t>
  </si>
  <si>
    <t>Meats and Meat Products</t>
  </si>
  <si>
    <t>Fresh Fruits and Vegetables</t>
  </si>
  <si>
    <t>Grain and Field Beans</t>
  </si>
  <si>
    <t>Nondurable Goods, Nec</t>
  </si>
  <si>
    <t>Retail Trade</t>
  </si>
  <si>
    <t>Building Matrials, Hrdwr, Garden Supply &amp; Mobile Home Dealrs</t>
  </si>
  <si>
    <t>Retail Nurseries and Garden Stores</t>
  </si>
  <si>
    <t>General Merchandise Stores</t>
  </si>
  <si>
    <t>Department Stores</t>
  </si>
  <si>
    <t>Miscellaneous General Merchandise</t>
  </si>
  <si>
    <t>Food Stores</t>
  </si>
  <si>
    <t>Grocery Stores</t>
  </si>
  <si>
    <t>Miscellaneous Food Stores</t>
  </si>
  <si>
    <t>Automotive Dealers and Gasoline Service Stations</t>
  </si>
  <si>
    <t>New and Used Car Dealers</t>
  </si>
  <si>
    <t>Gasoline Service Stations</t>
  </si>
  <si>
    <t>Automotive Dealers, Nec</t>
  </si>
  <si>
    <t>Apparel and Accessory Stores</t>
  </si>
  <si>
    <t>Miscellaneous Apparel and Accessories</t>
  </si>
  <si>
    <t>Home Furniture, Furnishings and Equipment Stores</t>
  </si>
  <si>
    <t>Household Appliance Stores</t>
  </si>
  <si>
    <t>Radio, Television, and Electronic Stores</t>
  </si>
  <si>
    <t>Musical Instrument Stores</t>
  </si>
  <si>
    <t>Eating and Drinking Places</t>
  </si>
  <si>
    <t>Eating Places</t>
  </si>
  <si>
    <t>Drinking Places</t>
  </si>
  <si>
    <t>Miscellaneous Retail</t>
  </si>
  <si>
    <t>Drug Stores and Proprietary Stores</t>
  </si>
  <si>
    <t>Liquor Stores</t>
  </si>
  <si>
    <t>Book Stores</t>
  </si>
  <si>
    <t>Jewelry Stores</t>
  </si>
  <si>
    <t>Liquefied Petroleum Gas Dealers</t>
  </si>
  <si>
    <t>Tobacco Stores and Stands</t>
  </si>
  <si>
    <t>Optical Goods Stores</t>
  </si>
  <si>
    <t>Miscellaneous Retail Stores, Nec</t>
  </si>
  <si>
    <t>Finance, Insurance, And Real Estate</t>
  </si>
  <si>
    <t>Depository Institutions</t>
  </si>
  <si>
    <t>Commercial Banks, Nec</t>
  </si>
  <si>
    <t>Federal Credit Unions</t>
  </si>
  <si>
    <t>Security &amp; Commodity Brokers, Dealers, Exchanges &amp; Services</t>
  </si>
  <si>
    <t>Insurance Carriers</t>
  </si>
  <si>
    <t>Real Estate</t>
  </si>
  <si>
    <t>Nonresidential Building Operators</t>
  </si>
  <si>
    <t>Commercial and Industrial building operators</t>
  </si>
  <si>
    <t>Shopping Center operation</t>
  </si>
  <si>
    <t>Apartment Building Operators</t>
  </si>
  <si>
    <t>Dwelling Operators, Except Apartments</t>
  </si>
  <si>
    <t>Cemetery Subdividers and Developers</t>
  </si>
  <si>
    <t>Holding and Other Investment Offices</t>
  </si>
  <si>
    <t>Investors, Nec</t>
  </si>
  <si>
    <t>Services</t>
  </si>
  <si>
    <t>Hotels, Rooming Houses, Camps, and Other Lodging Places</t>
  </si>
  <si>
    <t>Hotels and Motels</t>
  </si>
  <si>
    <t>Motels</t>
  </si>
  <si>
    <t>Casino Hotel</t>
  </si>
  <si>
    <t>Resorts</t>
  </si>
  <si>
    <t>Seasonal Hotel</t>
  </si>
  <si>
    <t>Personal Services</t>
  </si>
  <si>
    <t>Laundry and Garment Services, Nec</t>
  </si>
  <si>
    <t>Beauty Shops</t>
  </si>
  <si>
    <t>Barber Shops</t>
  </si>
  <si>
    <t>Funeral Service and Crematories</t>
  </si>
  <si>
    <t>Miscellaneous Personal Services</t>
  </si>
  <si>
    <t>Business Services</t>
  </si>
  <si>
    <t>Advertising, Nec</t>
  </si>
  <si>
    <t>Commercial Art and Graphic Design</t>
  </si>
  <si>
    <t>Employment Agencies</t>
  </si>
  <si>
    <t>Computer Facilities Management</t>
  </si>
  <si>
    <t>Business Services, Nec</t>
  </si>
  <si>
    <t>Automotive Repair, Services and Parking</t>
  </si>
  <si>
    <t>Automobile Parking</t>
  </si>
  <si>
    <t>Automotive Services, Nec</t>
  </si>
  <si>
    <t>Miscellaneous Repair Services</t>
  </si>
  <si>
    <t>Repair Services, Nec</t>
  </si>
  <si>
    <t>Motion Pictures</t>
  </si>
  <si>
    <t>Motion Picture Theaters, Except Drive-in</t>
  </si>
  <si>
    <t>Amusement and Recreation Services</t>
  </si>
  <si>
    <t>Dance Studios, Schools, and Halls</t>
  </si>
  <si>
    <t>Theatrical Producers and Services</t>
  </si>
  <si>
    <t>Entertainers and Entertainment Groups</t>
  </si>
  <si>
    <t>Bowling Centers</t>
  </si>
  <si>
    <t>Sports Clubs, Managers, and Promoters</t>
  </si>
  <si>
    <t>Physical Fitness Facilities</t>
  </si>
  <si>
    <t>Public Golf Courses</t>
  </si>
  <si>
    <t>Membership Sports and Recreation Clubs</t>
  </si>
  <si>
    <t>Amusement and Recreation, Nec</t>
  </si>
  <si>
    <t>Health Services</t>
  </si>
  <si>
    <t>Offices and Clinics of Medical Doctors</t>
  </si>
  <si>
    <t>Nursing and Personal Care, Nec</t>
  </si>
  <si>
    <t>General Medical and Surgical Hospitals</t>
  </si>
  <si>
    <t>Medical Laboratories</t>
  </si>
  <si>
    <t>Dental Laboratories</t>
  </si>
  <si>
    <t>Health and Allied Services, Nec</t>
  </si>
  <si>
    <t>Legal Services</t>
  </si>
  <si>
    <t>Educational Services</t>
  </si>
  <si>
    <t>Colleges and Universities</t>
  </si>
  <si>
    <t>Libraries</t>
  </si>
  <si>
    <t>Schools and Educational Services</t>
  </si>
  <si>
    <t>Social Services</t>
  </si>
  <si>
    <t>Child Day Care Services</t>
  </si>
  <si>
    <t>Social Services, Nec</t>
  </si>
  <si>
    <t>Museums, Art Galleries and Botanical and Zoological Gardens</t>
  </si>
  <si>
    <t>Museums and Art Galleries</t>
  </si>
  <si>
    <t>Membership Organizations</t>
  </si>
  <si>
    <t>Religious Organizations</t>
  </si>
  <si>
    <t>Engineering, Accounting, Research, Management &amp; Related Svcs</t>
  </si>
  <si>
    <t>Noncommercial Research Organizations</t>
  </si>
  <si>
    <t>Public Relations Services</t>
  </si>
  <si>
    <t>Business Consulting, Nec</t>
  </si>
  <si>
    <t>Public Administration</t>
  </si>
  <si>
    <t>Executive, Legislative &amp; General Government, Except Finance</t>
  </si>
  <si>
    <t>General Government, Nec</t>
  </si>
  <si>
    <t>Justice, Public Order and Safety</t>
  </si>
  <si>
    <t>Correctional Institutions</t>
  </si>
  <si>
    <t>Fire Protection</t>
  </si>
  <si>
    <t>Public Order and Safety, Nec</t>
  </si>
  <si>
    <t>Public Finance, Taxation and Monetary Policy</t>
  </si>
  <si>
    <t>Finance, Taxation, and Monetary Policy</t>
  </si>
  <si>
    <t>Administration of Human Resource Programs</t>
  </si>
  <si>
    <t>Administration of Veterans' Affairs</t>
  </si>
  <si>
    <t>Administration of Environmental Quality and Housing Programs</t>
  </si>
  <si>
    <t>Housing Programs</t>
  </si>
  <si>
    <t>Administration of Economic Programs</t>
  </si>
  <si>
    <t>Space Research and Technology</t>
  </si>
  <si>
    <t>National Security and International Affairs</t>
  </si>
  <si>
    <t>National Security</t>
  </si>
  <si>
    <t>International Affairs</t>
  </si>
  <si>
    <t>Others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</si>
</sst>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_-&quot;XDR&quot;* #,##0_-;\-&quot;XDR&quot;* #,##0_-;_-&quot;XDR&quot;* &quot;-&quot;_-;_-@_-"/>
    <numFmt numFmtId="165" formatCode="_-* #,##0_-;\-* #,##0_-;_-* &quot;-&quot;_-;_-@_-"/>
    <numFmt numFmtId="166" formatCode="_-&quot;XDR&quot;* #,##0.00_-;\-&quot;XDR&quot;* #,##0.00_-;_-&quot;XDR&quot;* &quot;-&quot;??_-;_-@_-"/>
    <numFmt numFmtId="167" formatCode="_(* #,##0_);_(* \(#,##0\);_(* &quot;-&quot;??_);_(@_)"/>
    <numFmt numFmtId="168" formatCode="00000"/>
    <numFmt numFmtId="169" formatCode="0.000%"/>
    <numFmt numFmtId="170" formatCode="0.0%"/>
    <numFmt numFmtId="171" formatCode="_(* #,##0.000_);_(* \(#,##0.000\);_(* &quot;-&quot;??_);_(@_)"/>
    <numFmt numFmtId="172" formatCode="#,##0.000"/>
    <numFmt numFmtId="173" formatCode="0.0000%"/>
    <numFmt numFmtId="174" formatCode="_ * #,##0.00_ ;_ * \-#,##0.00_ ;_ * &quot;-&quot;_ ;_ @_ "/>
  </numFmts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</font>
    <font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u/>
      <sz val="12"/>
      <color rgb="FF242424"/>
      <name val="Calibri"/>
      <family val="2"/>
      <scheme val="minor"/>
    </font>
    <font>
      <sz val="9"/>
      <color rgb="FF444444"/>
      <name val="-apple-system"/>
    </font>
    <font>
      <sz val="11"/>
      <color rgb="FF444444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otted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4" fillId="0" borderId="0"/>
    <xf numFmtId="0" fontId="24" fillId="0" borderId="0"/>
  </cellStyleXfs>
  <cellXfs count="241">
    <xf numFmtId="0" fontId="0" fillId="0" borderId="0" xfId="0"/>
    <xf numFmtId="0" fontId="0" fillId="0" borderId="0" xfId="0" applyAlignment="1">
      <alignment vertical="center"/>
    </xf>
    <xf numFmtId="167" fontId="0" fillId="0" borderId="0" xfId="4" applyNumberFormat="1" applyFont="1"/>
    <xf numFmtId="0" fontId="0" fillId="0" borderId="0" xfId="0" applyAlignment="1">
      <alignment horizontal="left"/>
    </xf>
    <xf numFmtId="0" fontId="2" fillId="0" borderId="0" xfId="0" applyFont="1"/>
    <xf numFmtId="168" fontId="2" fillId="0" borderId="0" xfId="0" applyNumberFormat="1" applyFont="1"/>
    <xf numFmtId="168" fontId="0" fillId="0" borderId="0" xfId="0" applyNumberFormat="1"/>
    <xf numFmtId="49" fontId="2" fillId="0" borderId="0" xfId="0" applyNumberFormat="1" applyFont="1"/>
    <xf numFmtId="1" fontId="2" fillId="0" borderId="0" xfId="0" applyNumberFormat="1" applyFont="1" applyAlignment="1">
      <alignment horizontal="right" wrapText="1"/>
    </xf>
    <xf numFmtId="167" fontId="5" fillId="0" borderId="0" xfId="4" applyNumberFormat="1" applyFont="1"/>
    <xf numFmtId="167" fontId="0" fillId="0" borderId="0" xfId="4" applyNumberFormat="1" applyFont="1" applyAlignment="1">
      <alignment vertical="center"/>
    </xf>
    <xf numFmtId="0" fontId="0" fillId="4" borderId="0" xfId="0" applyFill="1"/>
    <xf numFmtId="167" fontId="5" fillId="4" borderId="0" xfId="4" applyNumberFormat="1" applyFont="1" applyFill="1"/>
    <xf numFmtId="167" fontId="0" fillId="0" borderId="0" xfId="4" applyNumberFormat="1" applyFont="1" applyAlignment="1">
      <alignment horizontal="left"/>
    </xf>
    <xf numFmtId="4" fontId="0" fillId="0" borderId="0" xfId="0" applyNumberFormat="1" applyAlignment="1" applyProtection="1">
      <alignment vertical="center"/>
      <protection hidden="1"/>
    </xf>
    <xf numFmtId="4" fontId="0" fillId="0" borderId="6" xfId="0" applyNumberFormat="1" applyBorder="1" applyAlignment="1" applyProtection="1">
      <alignment vertical="center"/>
      <protection hidden="1"/>
    </xf>
    <xf numFmtId="4" fontId="0" fillId="0" borderId="7" xfId="0" applyNumberFormat="1" applyBorder="1" applyAlignment="1" applyProtection="1">
      <alignment vertical="center"/>
      <protection hidden="1"/>
    </xf>
    <xf numFmtId="4" fontId="0" fillId="0" borderId="8" xfId="0" applyNumberFormat="1" applyBorder="1" applyAlignment="1" applyProtection="1">
      <alignment vertical="center"/>
      <protection hidden="1"/>
    </xf>
    <xf numFmtId="4" fontId="0" fillId="0" borderId="11" xfId="0" applyNumberFormat="1" applyBorder="1" applyAlignment="1" applyProtection="1">
      <alignment vertical="center"/>
      <protection hidden="1"/>
    </xf>
    <xf numFmtId="4" fontId="0" fillId="0" borderId="12" xfId="0" applyNumberFormat="1" applyBorder="1" applyAlignment="1" applyProtection="1">
      <alignment vertical="center"/>
      <protection hidden="1"/>
    </xf>
    <xf numFmtId="4" fontId="0" fillId="0" borderId="0" xfId="0" applyNumberFormat="1" applyBorder="1" applyAlignment="1" applyProtection="1">
      <alignment vertical="center"/>
      <protection hidden="1"/>
    </xf>
    <xf numFmtId="4" fontId="0" fillId="0" borderId="2" xfId="0" applyNumberFormat="1" applyBorder="1" applyAlignment="1" applyProtection="1">
      <alignment vertical="center"/>
      <protection hidden="1"/>
    </xf>
    <xf numFmtId="4" fontId="0" fillId="0" borderId="13" xfId="0" applyNumberFormat="1" applyBorder="1" applyAlignment="1" applyProtection="1">
      <alignment vertical="center"/>
      <protection hidden="1"/>
    </xf>
    <xf numFmtId="4" fontId="0" fillId="0" borderId="2" xfId="0" applyNumberFormat="1" applyBorder="1" applyAlignment="1" applyProtection="1">
      <alignment horizontal="left" vertical="center"/>
      <protection hidden="1"/>
    </xf>
    <xf numFmtId="4" fontId="0" fillId="0" borderId="2" xfId="0" applyNumberFormat="1" applyFill="1" applyBorder="1" applyAlignment="1" applyProtection="1">
      <alignment vertical="center"/>
      <protection hidden="1"/>
    </xf>
    <xf numFmtId="4" fontId="0" fillId="0" borderId="0" xfId="0" applyNumberFormat="1" applyFill="1" applyBorder="1" applyAlignment="1" applyProtection="1">
      <alignment vertical="center"/>
      <protection hidden="1"/>
    </xf>
    <xf numFmtId="4" fontId="0" fillId="6" borderId="2" xfId="4" applyNumberFormat="1" applyFont="1" applyFill="1" applyBorder="1" applyAlignment="1" applyProtection="1">
      <alignment horizontal="right" vertical="center"/>
      <protection hidden="1"/>
    </xf>
    <xf numFmtId="4" fontId="0" fillId="0" borderId="0" xfId="4" applyNumberFormat="1" applyFont="1" applyBorder="1" applyAlignment="1" applyProtection="1">
      <alignment vertical="center"/>
      <protection hidden="1"/>
    </xf>
    <xf numFmtId="4" fontId="0" fillId="6" borderId="2" xfId="4" applyNumberFormat="1" applyFont="1" applyFill="1" applyBorder="1" applyAlignment="1" applyProtection="1">
      <alignment vertical="center"/>
      <protection hidden="1"/>
    </xf>
    <xf numFmtId="4" fontId="11" fillId="0" borderId="2" xfId="0" applyNumberFormat="1" applyFont="1" applyBorder="1" applyAlignment="1" applyProtection="1">
      <alignment vertical="center"/>
      <protection hidden="1"/>
    </xf>
    <xf numFmtId="4" fontId="11" fillId="6" borderId="2" xfId="4" applyNumberFormat="1" applyFont="1" applyFill="1" applyBorder="1" applyAlignment="1" applyProtection="1">
      <alignment vertical="center"/>
      <protection hidden="1"/>
    </xf>
    <xf numFmtId="4" fontId="0" fillId="0" borderId="0" xfId="1" applyNumberFormat="1" applyFont="1" applyBorder="1" applyAlignment="1" applyProtection="1">
      <alignment vertical="center"/>
      <protection hidden="1"/>
    </xf>
    <xf numFmtId="4" fontId="0" fillId="0" borderId="5" xfId="0" applyNumberFormat="1" applyBorder="1" applyAlignment="1" applyProtection="1">
      <alignment vertical="center"/>
      <protection hidden="1"/>
    </xf>
    <xf numFmtId="4" fontId="11" fillId="0" borderId="0" xfId="0" applyNumberFormat="1" applyFont="1" applyBorder="1" applyAlignment="1" applyProtection="1">
      <alignment vertical="center"/>
      <protection hidden="1"/>
    </xf>
    <xf numFmtId="4" fontId="0" fillId="0" borderId="9" xfId="0" applyNumberFormat="1" applyBorder="1" applyAlignment="1" applyProtection="1">
      <alignment vertical="center"/>
      <protection hidden="1"/>
    </xf>
    <xf numFmtId="4" fontId="0" fillId="0" borderId="1" xfId="0" applyNumberFormat="1" applyBorder="1" applyAlignment="1" applyProtection="1">
      <alignment vertical="center"/>
      <protection hidden="1"/>
    </xf>
    <xf numFmtId="4" fontId="0" fillId="0" borderId="10" xfId="0" applyNumberFormat="1" applyBorder="1" applyAlignment="1" applyProtection="1">
      <alignment vertical="center"/>
      <protection hidden="1"/>
    </xf>
    <xf numFmtId="4" fontId="0" fillId="6" borderId="2" xfId="4" applyNumberFormat="1" applyFont="1" applyFill="1" applyBorder="1" applyAlignment="1" applyProtection="1">
      <alignment horizontal="right" vertical="center"/>
      <protection locked="0"/>
    </xf>
    <xf numFmtId="4" fontId="0" fillId="5" borderId="2" xfId="0" applyNumberFormat="1" applyFill="1" applyBorder="1" applyAlignment="1" applyProtection="1">
      <alignment vertical="center"/>
      <protection locked="0"/>
    </xf>
    <xf numFmtId="4" fontId="0" fillId="5" borderId="2" xfId="4" applyNumberFormat="1" applyFont="1" applyFill="1" applyBorder="1" applyAlignment="1" applyProtection="1">
      <alignment vertical="center"/>
      <protection locked="0"/>
    </xf>
    <xf numFmtId="9" fontId="0" fillId="5" borderId="2" xfId="1" applyFont="1" applyFill="1" applyBorder="1" applyAlignment="1" applyProtection="1">
      <alignment vertical="center"/>
      <protection locked="0"/>
    </xf>
    <xf numFmtId="9" fontId="0" fillId="6" borderId="2" xfId="1" applyFont="1" applyFill="1" applyBorder="1" applyAlignment="1" applyProtection="1">
      <alignment horizontal="right" vertical="center"/>
      <protection hidden="1"/>
    </xf>
    <xf numFmtId="9" fontId="0" fillId="6" borderId="2" xfId="1" applyFont="1" applyFill="1" applyBorder="1" applyAlignment="1" applyProtection="1">
      <alignment vertical="center"/>
      <protection hidden="1"/>
    </xf>
    <xf numFmtId="170" fontId="0" fillId="6" borderId="2" xfId="1" applyNumberFormat="1" applyFont="1" applyFill="1" applyBorder="1" applyAlignment="1" applyProtection="1">
      <alignment vertical="center"/>
      <protection hidden="1"/>
    </xf>
    <xf numFmtId="169" fontId="0" fillId="6" borderId="2" xfId="1" applyNumberFormat="1" applyFont="1" applyFill="1" applyBorder="1" applyAlignment="1" applyProtection="1">
      <alignment vertical="center"/>
      <protection hidden="1"/>
    </xf>
    <xf numFmtId="9" fontId="0" fillId="6" borderId="2" xfId="1" applyNumberFormat="1" applyFont="1" applyFill="1" applyBorder="1" applyAlignment="1" applyProtection="1">
      <alignment horizontal="right" vertical="center"/>
      <protection hidden="1"/>
    </xf>
    <xf numFmtId="170" fontId="11" fillId="6" borderId="2" xfId="1" applyNumberFormat="1" applyFont="1" applyFill="1" applyBorder="1" applyAlignment="1" applyProtection="1">
      <alignment vertical="center"/>
      <protection hidden="1"/>
    </xf>
    <xf numFmtId="169" fontId="11" fillId="6" borderId="2" xfId="1" applyNumberFormat="1" applyFont="1" applyFill="1" applyBorder="1" applyAlignment="1" applyProtection="1">
      <alignment vertical="center"/>
      <protection hidden="1"/>
    </xf>
    <xf numFmtId="170" fontId="0" fillId="5" borderId="2" xfId="1" applyNumberFormat="1" applyFont="1" applyFill="1" applyBorder="1" applyAlignment="1" applyProtection="1">
      <alignment vertical="center"/>
      <protection locked="0"/>
    </xf>
    <xf numFmtId="3" fontId="0" fillId="6" borderId="2" xfId="0" applyNumberFormat="1" applyFill="1" applyBorder="1" applyAlignment="1" applyProtection="1">
      <alignment vertical="center"/>
      <protection hidden="1"/>
    </xf>
    <xf numFmtId="4" fontId="0" fillId="0" borderId="2" xfId="0" applyNumberFormat="1" applyBorder="1" applyAlignment="1" applyProtection="1">
      <alignment horizontal="center" vertical="center"/>
      <protection hidden="1"/>
    </xf>
    <xf numFmtId="4" fontId="0" fillId="0" borderId="2" xfId="0" applyNumberFormat="1" applyFill="1" applyBorder="1" applyAlignment="1" applyProtection="1">
      <alignment horizontal="left" vertical="center"/>
      <protection hidden="1"/>
    </xf>
    <xf numFmtId="4" fontId="14" fillId="0" borderId="0" xfId="0" applyNumberFormat="1" applyFont="1" applyBorder="1" applyAlignment="1" applyProtection="1">
      <alignment vertical="center"/>
      <protection hidden="1"/>
    </xf>
    <xf numFmtId="0" fontId="7" fillId="3" borderId="2" xfId="8" applyFont="1" applyFill="1" applyBorder="1" applyAlignment="1" applyProtection="1">
      <alignment horizontal="left" vertical="top"/>
      <protection hidden="1"/>
    </xf>
    <xf numFmtId="0" fontId="7" fillId="3" borderId="2" xfId="8" applyFont="1" applyFill="1" applyBorder="1" applyAlignment="1" applyProtection="1">
      <alignment vertical="top"/>
      <protection hidden="1"/>
    </xf>
    <xf numFmtId="0" fontId="6" fillId="0" borderId="0" xfId="7" applyFont="1" applyFill="1" applyProtection="1">
      <protection hidden="1"/>
    </xf>
    <xf numFmtId="0" fontId="6" fillId="0" borderId="0" xfId="0" applyFont="1" applyAlignment="1" applyProtection="1">
      <protection hidden="1"/>
    </xf>
    <xf numFmtId="0" fontId="7" fillId="3" borderId="3" xfId="8" applyFont="1" applyFill="1" applyBorder="1" applyAlignment="1" applyProtection="1">
      <alignment vertical="top"/>
      <protection hidden="1"/>
    </xf>
    <xf numFmtId="0" fontId="7" fillId="3" borderId="3" xfId="8" applyFont="1" applyFill="1" applyBorder="1" applyAlignment="1" applyProtection="1">
      <alignment horizontal="left" vertical="top"/>
      <protection hidden="1"/>
    </xf>
    <xf numFmtId="0" fontId="7" fillId="3" borderId="4" xfId="8" applyFont="1" applyFill="1" applyBorder="1" applyAlignment="1" applyProtection="1">
      <alignment horizontal="left" vertical="top"/>
      <protection hidden="1"/>
    </xf>
    <xf numFmtId="0" fontId="6" fillId="0" borderId="2" xfId="7" applyFont="1" applyFill="1" applyBorder="1" applyProtection="1">
      <protection hidden="1"/>
    </xf>
    <xf numFmtId="0" fontId="6" fillId="0" borderId="2" xfId="0" applyFont="1" applyBorder="1" applyProtection="1">
      <protection hidden="1"/>
    </xf>
    <xf numFmtId="9" fontId="6" fillId="0" borderId="2" xfId="0" applyNumberFormat="1" applyFont="1" applyBorder="1" applyProtection="1">
      <protection hidden="1"/>
    </xf>
    <xf numFmtId="0" fontId="6" fillId="0" borderId="0" xfId="0" applyFont="1" applyProtection="1">
      <protection hidden="1"/>
    </xf>
    <xf numFmtId="169" fontId="6" fillId="0" borderId="2" xfId="1" applyNumberFormat="1" applyFont="1" applyBorder="1" applyProtection="1">
      <protection hidden="1"/>
    </xf>
    <xf numFmtId="0" fontId="8" fillId="0" borderId="0" xfId="0" applyFont="1" applyBorder="1" applyProtection="1">
      <protection hidden="1"/>
    </xf>
    <xf numFmtId="0" fontId="6" fillId="0" borderId="0" xfId="0" applyFont="1" applyBorder="1" applyProtection="1">
      <protection hidden="1"/>
    </xf>
    <xf numFmtId="10" fontId="6" fillId="0" borderId="2" xfId="0" applyNumberFormat="1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9" fillId="0" borderId="0" xfId="8" applyFont="1" applyBorder="1" applyProtection="1">
      <protection hidden="1"/>
    </xf>
    <xf numFmtId="169" fontId="6" fillId="0" borderId="2" xfId="0" applyNumberFormat="1" applyFont="1" applyBorder="1" applyProtection="1">
      <protection hidden="1"/>
    </xf>
    <xf numFmtId="167" fontId="6" fillId="0" borderId="2" xfId="4" applyNumberFormat="1" applyFont="1" applyBorder="1" applyProtection="1">
      <protection hidden="1"/>
    </xf>
    <xf numFmtId="170" fontId="6" fillId="0" borderId="2" xfId="1" applyNumberFormat="1" applyFont="1" applyBorder="1" applyProtection="1">
      <protection hidden="1"/>
    </xf>
    <xf numFmtId="0" fontId="9" fillId="0" borderId="2" xfId="8" applyFont="1" applyBorder="1" applyProtection="1">
      <protection hidden="1"/>
    </xf>
    <xf numFmtId="170" fontId="9" fillId="0" borderId="2" xfId="1" applyNumberFormat="1" applyFont="1" applyBorder="1" applyProtection="1">
      <protection hidden="1"/>
    </xf>
    <xf numFmtId="0" fontId="7" fillId="3" borderId="2" xfId="8" applyFont="1" applyFill="1" applyBorder="1" applyAlignment="1" applyProtection="1">
      <alignment horizontal="right" vertical="top"/>
      <protection hidden="1"/>
    </xf>
    <xf numFmtId="170" fontId="6" fillId="0" borderId="0" xfId="1" applyNumberFormat="1" applyFont="1" applyBorder="1" applyProtection="1">
      <protection hidden="1"/>
    </xf>
    <xf numFmtId="170" fontId="9" fillId="0" borderId="0" xfId="1" applyNumberFormat="1" applyFont="1" applyBorder="1" applyProtection="1">
      <protection hidden="1"/>
    </xf>
    <xf numFmtId="10" fontId="6" fillId="0" borderId="0" xfId="0" applyNumberFormat="1" applyFont="1" applyProtection="1">
      <protection hidden="1"/>
    </xf>
    <xf numFmtId="9" fontId="6" fillId="0" borderId="2" xfId="1" applyFont="1" applyBorder="1" applyProtection="1">
      <protection hidden="1"/>
    </xf>
    <xf numFmtId="10" fontId="0" fillId="6" borderId="2" xfId="1" applyNumberFormat="1" applyFont="1" applyFill="1" applyBorder="1" applyAlignment="1" applyProtection="1">
      <alignment vertical="center"/>
      <protection hidden="1"/>
    </xf>
    <xf numFmtId="10" fontId="0" fillId="6" borderId="3" xfId="1" applyNumberFormat="1" applyFont="1" applyFill="1" applyBorder="1" applyAlignment="1" applyProtection="1">
      <alignment vertical="center"/>
      <protection hidden="1"/>
    </xf>
    <xf numFmtId="0" fontId="0" fillId="0" borderId="0" xfId="0" applyBorder="1"/>
    <xf numFmtId="10" fontId="9" fillId="0" borderId="2" xfId="1" applyNumberFormat="1" applyFont="1" applyBorder="1" applyProtection="1">
      <protection hidden="1"/>
    </xf>
    <xf numFmtId="10" fontId="6" fillId="0" borderId="2" xfId="1" applyNumberFormat="1" applyFont="1" applyBorder="1" applyProtection="1">
      <protection hidden="1"/>
    </xf>
    <xf numFmtId="0" fontId="6" fillId="0" borderId="2" xfId="0" applyFont="1" applyFill="1" applyBorder="1" applyProtection="1">
      <protection hidden="1"/>
    </xf>
    <xf numFmtId="167" fontId="6" fillId="0" borderId="2" xfId="4" applyNumberFormat="1" applyFont="1" applyFill="1" applyBorder="1" applyProtection="1">
      <protection hidden="1"/>
    </xf>
    <xf numFmtId="0" fontId="6" fillId="4" borderId="2" xfId="0" applyFont="1" applyFill="1" applyBorder="1" applyProtection="1">
      <protection hidden="1"/>
    </xf>
    <xf numFmtId="167" fontId="6" fillId="4" borderId="2" xfId="4" applyNumberFormat="1" applyFont="1" applyFill="1" applyBorder="1" applyProtection="1">
      <protection hidden="1"/>
    </xf>
    <xf numFmtId="0" fontId="0" fillId="7" borderId="0" xfId="0" applyFill="1"/>
    <xf numFmtId="4" fontId="0" fillId="7" borderId="0" xfId="0" applyNumberFormat="1" applyFill="1" applyAlignment="1" applyProtection="1">
      <alignment vertical="center"/>
      <protection hidden="1"/>
    </xf>
    <xf numFmtId="4" fontId="0" fillId="7" borderId="0" xfId="0" applyNumberFormat="1" applyFill="1" applyBorder="1" applyAlignment="1" applyProtection="1">
      <alignment vertical="center"/>
      <protection hidden="1"/>
    </xf>
    <xf numFmtId="4" fontId="0" fillId="7" borderId="6" xfId="0" applyNumberFormat="1" applyFill="1" applyBorder="1" applyAlignment="1" applyProtection="1">
      <alignment vertical="center"/>
      <protection hidden="1"/>
    </xf>
    <xf numFmtId="4" fontId="0" fillId="7" borderId="7" xfId="0" applyNumberFormat="1" applyFill="1" applyBorder="1" applyAlignment="1" applyProtection="1">
      <alignment vertical="center"/>
      <protection hidden="1"/>
    </xf>
    <xf numFmtId="4" fontId="0" fillId="7" borderId="8" xfId="0" applyNumberFormat="1" applyFill="1" applyBorder="1" applyAlignment="1" applyProtection="1">
      <alignment vertical="center"/>
      <protection hidden="1"/>
    </xf>
    <xf numFmtId="4" fontId="0" fillId="7" borderId="11" xfId="0" applyNumberFormat="1" applyFill="1" applyBorder="1" applyAlignment="1" applyProtection="1">
      <alignment vertical="center"/>
      <protection hidden="1"/>
    </xf>
    <xf numFmtId="4" fontId="0" fillId="7" borderId="12" xfId="0" applyNumberFormat="1" applyFill="1" applyBorder="1" applyAlignment="1" applyProtection="1">
      <alignment vertical="center"/>
      <protection hidden="1"/>
    </xf>
    <xf numFmtId="4" fontId="0" fillId="7" borderId="2" xfId="0" applyNumberFormat="1" applyFill="1" applyBorder="1" applyAlignment="1" applyProtection="1">
      <alignment vertical="center"/>
      <protection hidden="1"/>
    </xf>
    <xf numFmtId="4" fontId="0" fillId="7" borderId="13" xfId="0" applyNumberFormat="1" applyFill="1" applyBorder="1" applyAlignment="1" applyProtection="1">
      <alignment vertical="center"/>
      <protection hidden="1"/>
    </xf>
    <xf numFmtId="0" fontId="0" fillId="7" borderId="11" xfId="0" applyFill="1" applyBorder="1"/>
    <xf numFmtId="0" fontId="0" fillId="7" borderId="0" xfId="0" applyFill="1" applyBorder="1"/>
    <xf numFmtId="0" fontId="0" fillId="7" borderId="12" xfId="0" applyFill="1" applyBorder="1"/>
    <xf numFmtId="4" fontId="11" fillId="7" borderId="0" xfId="0" applyNumberFormat="1" applyFont="1" applyFill="1" applyBorder="1" applyAlignment="1" applyProtection="1">
      <alignment horizontal="left" vertical="center"/>
      <protection hidden="1"/>
    </xf>
    <xf numFmtId="0" fontId="0" fillId="0" borderId="2" xfId="0" applyBorder="1" applyAlignment="1">
      <alignment vertical="center"/>
    </xf>
    <xf numFmtId="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9" fontId="0" fillId="0" borderId="2" xfId="0" applyNumberFormat="1" applyBorder="1" applyAlignment="1">
      <alignment vertical="center"/>
    </xf>
    <xf numFmtId="14" fontId="0" fillId="0" borderId="2" xfId="0" applyNumberFormat="1" applyBorder="1" applyAlignment="1">
      <alignment vertical="center"/>
    </xf>
    <xf numFmtId="167" fontId="0" fillId="0" borderId="2" xfId="4" applyNumberFormat="1" applyFont="1" applyBorder="1" applyAlignment="1">
      <alignment vertical="center"/>
    </xf>
    <xf numFmtId="4" fontId="0" fillId="0" borderId="2" xfId="0" applyNumberFormat="1" applyBorder="1" applyAlignment="1">
      <alignment vertical="center"/>
    </xf>
    <xf numFmtId="0" fontId="0" fillId="0" borderId="2" xfId="0" applyFill="1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15" fillId="0" borderId="2" xfId="0" applyFont="1" applyBorder="1" applyAlignment="1">
      <alignment vertical="center"/>
    </xf>
    <xf numFmtId="10" fontId="0" fillId="0" borderId="2" xfId="0" applyNumberFormat="1" applyBorder="1" applyAlignment="1">
      <alignment vertical="center"/>
    </xf>
    <xf numFmtId="9" fontId="0" fillId="0" borderId="2" xfId="1" applyFont="1" applyBorder="1" applyAlignment="1">
      <alignment vertical="center"/>
    </xf>
    <xf numFmtId="173" fontId="0" fillId="0" borderId="0" xfId="1" applyNumberFormat="1" applyFont="1" applyBorder="1" applyAlignment="1" applyProtection="1">
      <alignment vertical="center"/>
      <protection hidden="1"/>
    </xf>
    <xf numFmtId="170" fontId="0" fillId="6" borderId="2" xfId="1" applyNumberFormat="1" applyFont="1" applyFill="1" applyBorder="1" applyAlignment="1" applyProtection="1">
      <alignment horizontal="right" vertical="center"/>
      <protection hidden="1"/>
    </xf>
    <xf numFmtId="4" fontId="0" fillId="0" borderId="2" xfId="1" applyNumberFormat="1" applyFont="1" applyBorder="1" applyAlignment="1" applyProtection="1">
      <alignment vertical="center"/>
      <protection hidden="1"/>
    </xf>
    <xf numFmtId="170" fontId="0" fillId="0" borderId="2" xfId="0" applyNumberFormat="1" applyBorder="1" applyAlignment="1">
      <alignment vertical="center"/>
    </xf>
    <xf numFmtId="0" fontId="0" fillId="0" borderId="2" xfId="0" applyFill="1" applyBorder="1" applyAlignment="1">
      <alignment horizontal="right" vertical="center"/>
    </xf>
    <xf numFmtId="0" fontId="16" fillId="0" borderId="0" xfId="0" applyFont="1"/>
    <xf numFmtId="0" fontId="2" fillId="2" borderId="2" xfId="9" applyFont="1" applyFill="1" applyBorder="1" applyAlignment="1">
      <alignment horizontal="center" vertical="center" wrapText="1"/>
    </xf>
    <xf numFmtId="0" fontId="2" fillId="8" borderId="2" xfId="9" applyFont="1" applyFill="1" applyBorder="1" applyAlignment="1">
      <alignment horizontal="center" vertical="center"/>
    </xf>
    <xf numFmtId="0" fontId="2" fillId="8" borderId="2" xfId="9" applyFont="1" applyFill="1" applyBorder="1" applyAlignment="1">
      <alignment horizontal="center" vertical="center" wrapText="1"/>
    </xf>
    <xf numFmtId="0" fontId="2" fillId="9" borderId="2" xfId="9" applyFont="1" applyFill="1" applyBorder="1" applyAlignment="1">
      <alignment horizontal="center" vertical="center"/>
    </xf>
    <xf numFmtId="0" fontId="2" fillId="2" borderId="2" xfId="9" applyFont="1" applyFill="1" applyBorder="1" applyAlignment="1">
      <alignment horizontal="center" vertical="center"/>
    </xf>
    <xf numFmtId="1" fontId="2" fillId="9" borderId="2" xfId="9" applyNumberFormat="1" applyFont="1" applyFill="1" applyBorder="1" applyAlignment="1">
      <alignment horizontal="center" vertical="center" wrapText="1"/>
    </xf>
    <xf numFmtId="1" fontId="2" fillId="8" borderId="2" xfId="9" applyNumberFormat="1" applyFont="1" applyFill="1" applyBorder="1" applyAlignment="1">
      <alignment horizontal="center" vertical="center" wrapText="1"/>
    </xf>
    <xf numFmtId="1" fontId="2" fillId="8" borderId="2" xfId="9" applyNumberFormat="1" applyFont="1" applyFill="1" applyBorder="1" applyAlignment="1">
      <alignment horizontal="center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1" fontId="2" fillId="8" borderId="5" xfId="9" applyNumberFormat="1" applyFont="1" applyFill="1" applyBorder="1" applyAlignment="1">
      <alignment horizontal="center" vertical="center" wrapText="1"/>
    </xf>
    <xf numFmtId="0" fontId="7" fillId="3" borderId="0" xfId="8" applyFont="1" applyFill="1" applyBorder="1" applyAlignment="1" applyProtection="1">
      <alignment vertical="top"/>
      <protection hidden="1"/>
    </xf>
    <xf numFmtId="4" fontId="0" fillId="5" borderId="2" xfId="0" applyNumberFormat="1" applyFill="1" applyBorder="1" applyAlignment="1" applyProtection="1">
      <alignment horizontal="left" vertical="center"/>
      <protection locked="0"/>
    </xf>
    <xf numFmtId="4" fontId="11" fillId="0" borderId="0" xfId="0" applyNumberFormat="1" applyFont="1" applyBorder="1" applyAlignment="1" applyProtection="1">
      <alignment horizontal="left" vertical="center"/>
      <protection hidden="1"/>
    </xf>
    <xf numFmtId="4" fontId="11" fillId="0" borderId="0" xfId="0" applyNumberFormat="1" applyFont="1" applyFill="1" applyBorder="1" applyAlignment="1" applyProtection="1">
      <alignment horizontal="left" vertical="center"/>
      <protection hidden="1"/>
    </xf>
    <xf numFmtId="0" fontId="0" fillId="7" borderId="0" xfId="0" applyFill="1" applyProtection="1">
      <protection hidden="1"/>
    </xf>
    <xf numFmtId="0" fontId="0" fillId="7" borderId="11" xfId="0" applyFill="1" applyBorder="1" applyProtection="1">
      <protection hidden="1"/>
    </xf>
    <xf numFmtId="0" fontId="0" fillId="7" borderId="0" xfId="0" applyFill="1" applyBorder="1" applyProtection="1">
      <protection hidden="1"/>
    </xf>
    <xf numFmtId="14" fontId="0" fillId="7" borderId="0" xfId="0" applyNumberFormat="1" applyFill="1" applyBorder="1" applyProtection="1">
      <protection hidden="1"/>
    </xf>
    <xf numFmtId="0" fontId="0" fillId="7" borderId="12" xfId="0" applyFill="1" applyBorder="1" applyProtection="1">
      <protection hidden="1"/>
    </xf>
    <xf numFmtId="0" fontId="0" fillId="0" borderId="0" xfId="0" applyBorder="1" applyProtection="1">
      <protection hidden="1"/>
    </xf>
    <xf numFmtId="0" fontId="0" fillId="7" borderId="2" xfId="0" applyFill="1" applyBorder="1" applyProtection="1">
      <protection hidden="1"/>
    </xf>
    <xf numFmtId="0" fontId="0" fillId="7" borderId="9" xfId="0" applyFill="1" applyBorder="1" applyProtection="1">
      <protection hidden="1"/>
    </xf>
    <xf numFmtId="0" fontId="0" fillId="7" borderId="1" xfId="0" applyFill="1" applyBorder="1" applyProtection="1">
      <protection hidden="1"/>
    </xf>
    <xf numFmtId="0" fontId="0" fillId="7" borderId="10" xfId="0" applyFill="1" applyBorder="1" applyProtection="1">
      <protection hidden="1"/>
    </xf>
    <xf numFmtId="10" fontId="8" fillId="0" borderId="0" xfId="0" applyNumberFormat="1" applyFont="1" applyBorder="1" applyProtection="1">
      <protection hidden="1"/>
    </xf>
    <xf numFmtId="10" fontId="6" fillId="0" borderId="0" xfId="0" applyNumberFormat="1" applyFont="1" applyBorder="1" applyProtection="1">
      <protection hidden="1"/>
    </xf>
    <xf numFmtId="9" fontId="9" fillId="0" borderId="0" xfId="8" applyNumberFormat="1" applyFont="1" applyBorder="1" applyProtection="1">
      <protection hidden="1"/>
    </xf>
    <xf numFmtId="9" fontId="6" fillId="0" borderId="0" xfId="0" applyNumberFormat="1" applyFont="1" applyProtection="1">
      <protection hidden="1"/>
    </xf>
    <xf numFmtId="0" fontId="14" fillId="0" borderId="0" xfId="0" applyFont="1" applyAlignment="1">
      <alignment vertical="center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/>
    <xf numFmtId="174" fontId="0" fillId="0" borderId="2" xfId="5" applyNumberFormat="1" applyFont="1" applyBorder="1" applyAlignment="1" applyProtection="1">
      <alignment horizontal="center" vertical="center"/>
    </xf>
    <xf numFmtId="173" fontId="0" fillId="0" borderId="2" xfId="0" applyNumberFormat="1" applyBorder="1" applyAlignment="1">
      <alignment horizontal="center" vertical="center"/>
    </xf>
    <xf numFmtId="0" fontId="0" fillId="10" borderId="2" xfId="0" applyFill="1" applyBorder="1" applyAlignment="1">
      <alignment horizontal="left"/>
    </xf>
    <xf numFmtId="174" fontId="0" fillId="10" borderId="2" xfId="5" applyNumberFormat="1" applyFont="1" applyFill="1" applyBorder="1" applyAlignment="1" applyProtection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 applyProtection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20" xfId="0" applyBorder="1" applyAlignment="1">
      <alignment horizontal="left"/>
    </xf>
    <xf numFmtId="174" fontId="0" fillId="0" borderId="21" xfId="0" applyNumberFormat="1" applyBorder="1" applyAlignment="1">
      <alignment horizontal="center" vertical="center"/>
    </xf>
    <xf numFmtId="0" fontId="0" fillId="0" borderId="22" xfId="0" applyBorder="1" applyAlignment="1">
      <alignment horizontal="left"/>
    </xf>
    <xf numFmtId="174" fontId="0" fillId="0" borderId="23" xfId="0" applyNumberFormat="1" applyBorder="1" applyAlignment="1">
      <alignment horizontal="center" vertical="center"/>
    </xf>
    <xf numFmtId="0" fontId="0" fillId="0" borderId="24" xfId="0" applyBorder="1" applyAlignment="1">
      <alignment horizontal="left"/>
    </xf>
    <xf numFmtId="174" fontId="0" fillId="0" borderId="25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vertical="center"/>
    </xf>
    <xf numFmtId="0" fontId="20" fillId="11" borderId="27" xfId="10" applyFont="1" applyFill="1" applyBorder="1" applyAlignment="1">
      <alignment vertical="center" wrapText="1"/>
    </xf>
    <xf numFmtId="0" fontId="1" fillId="11" borderId="27" xfId="10" applyFont="1" applyFill="1" applyBorder="1" applyAlignment="1">
      <alignment vertical="center"/>
    </xf>
    <xf numFmtId="0" fontId="24" fillId="11" borderId="27" xfId="10" applyFill="1" applyBorder="1" applyAlignment="1">
      <alignment vertical="center"/>
    </xf>
    <xf numFmtId="0" fontId="20" fillId="11" borderId="28" xfId="10" applyFont="1" applyFill="1" applyBorder="1" applyAlignment="1">
      <alignment vertical="center" wrapText="1"/>
    </xf>
    <xf numFmtId="0" fontId="1" fillId="11" borderId="29" xfId="10" applyFont="1" applyFill="1" applyBorder="1" applyAlignment="1">
      <alignment vertical="center"/>
    </xf>
    <xf numFmtId="0" fontId="24" fillId="11" borderId="29" xfId="10" applyFill="1" applyBorder="1" applyAlignment="1">
      <alignment vertical="center"/>
    </xf>
    <xf numFmtId="0" fontId="1" fillId="11" borderId="26" xfId="10" applyFont="1" applyFill="1" applyBorder="1" applyAlignment="1">
      <alignment horizontal="left" vertical="center"/>
    </xf>
    <xf numFmtId="0" fontId="24" fillId="11" borderId="26" xfId="10" applyFill="1" applyBorder="1" applyAlignment="1">
      <alignment vertical="center"/>
    </xf>
    <xf numFmtId="0" fontId="20" fillId="11" borderId="29" xfId="10" applyFont="1" applyFill="1" applyBorder="1" applyAlignment="1">
      <alignment vertical="center" wrapText="1"/>
    </xf>
    <xf numFmtId="0" fontId="20" fillId="11" borderId="27" xfId="10" applyFont="1" applyFill="1" applyBorder="1" applyAlignment="1">
      <alignment vertical="center"/>
    </xf>
    <xf numFmtId="0" fontId="20" fillId="11" borderId="28" xfId="10" applyFont="1" applyFill="1" applyBorder="1" applyAlignment="1">
      <alignment vertical="center"/>
    </xf>
    <xf numFmtId="0" fontId="20" fillId="11" borderId="29" xfId="10" applyFont="1" applyFill="1" applyBorder="1" applyAlignment="1">
      <alignment vertical="center"/>
    </xf>
    <xf numFmtId="0" fontId="1" fillId="11" borderId="29" xfId="10" applyFont="1" applyFill="1" applyBorder="1" applyAlignment="1">
      <alignment horizontal="left" vertical="center"/>
    </xf>
    <xf numFmtId="0" fontId="1" fillId="11" borderId="28" xfId="10" applyFont="1" applyFill="1" applyBorder="1" applyAlignment="1">
      <alignment vertical="center"/>
    </xf>
    <xf numFmtId="0" fontId="24" fillId="11" borderId="28" xfId="10" applyFill="1" applyBorder="1" applyAlignment="1">
      <alignment vertical="center"/>
    </xf>
    <xf numFmtId="0" fontId="25" fillId="11" borderId="27" xfId="10" applyFont="1" applyFill="1" applyBorder="1" applyAlignment="1">
      <alignment vertical="center" wrapText="1"/>
    </xf>
    <xf numFmtId="0" fontId="25" fillId="11" borderId="28" xfId="10" applyFont="1" applyFill="1" applyBorder="1" applyAlignment="1">
      <alignment vertical="center" wrapText="1"/>
    </xf>
    <xf numFmtId="0" fontId="25" fillId="11" borderId="29" xfId="10" applyFont="1" applyFill="1" applyBorder="1" applyAlignment="1">
      <alignment vertical="center" wrapText="1"/>
    </xf>
    <xf numFmtId="0" fontId="25" fillId="11" borderId="27" xfId="10" applyFont="1" applyFill="1" applyBorder="1" applyAlignment="1">
      <alignment vertical="center"/>
    </xf>
    <xf numFmtId="0" fontId="25" fillId="11" borderId="28" xfId="10" applyFont="1" applyFill="1" applyBorder="1" applyAlignment="1">
      <alignment vertical="center"/>
    </xf>
    <xf numFmtId="0" fontId="25" fillId="11" borderId="29" xfId="10" applyFont="1" applyFill="1" applyBorder="1" applyAlignment="1">
      <alignment vertical="center"/>
    </xf>
    <xf numFmtId="0" fontId="1" fillId="11" borderId="27" xfId="10" applyFont="1" applyFill="1" applyBorder="1" applyAlignment="1">
      <alignment horizontal="left" vertical="center"/>
    </xf>
    <xf numFmtId="0" fontId="20" fillId="12" borderId="26" xfId="10" applyFont="1" applyFill="1" applyBorder="1" applyAlignment="1">
      <alignment horizontal="center" vertical="center" wrapText="1"/>
    </xf>
    <xf numFmtId="0" fontId="20" fillId="12" borderId="26" xfId="10" applyFont="1" applyFill="1" applyBorder="1" applyAlignment="1">
      <alignment horizontal="center" vertical="center"/>
    </xf>
    <xf numFmtId="0" fontId="0" fillId="0" borderId="0" xfId="0" pivotButton="1"/>
    <xf numFmtId="0" fontId="0" fillId="0" borderId="2" xfId="0" applyBorder="1" applyAlignment="1">
      <alignment horizontal="center"/>
    </xf>
    <xf numFmtId="0" fontId="11" fillId="7" borderId="0" xfId="0" applyFont="1" applyFill="1" applyBorder="1" applyAlignment="1">
      <alignment horizontal="center"/>
    </xf>
    <xf numFmtId="4" fontId="11" fillId="0" borderId="0" xfId="0" applyNumberFormat="1" applyFont="1" applyBorder="1" applyAlignment="1" applyProtection="1">
      <alignment horizontal="left" vertical="center"/>
      <protection hidden="1"/>
    </xf>
    <xf numFmtId="4" fontId="11" fillId="0" borderId="2" xfId="0" applyNumberFormat="1" applyFont="1" applyBorder="1" applyAlignment="1" applyProtection="1">
      <alignment horizontal="center" vertical="center"/>
      <protection hidden="1"/>
    </xf>
    <xf numFmtId="169" fontId="0" fillId="6" borderId="2" xfId="1" applyNumberFormat="1" applyFont="1" applyFill="1" applyBorder="1" applyAlignment="1" applyProtection="1">
      <alignment horizontal="left" vertical="center"/>
      <protection hidden="1"/>
    </xf>
    <xf numFmtId="4" fontId="11" fillId="0" borderId="0" xfId="0" applyNumberFormat="1" applyFont="1" applyFill="1" applyBorder="1" applyAlignment="1" applyProtection="1">
      <alignment horizontal="left" vertical="center"/>
      <protection hidden="1"/>
    </xf>
    <xf numFmtId="4" fontId="0" fillId="5" borderId="2" xfId="0" applyNumberFormat="1" applyFill="1" applyBorder="1" applyAlignment="1" applyProtection="1">
      <alignment horizontal="left" vertical="center"/>
      <protection locked="0"/>
    </xf>
    <xf numFmtId="4" fontId="0" fillId="5" borderId="5" xfId="0" applyNumberFormat="1" applyFill="1" applyBorder="1" applyAlignment="1" applyProtection="1">
      <alignment horizontal="left" vertical="center"/>
      <protection locked="0"/>
    </xf>
    <xf numFmtId="4" fontId="0" fillId="5" borderId="14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left" vertical="center"/>
      <protection locked="0"/>
    </xf>
    <xf numFmtId="9" fontId="0" fillId="6" borderId="5" xfId="1" applyFont="1" applyFill="1" applyBorder="1" applyAlignment="1" applyProtection="1">
      <alignment horizontal="center" vertical="center"/>
      <protection hidden="1"/>
    </xf>
    <xf numFmtId="9" fontId="0" fillId="6" borderId="14" xfId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Border="1" applyAlignment="1" applyProtection="1">
      <alignment horizontal="center" vertical="center"/>
      <protection hidden="1"/>
    </xf>
    <xf numFmtId="14" fontId="0" fillId="6" borderId="2" xfId="0" applyNumberFormat="1" applyFill="1" applyBorder="1" applyAlignment="1" applyProtection="1">
      <alignment horizontal="left" vertical="center"/>
      <protection hidden="1"/>
    </xf>
    <xf numFmtId="4" fontId="11" fillId="7" borderId="0" xfId="0" applyNumberFormat="1" applyFont="1" applyFill="1" applyBorder="1" applyAlignment="1" applyProtection="1">
      <alignment horizontal="center" vertical="center"/>
      <protection hidden="1"/>
    </xf>
    <xf numFmtId="4" fontId="12" fillId="7" borderId="0" xfId="0" applyNumberFormat="1" applyFont="1" applyFill="1" applyBorder="1" applyAlignment="1" applyProtection="1">
      <alignment horizontal="center" vertical="center"/>
      <protection hidden="1"/>
    </xf>
    <xf numFmtId="4" fontId="11" fillId="7" borderId="2" xfId="0" applyNumberFormat="1" applyFont="1" applyFill="1" applyBorder="1" applyAlignment="1" applyProtection="1">
      <alignment horizontal="center" vertical="center"/>
      <protection hidden="1"/>
    </xf>
    <xf numFmtId="4" fontId="0" fillId="7" borderId="19" xfId="0" applyNumberForma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169" fontId="0" fillId="6" borderId="15" xfId="1" applyNumberFormat="1" applyFont="1" applyFill="1" applyBorder="1" applyAlignment="1" applyProtection="1">
      <alignment horizontal="center" vertical="center"/>
      <protection hidden="1"/>
    </xf>
    <xf numFmtId="169" fontId="0" fillId="6" borderId="16" xfId="1" applyNumberFormat="1" applyFont="1" applyFill="1" applyBorder="1" applyAlignment="1" applyProtection="1">
      <alignment horizontal="center" vertical="center"/>
      <protection hidden="1"/>
    </xf>
    <xf numFmtId="169" fontId="0" fillId="6" borderId="17" xfId="1" applyNumberFormat="1" applyFont="1" applyFill="1" applyBorder="1" applyAlignment="1" applyProtection="1">
      <alignment horizontal="center" vertical="center"/>
      <protection hidden="1"/>
    </xf>
    <xf numFmtId="169" fontId="0" fillId="6" borderId="18" xfId="1" applyNumberFormat="1" applyFont="1" applyFill="1" applyBorder="1" applyAlignment="1" applyProtection="1">
      <alignment horizontal="center" vertical="center"/>
      <protection hidden="1"/>
    </xf>
    <xf numFmtId="171" fontId="0" fillId="6" borderId="2" xfId="4" applyNumberFormat="1" applyFont="1" applyFill="1" applyBorder="1" applyAlignment="1" applyProtection="1">
      <alignment horizontal="right" vertical="center"/>
      <protection hidden="1"/>
    </xf>
    <xf numFmtId="10" fontId="0" fillId="6" borderId="2" xfId="1" applyNumberFormat="1" applyFont="1" applyFill="1" applyBorder="1" applyAlignment="1" applyProtection="1">
      <alignment horizontal="right" vertical="center"/>
      <protection hidden="1"/>
    </xf>
    <xf numFmtId="171" fontId="0" fillId="6" borderId="2" xfId="4" applyNumberFormat="1" applyFont="1" applyFill="1" applyBorder="1" applyAlignment="1" applyProtection="1">
      <alignment vertical="center"/>
      <protection hidden="1"/>
    </xf>
    <xf numFmtId="172" fontId="0" fillId="5" borderId="5" xfId="4" applyNumberFormat="1" applyFont="1" applyFill="1" applyBorder="1" applyAlignment="1" applyProtection="1">
      <alignment horizontal="right" vertical="center"/>
      <protection locked="0"/>
    </xf>
    <xf numFmtId="172" fontId="0" fillId="5" borderId="14" xfId="4" applyNumberFormat="1" applyFont="1" applyFill="1" applyBorder="1" applyAlignment="1" applyProtection="1">
      <alignment horizontal="right" vertical="center"/>
      <protection locked="0"/>
    </xf>
    <xf numFmtId="10" fontId="0" fillId="5" borderId="5" xfId="1" applyNumberFormat="1" applyFont="1" applyFill="1" applyBorder="1" applyAlignment="1" applyProtection="1">
      <alignment horizontal="right" vertical="center"/>
      <protection locked="0"/>
    </xf>
    <xf numFmtId="10" fontId="0" fillId="5" borderId="14" xfId="1" applyNumberFormat="1" applyFont="1" applyFill="1" applyBorder="1" applyAlignment="1" applyProtection="1">
      <alignment horizontal="right" vertical="center"/>
      <protection locked="0"/>
    </xf>
    <xf numFmtId="0" fontId="21" fillId="5" borderId="2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5" borderId="5" xfId="0" applyFont="1" applyFill="1" applyBorder="1" applyAlignment="1">
      <alignment horizontal="center"/>
    </xf>
    <xf numFmtId="0" fontId="21" fillId="5" borderId="14" xfId="0" applyFont="1" applyFill="1" applyBorder="1" applyAlignment="1">
      <alignment horizont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 wrapText="1"/>
    </xf>
  </cellXfs>
  <cellStyles count="11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12" xfId="9" xr:uid="{E0F1922C-869B-4D35-AB64-29B55FA71DCF}"/>
    <cellStyle name="Normal 2" xfId="6" xr:uid="{00000000-0005-0000-0000-000006000000}"/>
    <cellStyle name="Normal 2 2" xfId="8" xr:uid="{00000000-0005-0000-0000-000008000000}"/>
    <cellStyle name="Normal 3 2 2" xfId="7" xr:uid="{00000000-0005-0000-0000-000007000000}"/>
    <cellStyle name="Normal 4" xfId="10" xr:uid="{6FAA2F83-2778-496B-A296-8505FA805C41}"/>
    <cellStyle name="Percent" xfId="1" xr:uid="{00000000-0005-0000-0000-000001000000}"/>
  </cellStyles>
  <dxfs count="18"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10</xdr:row>
          <xdr:rowOff>0</xdr:rowOff>
        </xdr:from>
        <xdr:to>
          <xdr:col>5</xdr:col>
          <xdr:colOff>9525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Crear Nathan (MunichRe)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0</xdr:rowOff>
        </xdr:from>
        <xdr:to>
          <xdr:col>4</xdr:col>
          <xdr:colOff>666750</xdr:colOff>
          <xdr:row>7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Crear CatNet (swissRe)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Template</a:t>
              </a:r>
            </a:p>
          </xdr:txBody>
        </xdr:sp>
        <xdr:clientData fPrintsWithSheet="0"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View1" id="{9890EB0B-0949-4B72-A660-22868698A37A}"/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o, Wikin" refreshedDate="44915.47833125" createdVersion="7" refreshedVersion="7" minRefreshableVersion="3" recordCount="278" xr:uid="{A86BA97F-1DF9-4BA0-86BC-E813BB8A3047}">
  <cacheSource type="worksheet">
    <worksheetSource ref="A1:C279" sheet="DATA"/>
  </cacheSource>
  <cacheFields count="3">
    <cacheField name="GROUP" numFmtId="0">
      <sharedItems count="9">
        <s v="Agriculture, Forestry and Fishing"/>
        <s v="Mining"/>
        <s v="Manufacturing"/>
        <s v="Transportation, Communications, Electric, Gas, And Sanitary Services"/>
        <s v="Wholesale Trade"/>
        <s v="Retail Trade"/>
        <s v="Finance, Insurance, And Real Estate"/>
        <s v="Services"/>
        <s v="Public Administration"/>
      </sharedItems>
    </cacheField>
    <cacheField name="PRIMARY" numFmtId="0">
      <sharedItems count="73">
        <s v="Agricultural Production - Livestock and Animal Specialties"/>
        <s v="Agricultural Services"/>
        <s v="Forestry"/>
        <s v="Fishing, Hunting and Trapping"/>
        <s v="Metal Mining"/>
        <s v="Coal Mining"/>
        <s v="Oil and Gas Extraction"/>
        <s v="Mining and Quarrying of Nonmetallic Minerals, Except Fuels"/>
        <s v="Food and Kindred Products"/>
        <s v="Tobacco Products"/>
        <s v="Textile Mill Products"/>
        <s v="Apparel, Finished Prdcts from Fabrics &amp; Similar Materials"/>
        <s v="Lumber and Wood Products, Except Furniture"/>
        <s v="Furniture and Fixtures"/>
        <s v="Paper and Allied Products"/>
        <s v="Printing, Publishing and Allied Industries"/>
        <s v="Chemicals and Allied Products"/>
        <s v="Petroleum Refining and Related Industries"/>
        <s v="Rubber and Miscellaneous Plastic Products"/>
        <s v="Leather and Leather Products"/>
        <s v="Stone, Clay, Glass, and Concrete Products"/>
        <s v="Primary Metal Industries"/>
        <s v="Fabricated Metal Prdcts, Except Machinery &amp; Transport Eqpmnt"/>
        <s v="Industrial and Commercial Machinery and Computer Equipment"/>
        <s v="Electronic, Elctrcl Eqpmnt &amp; Cmpnts, Excpt Computer Eqpmnt"/>
        <s v="Transportation Equipment"/>
        <s v="Mesr/Anlyz/Cntrl Instrmnts; Photo/Med/Opt Gds; Watchs/Clocks"/>
        <s v="Miscellaneous Manufacturing Industries"/>
        <s v="Railroad Transportation"/>
        <s v="Local, Suburban Transit &amp; Interurbn Hgwy Passenger Transport"/>
        <s v="Motor Freight Transportation"/>
        <s v="Water Transportation"/>
        <s v="Transportation by Air"/>
        <s v="Pipelines, Except Natural Gas"/>
        <s v="Transportation Services"/>
        <s v="Communications"/>
        <s v="Electric, Gas and Sanitary Services"/>
        <s v="Wholesale Trade - Durable Goods"/>
        <s v="Wholesale Trade - Nondurable Goods"/>
        <s v="Building Matrials, Hrdwr, Garden Supply &amp; Mobile Home Dealrs"/>
        <s v="General Merchandise Stores"/>
        <s v="Food Stores"/>
        <s v="Automotive Dealers and Gasoline Service Stations"/>
        <s v="Apparel and Accessory Stores"/>
        <s v="Home Furniture, Furnishings and Equipment Stores"/>
        <s v="Eating and Drinking Places"/>
        <s v="Miscellaneous Retail"/>
        <s v="Depository Institutions"/>
        <s v="Security &amp; Commodity Brokers, Dealers, Exchanges &amp; Services"/>
        <s v="Insurance Carriers"/>
        <s v="Real Estate"/>
        <s v="Holding and Other Investment Offices"/>
        <s v="Hotels, Rooming Houses, Camps, and Other Lodging Places"/>
        <s v="Personal Services"/>
        <s v="Business Services"/>
        <s v="Automotive Repair, Services and Parking"/>
        <s v="Miscellaneous Repair Services"/>
        <s v="Motion Pictures"/>
        <s v="Amusement and Recreation Services"/>
        <s v="Health Services"/>
        <s v="Legal Services"/>
        <s v="Educational Services"/>
        <s v="Social Services"/>
        <s v="Museums, Art Galleries and Botanical and Zoological Gardens"/>
        <s v="Membership Organizations"/>
        <s v="Engineering, Accounting, Research, Management &amp; Related Svcs"/>
        <s v="Executive, Legislative &amp; General Government, Except Finance"/>
        <s v="Justice, Public Order and Safety"/>
        <s v="Public Finance, Taxation and Monetary Policy"/>
        <s v="Administration of Human Resource Programs"/>
        <s v="Administration of Environmental Quality and Housing Programs"/>
        <s v="Administration of Economic Programs"/>
        <s v="National Security and International Affairs"/>
      </sharedItems>
    </cacheField>
    <cacheField name="SECONDARY" numFmtId="0">
      <sharedItems containsBlank="1" count="273">
        <s v="Poultry Hatcheries"/>
        <s v="General Farms, Primarily animals"/>
        <s v="Others"/>
        <s v="Timber Tracts"/>
        <s v="Finfish"/>
        <s v="Miscellaneous Marine Products"/>
        <s v="Natural Gas Liquids"/>
        <s v="Meat Packing Plants"/>
        <s v="Sausages and Other Prepared Meats"/>
        <s v="Poultry Slaughtering and Processing"/>
        <s v="Creamery Butter"/>
        <s v="Cheese; Natural and Processed"/>
        <s v="Dry, Condensed, Evaporated Products"/>
        <s v="Ice Cream and Frozen Desserts"/>
        <s v="Fluid Milk"/>
        <s v="Canned Specialties"/>
        <s v="Canned Fruits and Specialties"/>
        <s v="Dehydrated Fruits, Vegetables, Soups"/>
        <s v="Frozen Fruits and Vegetables, Juices"/>
        <s v="Flour and Other Grain Mill Products"/>
        <s v="Cereal Breakfast Foods"/>
        <s v="Wet Corn Milling"/>
        <s v="Dog and Cat Food"/>
        <s v="Prepared Feeds, Nec"/>
        <s v="Bread, Cake, and Related Products"/>
        <s v="Cane Sugar Refining"/>
        <s v="Beet Sugar"/>
        <s v="Candy and Other Confectionery Products"/>
        <s v="Vegetable Oil Mills, Nec"/>
        <s v="Animal and Marine Fats and Oils"/>
        <s v="Malt Beverages"/>
        <s v="Wines, Brandy, and Brandy Spirits"/>
        <s v="Distilled and Blended Liquors"/>
        <s v="Bottled and Canned Soft Drinks"/>
        <s v="Canned and Cured Fish and Seafoods"/>
        <s v="Roasted Coffee"/>
        <s v="Manufactured Ice"/>
        <s v="Macaroni and Spaghetti"/>
        <s v="Food Preparations, Nec"/>
        <s v="Broadwoven Fabric Mills, Cotton"/>
        <s v="Broadwoven Fabric Mills, Manmade"/>
        <s v="Finishing Plants, Manmade"/>
        <s v="Yarn Spinning Mills"/>
        <s v="Textile Goods, Nec"/>
        <s v="Apparel and Accessories, Nec"/>
        <s v="Household Furnishings, Nec"/>
        <s v="Automotive and Apparel Trimmings"/>
        <s v="Fabricated Textile Products, Nec"/>
        <s v="Sawmills and Planing Mills, General"/>
        <s v="Hardwood Veneer and Plywood"/>
        <s v="Structural Wood Members, Nec"/>
        <s v="Wood Containers, Nec"/>
        <s v="Mobile Homes"/>
        <s v="Wood Household Furniture"/>
        <s v="Upholstered Household Furniture"/>
        <s v="Mattresses and Bedsprings"/>
        <s v="Wood Office Furniture"/>
        <s v="Office Furniture, Except Wood"/>
        <s v="Furniture and Fixtures, Nec"/>
        <s v="Paper Mills"/>
        <s v="Paperboard Mills"/>
        <s v="Setup Paperboard Boxes"/>
        <s v="Corrugated and Solid Fiber Boxes"/>
        <s v="Bags: Uncoated Paper and Multiwall"/>
        <s v="Sanitary Paper Products"/>
        <s v="Converted Paper Products, Nec"/>
        <s v="Newspapers"/>
        <s v="Commercial Printing, Lithographic"/>
        <s v="Commercial Printing, Nec"/>
        <s v="Typesetting"/>
        <s v="Alkalies and Chlorine"/>
        <s v="Industrial Inorganic Chemicals, Nec"/>
        <s v="Synthetic Rubber"/>
        <s v="Cellulosic Manmade Fibers"/>
        <s v="Medicinals and Botanicals"/>
        <s v="Pharmaceutical Preparations"/>
        <s v="Biological Products, Except Diagnostic"/>
        <s v="Soap and Other Detergents"/>
        <s v="Perfumes, Cosmetics &amp; Toilet Preparations"/>
        <s v="Paints and Allied Products"/>
        <s v="Gum and Wood Chemicals"/>
        <s v="Industrial Organic Chemicals, Nec"/>
        <s v="Fertilizers, Mixing Only"/>
        <s v="Explosives"/>
        <s v="Chemical Preparations, Nec"/>
        <s v="Salt"/>
        <s v="Asphalt Paving Mixtures and Blocks"/>
        <s v="Tires and Inner Tubes"/>
        <s v="Fabricated Rubber Products, Nec"/>
        <s v="Plastics Products, Nec"/>
        <s v="Men's Footwear, Except athletic"/>
        <s v="Leather Goods, Nec"/>
        <s v="Glass Containers"/>
        <s v="Cement, Hydraulic"/>
        <s v="Brick and Structural Clay Tile"/>
        <s v="Ceramic Wall and Floor Tile"/>
        <s v="Clay Refractories"/>
        <s v="Pottery Products, Nec"/>
        <s v="Concrete Products, Nec"/>
        <s v="Nonmetallic Mineral Products,"/>
        <s v="Blast Furnaces and Steel Mills"/>
        <s v="Electrometallurgical Products"/>
        <s v="Steel Wire and Related Products"/>
        <s v="Steel Investment Foundries"/>
        <s v="Primary Copper"/>
        <s v="Primary Aluminum"/>
        <s v="Nonferrous Rolling and Drawing, Nec"/>
        <s v="Aluminum Foundries"/>
        <s v="Primary Metal Products"/>
        <s v="Metal Cans"/>
        <s v="Hand and Edge Tools, Nec"/>
        <s v="Metal Sanitary Ware"/>
        <s v="Fabricated Structural Metal"/>
        <s v="Metal Doors, Sash, and Trim"/>
        <s v="Sheet Metalwork"/>
        <s v="Miscellaneous Metalwork"/>
        <s v="Metal Stampings, Nec"/>
        <s v="Miscellaneous Fabricated Wire Products"/>
        <s v="Fabricated Metal Products, Nec"/>
        <s v="Mining Machinery"/>
        <s v="Rolling Mill Machinery"/>
        <s v="Pumps and Pumping Equipment"/>
        <s v="Computer Peripheral Equipment, Nec"/>
        <s v="Industrial Machinery, Nec"/>
        <s v="Power, Distribution and Specialty Transformers"/>
        <s v="Switchgear and Switchboard Apparatus"/>
        <s v="Motors and Generators"/>
        <s v="Household Refrigerators and Freezers"/>
        <s v="Household Appliances, Nec"/>
        <s v="Household Audio and Video Equipment"/>
        <s v="Communications Equipment, Nec"/>
        <s v="Semiconductors and Related Devices"/>
        <s v="Electronic Components, Nec"/>
        <s v="Primary Batteries, Dry and Wet"/>
        <s v="Electrical Equipment and Supplies, Nec"/>
        <s v="Motor Vehicles and Car Bodies"/>
        <s v="Motor Vehicle Parts and Accessories"/>
        <s v="Aircraft"/>
        <s v="Shipbuilding and Repairing"/>
        <s v="Railroad Equipment"/>
        <s v="Transportation Equipment, Nec"/>
        <s v="Surgical and Medical Instruments"/>
        <s v="Electromedical Equipment"/>
        <s v="Manufacturing Industries, Nec"/>
        <s v="Railroads, Line-haul Operating"/>
        <s v="Switching and Terminal Services"/>
        <s v="Taxicabs"/>
        <s v="Local Bus Charter Service"/>
        <s v="School Buses"/>
        <s v="Bus Terminal and Service Facilities"/>
        <s v="General Warehousing and Storage"/>
        <s v="Trucking Terminal Facilities"/>
        <s v="Water Transportation of Freight"/>
        <s v="Marine Cargo Handling"/>
        <s v="Marinas"/>
        <s v="Water Transportation Services, Nec"/>
        <s v="Airports, Flying Fields, and Airport Terminal Services"/>
        <s v="Pipelines, Nec"/>
        <s v="Travel Agencies"/>
        <s v="Freight Transportation Arrangement"/>
        <s v="Packing and Crating"/>
        <s v="Inspection and Fixed Facilities for Motor Vehicle Transportation, Tolls"/>
        <s v="Telephone Communication, Except Radio"/>
        <s v="Television Broadcasting Stations"/>
        <s v="Communication Services, Nec"/>
        <s v="Electric Services"/>
        <s v="Natural Gas Transmission"/>
        <s v="Natural Gas Distribution"/>
        <s v="Water Supply"/>
        <s v="Sewerage Systems"/>
        <s v="Sanitary Services, Nec"/>
        <s v="Irrigation Systems"/>
        <s v="Automobiles and Other Motor Vehicles"/>
        <s v="Commercial Equipment, Nec"/>
        <s v="Electronic Parts and Equipment, Nec"/>
        <s v="Industrial Supplies"/>
        <s v="Durable Goods, Nec"/>
        <s v="Drugs, Proprietaries, and Sundries"/>
        <s v="Men's and Boy's Clothing"/>
        <s v="Fish and Seafoods"/>
        <s v="Meats and Meat Products"/>
        <s v="Fresh Fruits and Vegetables"/>
        <s v="Grain and Field Beans"/>
        <s v="Nondurable Goods, Nec"/>
        <s v="Retail Nurseries and Garden Stores"/>
        <s v="Department Stores"/>
        <s v="Miscellaneous General Merchandise"/>
        <s v="Grocery Stores"/>
        <s v="Miscellaneous Food Stores"/>
        <s v="New and Used Car Dealers"/>
        <s v="Gasoline Service Stations"/>
        <s v="Automotive Dealers, Nec"/>
        <s v="Miscellaneous Apparel and Accessories"/>
        <s v="Household Appliance Stores"/>
        <s v="Radio, Television, and Electronic Stores"/>
        <s v="Musical Instrument Stores"/>
        <s v="Eating Places"/>
        <s v="Drinking Places"/>
        <s v="Drug Stores and Proprietary Stores"/>
        <s v="Liquor Stores"/>
        <s v="Book Stores"/>
        <s v="Jewelry Stores"/>
        <s v="Liquefied Petroleum Gas Dealers"/>
        <s v="Tobacco Stores and Stands"/>
        <s v="Optical Goods Stores"/>
        <s v="Miscellaneous Retail Stores, Nec"/>
        <s v="Commercial Banks, Nec"/>
        <s v="Federal Credit Unions"/>
        <s v="Nonresidential Building Operators"/>
        <s v="Commercial and Industrial building operators"/>
        <s v="Shopping Center operation"/>
        <s v="Apartment Building Operators"/>
        <s v="Dwelling Operators, Except Apartments"/>
        <s v="Cemetery Subdividers and Developers"/>
        <s v="Investors, Nec"/>
        <s v="Hotels and Motels"/>
        <s v="Motels"/>
        <s v="Hotels"/>
        <s v="Casino Hotel"/>
        <s v="Resorts"/>
        <s v="Seasonal Hotel"/>
        <s v="Laundry and Garment Services, Nec"/>
        <s v="Beauty Shops"/>
        <s v="Barber Shops"/>
        <s v="Funeral Service and Crematories"/>
        <s v="Miscellaneous Personal Services"/>
        <s v="Advertising, Nec"/>
        <s v="Commercial Art and Graphic Design"/>
        <s v="Employment Agencies"/>
        <s v="Computer Facilities Management"/>
        <s v="Business Services, Nec"/>
        <s v="Automobile Parking"/>
        <s v="Automotive Services, Nec"/>
        <s v="Repair Services, Nec"/>
        <s v="Motion Picture Theaters, Except Drive-in"/>
        <s v="Dance Studios, Schools, and Halls"/>
        <s v="Theatrical Producers and Services"/>
        <s v="Entertainers and Entertainment Groups"/>
        <s v="Bowling Centers"/>
        <s v="Sports Clubs, Managers, and Promoters"/>
        <s v="Physical Fitness Facilities"/>
        <s v="Public Golf Courses"/>
        <s v="Amusement Parks"/>
        <s v="Membership Sports and Recreation Clubs"/>
        <s v="Amusement and Recreation, Nec"/>
        <s v="Offices and Clinics of Medical Doctors"/>
        <s v="Nursing and Personal Care, Nec"/>
        <s v="General Medical and Surgical Hospitals"/>
        <s v="Medical Laboratories"/>
        <s v="Dental Laboratories"/>
        <s v="Health and Allied Services, Nec"/>
        <s v="Legal Services"/>
        <s v="Colleges and Universities"/>
        <s v="Libraries"/>
        <s v="Schools and Educational Services"/>
        <s v="Child Day Care Services"/>
        <s v="Social Services, Nec"/>
        <s v="Museums and Art Galleries"/>
        <s v="Religious Organizations"/>
        <s v="Noncommercial Research Organizations"/>
        <s v="Public Relations Services"/>
        <s v="Business Consulting, Nec"/>
        <s v="General Government, Nec"/>
        <s v="Correctional Institutions"/>
        <s v="Fire Protection"/>
        <s v="Public Order and Safety, Nec"/>
        <s v="Finance, Taxation, and Monetary Policy"/>
        <s v="Administration of Veterans' Affairs"/>
        <s v="Housing Programs"/>
        <s v="Space Research and Technology"/>
        <s v="National Security"/>
        <s v="International Affairs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8">
  <r>
    <x v="0"/>
    <x v="0"/>
    <x v="0"/>
  </r>
  <r>
    <x v="0"/>
    <x v="0"/>
    <x v="1"/>
  </r>
  <r>
    <x v="0"/>
    <x v="1"/>
    <x v="2"/>
  </r>
  <r>
    <x v="0"/>
    <x v="2"/>
    <x v="3"/>
  </r>
  <r>
    <x v="0"/>
    <x v="3"/>
    <x v="4"/>
  </r>
  <r>
    <x v="0"/>
    <x v="3"/>
    <x v="5"/>
  </r>
  <r>
    <x v="1"/>
    <x v="4"/>
    <x v="2"/>
  </r>
  <r>
    <x v="1"/>
    <x v="5"/>
    <x v="2"/>
  </r>
  <r>
    <x v="1"/>
    <x v="6"/>
    <x v="6"/>
  </r>
  <r>
    <x v="1"/>
    <x v="7"/>
    <x v="2"/>
  </r>
  <r>
    <x v="2"/>
    <x v="8"/>
    <x v="7"/>
  </r>
  <r>
    <x v="2"/>
    <x v="8"/>
    <x v="8"/>
  </r>
  <r>
    <x v="2"/>
    <x v="8"/>
    <x v="9"/>
  </r>
  <r>
    <x v="2"/>
    <x v="8"/>
    <x v="10"/>
  </r>
  <r>
    <x v="2"/>
    <x v="8"/>
    <x v="11"/>
  </r>
  <r>
    <x v="2"/>
    <x v="8"/>
    <x v="12"/>
  </r>
  <r>
    <x v="2"/>
    <x v="8"/>
    <x v="13"/>
  </r>
  <r>
    <x v="2"/>
    <x v="8"/>
    <x v="14"/>
  </r>
  <r>
    <x v="2"/>
    <x v="8"/>
    <x v="15"/>
  </r>
  <r>
    <x v="2"/>
    <x v="8"/>
    <x v="16"/>
  </r>
  <r>
    <x v="2"/>
    <x v="8"/>
    <x v="17"/>
  </r>
  <r>
    <x v="2"/>
    <x v="8"/>
    <x v="18"/>
  </r>
  <r>
    <x v="2"/>
    <x v="8"/>
    <x v="19"/>
  </r>
  <r>
    <x v="2"/>
    <x v="8"/>
    <x v="20"/>
  </r>
  <r>
    <x v="2"/>
    <x v="8"/>
    <x v="21"/>
  </r>
  <r>
    <x v="2"/>
    <x v="8"/>
    <x v="22"/>
  </r>
  <r>
    <x v="2"/>
    <x v="8"/>
    <x v="23"/>
  </r>
  <r>
    <x v="2"/>
    <x v="8"/>
    <x v="24"/>
  </r>
  <r>
    <x v="2"/>
    <x v="8"/>
    <x v="25"/>
  </r>
  <r>
    <x v="2"/>
    <x v="8"/>
    <x v="26"/>
  </r>
  <r>
    <x v="2"/>
    <x v="8"/>
    <x v="27"/>
  </r>
  <r>
    <x v="2"/>
    <x v="8"/>
    <x v="28"/>
  </r>
  <r>
    <x v="2"/>
    <x v="8"/>
    <x v="29"/>
  </r>
  <r>
    <x v="2"/>
    <x v="8"/>
    <x v="30"/>
  </r>
  <r>
    <x v="2"/>
    <x v="8"/>
    <x v="31"/>
  </r>
  <r>
    <x v="2"/>
    <x v="8"/>
    <x v="32"/>
  </r>
  <r>
    <x v="2"/>
    <x v="8"/>
    <x v="33"/>
  </r>
  <r>
    <x v="2"/>
    <x v="8"/>
    <x v="34"/>
  </r>
  <r>
    <x v="2"/>
    <x v="8"/>
    <x v="35"/>
  </r>
  <r>
    <x v="2"/>
    <x v="8"/>
    <x v="36"/>
  </r>
  <r>
    <x v="2"/>
    <x v="8"/>
    <x v="37"/>
  </r>
  <r>
    <x v="2"/>
    <x v="8"/>
    <x v="38"/>
  </r>
  <r>
    <x v="2"/>
    <x v="9"/>
    <x v="2"/>
  </r>
  <r>
    <x v="2"/>
    <x v="10"/>
    <x v="39"/>
  </r>
  <r>
    <x v="2"/>
    <x v="10"/>
    <x v="40"/>
  </r>
  <r>
    <x v="2"/>
    <x v="10"/>
    <x v="41"/>
  </r>
  <r>
    <x v="2"/>
    <x v="10"/>
    <x v="42"/>
  </r>
  <r>
    <x v="2"/>
    <x v="10"/>
    <x v="43"/>
  </r>
  <r>
    <x v="2"/>
    <x v="11"/>
    <x v="44"/>
  </r>
  <r>
    <x v="2"/>
    <x v="11"/>
    <x v="45"/>
  </r>
  <r>
    <x v="2"/>
    <x v="11"/>
    <x v="46"/>
  </r>
  <r>
    <x v="2"/>
    <x v="11"/>
    <x v="47"/>
  </r>
  <r>
    <x v="2"/>
    <x v="12"/>
    <x v="48"/>
  </r>
  <r>
    <x v="2"/>
    <x v="12"/>
    <x v="49"/>
  </r>
  <r>
    <x v="2"/>
    <x v="12"/>
    <x v="50"/>
  </r>
  <r>
    <x v="2"/>
    <x v="12"/>
    <x v="51"/>
  </r>
  <r>
    <x v="2"/>
    <x v="12"/>
    <x v="52"/>
  </r>
  <r>
    <x v="2"/>
    <x v="13"/>
    <x v="53"/>
  </r>
  <r>
    <x v="2"/>
    <x v="13"/>
    <x v="54"/>
  </r>
  <r>
    <x v="2"/>
    <x v="13"/>
    <x v="55"/>
  </r>
  <r>
    <x v="2"/>
    <x v="13"/>
    <x v="56"/>
  </r>
  <r>
    <x v="2"/>
    <x v="13"/>
    <x v="57"/>
  </r>
  <r>
    <x v="2"/>
    <x v="13"/>
    <x v="58"/>
  </r>
  <r>
    <x v="2"/>
    <x v="14"/>
    <x v="59"/>
  </r>
  <r>
    <x v="2"/>
    <x v="14"/>
    <x v="60"/>
  </r>
  <r>
    <x v="2"/>
    <x v="14"/>
    <x v="61"/>
  </r>
  <r>
    <x v="2"/>
    <x v="14"/>
    <x v="62"/>
  </r>
  <r>
    <x v="2"/>
    <x v="14"/>
    <x v="63"/>
  </r>
  <r>
    <x v="2"/>
    <x v="14"/>
    <x v="64"/>
  </r>
  <r>
    <x v="2"/>
    <x v="14"/>
    <x v="65"/>
  </r>
  <r>
    <x v="2"/>
    <x v="15"/>
    <x v="66"/>
  </r>
  <r>
    <x v="2"/>
    <x v="15"/>
    <x v="67"/>
  </r>
  <r>
    <x v="2"/>
    <x v="15"/>
    <x v="68"/>
  </r>
  <r>
    <x v="2"/>
    <x v="15"/>
    <x v="69"/>
  </r>
  <r>
    <x v="2"/>
    <x v="16"/>
    <x v="70"/>
  </r>
  <r>
    <x v="2"/>
    <x v="16"/>
    <x v="71"/>
  </r>
  <r>
    <x v="2"/>
    <x v="16"/>
    <x v="72"/>
  </r>
  <r>
    <x v="2"/>
    <x v="16"/>
    <x v="73"/>
  </r>
  <r>
    <x v="2"/>
    <x v="16"/>
    <x v="74"/>
  </r>
  <r>
    <x v="2"/>
    <x v="16"/>
    <x v="75"/>
  </r>
  <r>
    <x v="2"/>
    <x v="16"/>
    <x v="76"/>
  </r>
  <r>
    <x v="2"/>
    <x v="16"/>
    <x v="77"/>
  </r>
  <r>
    <x v="2"/>
    <x v="16"/>
    <x v="78"/>
  </r>
  <r>
    <x v="2"/>
    <x v="16"/>
    <x v="79"/>
  </r>
  <r>
    <x v="2"/>
    <x v="16"/>
    <x v="80"/>
  </r>
  <r>
    <x v="2"/>
    <x v="16"/>
    <x v="81"/>
  </r>
  <r>
    <x v="2"/>
    <x v="16"/>
    <x v="82"/>
  </r>
  <r>
    <x v="2"/>
    <x v="16"/>
    <x v="83"/>
  </r>
  <r>
    <x v="2"/>
    <x v="16"/>
    <x v="84"/>
  </r>
  <r>
    <x v="2"/>
    <x v="16"/>
    <x v="85"/>
  </r>
  <r>
    <x v="2"/>
    <x v="17"/>
    <x v="86"/>
  </r>
  <r>
    <x v="2"/>
    <x v="18"/>
    <x v="87"/>
  </r>
  <r>
    <x v="2"/>
    <x v="18"/>
    <x v="88"/>
  </r>
  <r>
    <x v="2"/>
    <x v="18"/>
    <x v="89"/>
  </r>
  <r>
    <x v="2"/>
    <x v="19"/>
    <x v="90"/>
  </r>
  <r>
    <x v="2"/>
    <x v="19"/>
    <x v="91"/>
  </r>
  <r>
    <x v="2"/>
    <x v="20"/>
    <x v="92"/>
  </r>
  <r>
    <x v="2"/>
    <x v="20"/>
    <x v="93"/>
  </r>
  <r>
    <x v="2"/>
    <x v="20"/>
    <x v="94"/>
  </r>
  <r>
    <x v="2"/>
    <x v="20"/>
    <x v="95"/>
  </r>
  <r>
    <x v="2"/>
    <x v="20"/>
    <x v="96"/>
  </r>
  <r>
    <x v="2"/>
    <x v="20"/>
    <x v="97"/>
  </r>
  <r>
    <x v="2"/>
    <x v="20"/>
    <x v="98"/>
  </r>
  <r>
    <x v="2"/>
    <x v="20"/>
    <x v="99"/>
  </r>
  <r>
    <x v="2"/>
    <x v="21"/>
    <x v="100"/>
  </r>
  <r>
    <x v="2"/>
    <x v="21"/>
    <x v="101"/>
  </r>
  <r>
    <x v="2"/>
    <x v="21"/>
    <x v="102"/>
  </r>
  <r>
    <x v="2"/>
    <x v="21"/>
    <x v="103"/>
  </r>
  <r>
    <x v="2"/>
    <x v="21"/>
    <x v="104"/>
  </r>
  <r>
    <x v="2"/>
    <x v="21"/>
    <x v="105"/>
  </r>
  <r>
    <x v="2"/>
    <x v="21"/>
    <x v="106"/>
  </r>
  <r>
    <x v="2"/>
    <x v="21"/>
    <x v="107"/>
  </r>
  <r>
    <x v="2"/>
    <x v="21"/>
    <x v="108"/>
  </r>
  <r>
    <x v="2"/>
    <x v="22"/>
    <x v="109"/>
  </r>
  <r>
    <x v="2"/>
    <x v="22"/>
    <x v="110"/>
  </r>
  <r>
    <x v="2"/>
    <x v="22"/>
    <x v="111"/>
  </r>
  <r>
    <x v="2"/>
    <x v="22"/>
    <x v="112"/>
  </r>
  <r>
    <x v="2"/>
    <x v="22"/>
    <x v="113"/>
  </r>
  <r>
    <x v="2"/>
    <x v="22"/>
    <x v="114"/>
  </r>
  <r>
    <x v="2"/>
    <x v="22"/>
    <x v="115"/>
  </r>
  <r>
    <x v="2"/>
    <x v="22"/>
    <x v="116"/>
  </r>
  <r>
    <x v="2"/>
    <x v="22"/>
    <x v="117"/>
  </r>
  <r>
    <x v="2"/>
    <x v="22"/>
    <x v="118"/>
  </r>
  <r>
    <x v="2"/>
    <x v="23"/>
    <x v="119"/>
  </r>
  <r>
    <x v="2"/>
    <x v="23"/>
    <x v="120"/>
  </r>
  <r>
    <x v="2"/>
    <x v="23"/>
    <x v="121"/>
  </r>
  <r>
    <x v="2"/>
    <x v="23"/>
    <x v="122"/>
  </r>
  <r>
    <x v="2"/>
    <x v="23"/>
    <x v="123"/>
  </r>
  <r>
    <x v="2"/>
    <x v="24"/>
    <x v="124"/>
  </r>
  <r>
    <x v="2"/>
    <x v="24"/>
    <x v="125"/>
  </r>
  <r>
    <x v="2"/>
    <x v="24"/>
    <x v="126"/>
  </r>
  <r>
    <x v="2"/>
    <x v="24"/>
    <x v="127"/>
  </r>
  <r>
    <x v="2"/>
    <x v="24"/>
    <x v="128"/>
  </r>
  <r>
    <x v="2"/>
    <x v="24"/>
    <x v="129"/>
  </r>
  <r>
    <x v="2"/>
    <x v="24"/>
    <x v="130"/>
  </r>
  <r>
    <x v="2"/>
    <x v="24"/>
    <x v="131"/>
  </r>
  <r>
    <x v="2"/>
    <x v="24"/>
    <x v="132"/>
  </r>
  <r>
    <x v="2"/>
    <x v="24"/>
    <x v="133"/>
  </r>
  <r>
    <x v="2"/>
    <x v="24"/>
    <x v="134"/>
  </r>
  <r>
    <x v="2"/>
    <x v="25"/>
    <x v="135"/>
  </r>
  <r>
    <x v="2"/>
    <x v="25"/>
    <x v="136"/>
  </r>
  <r>
    <x v="2"/>
    <x v="25"/>
    <x v="137"/>
  </r>
  <r>
    <x v="2"/>
    <x v="25"/>
    <x v="138"/>
  </r>
  <r>
    <x v="2"/>
    <x v="25"/>
    <x v="139"/>
  </r>
  <r>
    <x v="2"/>
    <x v="25"/>
    <x v="140"/>
  </r>
  <r>
    <x v="2"/>
    <x v="26"/>
    <x v="141"/>
  </r>
  <r>
    <x v="2"/>
    <x v="26"/>
    <x v="142"/>
  </r>
  <r>
    <x v="2"/>
    <x v="27"/>
    <x v="143"/>
  </r>
  <r>
    <x v="3"/>
    <x v="28"/>
    <x v="144"/>
  </r>
  <r>
    <x v="3"/>
    <x v="28"/>
    <x v="145"/>
  </r>
  <r>
    <x v="3"/>
    <x v="29"/>
    <x v="146"/>
  </r>
  <r>
    <x v="3"/>
    <x v="29"/>
    <x v="147"/>
  </r>
  <r>
    <x v="3"/>
    <x v="29"/>
    <x v="148"/>
  </r>
  <r>
    <x v="3"/>
    <x v="29"/>
    <x v="149"/>
  </r>
  <r>
    <x v="3"/>
    <x v="30"/>
    <x v="150"/>
  </r>
  <r>
    <x v="3"/>
    <x v="30"/>
    <x v="151"/>
  </r>
  <r>
    <x v="3"/>
    <x v="31"/>
    <x v="152"/>
  </r>
  <r>
    <x v="3"/>
    <x v="31"/>
    <x v="153"/>
  </r>
  <r>
    <x v="3"/>
    <x v="31"/>
    <x v="154"/>
  </r>
  <r>
    <x v="3"/>
    <x v="31"/>
    <x v="155"/>
  </r>
  <r>
    <x v="3"/>
    <x v="32"/>
    <x v="156"/>
  </r>
  <r>
    <x v="3"/>
    <x v="33"/>
    <x v="157"/>
  </r>
  <r>
    <x v="3"/>
    <x v="34"/>
    <x v="158"/>
  </r>
  <r>
    <x v="3"/>
    <x v="34"/>
    <x v="159"/>
  </r>
  <r>
    <x v="3"/>
    <x v="34"/>
    <x v="160"/>
  </r>
  <r>
    <x v="3"/>
    <x v="34"/>
    <x v="161"/>
  </r>
  <r>
    <x v="3"/>
    <x v="35"/>
    <x v="162"/>
  </r>
  <r>
    <x v="3"/>
    <x v="35"/>
    <x v="163"/>
  </r>
  <r>
    <x v="3"/>
    <x v="35"/>
    <x v="164"/>
  </r>
  <r>
    <x v="3"/>
    <x v="36"/>
    <x v="165"/>
  </r>
  <r>
    <x v="3"/>
    <x v="36"/>
    <x v="166"/>
  </r>
  <r>
    <x v="3"/>
    <x v="36"/>
    <x v="167"/>
  </r>
  <r>
    <x v="3"/>
    <x v="36"/>
    <x v="168"/>
  </r>
  <r>
    <x v="3"/>
    <x v="36"/>
    <x v="169"/>
  </r>
  <r>
    <x v="3"/>
    <x v="36"/>
    <x v="170"/>
  </r>
  <r>
    <x v="3"/>
    <x v="36"/>
    <x v="171"/>
  </r>
  <r>
    <x v="4"/>
    <x v="37"/>
    <x v="172"/>
  </r>
  <r>
    <x v="4"/>
    <x v="37"/>
    <x v="173"/>
  </r>
  <r>
    <x v="4"/>
    <x v="37"/>
    <x v="174"/>
  </r>
  <r>
    <x v="4"/>
    <x v="37"/>
    <x v="175"/>
  </r>
  <r>
    <x v="4"/>
    <x v="37"/>
    <x v="176"/>
  </r>
  <r>
    <x v="4"/>
    <x v="38"/>
    <x v="177"/>
  </r>
  <r>
    <x v="4"/>
    <x v="38"/>
    <x v="178"/>
  </r>
  <r>
    <x v="4"/>
    <x v="38"/>
    <x v="179"/>
  </r>
  <r>
    <x v="4"/>
    <x v="38"/>
    <x v="180"/>
  </r>
  <r>
    <x v="4"/>
    <x v="38"/>
    <x v="181"/>
  </r>
  <r>
    <x v="4"/>
    <x v="38"/>
    <x v="182"/>
  </r>
  <r>
    <x v="4"/>
    <x v="38"/>
    <x v="183"/>
  </r>
  <r>
    <x v="5"/>
    <x v="39"/>
    <x v="184"/>
  </r>
  <r>
    <x v="5"/>
    <x v="40"/>
    <x v="185"/>
  </r>
  <r>
    <x v="5"/>
    <x v="40"/>
    <x v="186"/>
  </r>
  <r>
    <x v="5"/>
    <x v="41"/>
    <x v="187"/>
  </r>
  <r>
    <x v="5"/>
    <x v="41"/>
    <x v="188"/>
  </r>
  <r>
    <x v="5"/>
    <x v="42"/>
    <x v="189"/>
  </r>
  <r>
    <x v="5"/>
    <x v="42"/>
    <x v="190"/>
  </r>
  <r>
    <x v="5"/>
    <x v="42"/>
    <x v="191"/>
  </r>
  <r>
    <x v="5"/>
    <x v="43"/>
    <x v="192"/>
  </r>
  <r>
    <x v="5"/>
    <x v="44"/>
    <x v="193"/>
  </r>
  <r>
    <x v="5"/>
    <x v="44"/>
    <x v="194"/>
  </r>
  <r>
    <x v="5"/>
    <x v="44"/>
    <x v="195"/>
  </r>
  <r>
    <x v="5"/>
    <x v="45"/>
    <x v="196"/>
  </r>
  <r>
    <x v="5"/>
    <x v="45"/>
    <x v="197"/>
  </r>
  <r>
    <x v="5"/>
    <x v="46"/>
    <x v="198"/>
  </r>
  <r>
    <x v="5"/>
    <x v="46"/>
    <x v="199"/>
  </r>
  <r>
    <x v="5"/>
    <x v="46"/>
    <x v="200"/>
  </r>
  <r>
    <x v="5"/>
    <x v="46"/>
    <x v="201"/>
  </r>
  <r>
    <x v="5"/>
    <x v="46"/>
    <x v="202"/>
  </r>
  <r>
    <x v="5"/>
    <x v="46"/>
    <x v="203"/>
  </r>
  <r>
    <x v="5"/>
    <x v="46"/>
    <x v="204"/>
  </r>
  <r>
    <x v="5"/>
    <x v="46"/>
    <x v="205"/>
  </r>
  <r>
    <x v="6"/>
    <x v="47"/>
    <x v="206"/>
  </r>
  <r>
    <x v="6"/>
    <x v="47"/>
    <x v="207"/>
  </r>
  <r>
    <x v="6"/>
    <x v="48"/>
    <x v="2"/>
  </r>
  <r>
    <x v="6"/>
    <x v="49"/>
    <x v="2"/>
  </r>
  <r>
    <x v="6"/>
    <x v="50"/>
    <x v="208"/>
  </r>
  <r>
    <x v="6"/>
    <x v="50"/>
    <x v="209"/>
  </r>
  <r>
    <x v="6"/>
    <x v="50"/>
    <x v="210"/>
  </r>
  <r>
    <x v="6"/>
    <x v="50"/>
    <x v="211"/>
  </r>
  <r>
    <x v="6"/>
    <x v="50"/>
    <x v="212"/>
  </r>
  <r>
    <x v="6"/>
    <x v="50"/>
    <x v="213"/>
  </r>
  <r>
    <x v="6"/>
    <x v="51"/>
    <x v="214"/>
  </r>
  <r>
    <x v="7"/>
    <x v="52"/>
    <x v="215"/>
  </r>
  <r>
    <x v="7"/>
    <x v="52"/>
    <x v="216"/>
  </r>
  <r>
    <x v="7"/>
    <x v="52"/>
    <x v="217"/>
  </r>
  <r>
    <x v="7"/>
    <x v="52"/>
    <x v="218"/>
  </r>
  <r>
    <x v="7"/>
    <x v="52"/>
    <x v="219"/>
  </r>
  <r>
    <x v="7"/>
    <x v="52"/>
    <x v="220"/>
  </r>
  <r>
    <x v="7"/>
    <x v="53"/>
    <x v="221"/>
  </r>
  <r>
    <x v="7"/>
    <x v="53"/>
    <x v="222"/>
  </r>
  <r>
    <x v="7"/>
    <x v="53"/>
    <x v="223"/>
  </r>
  <r>
    <x v="7"/>
    <x v="53"/>
    <x v="224"/>
  </r>
  <r>
    <x v="7"/>
    <x v="53"/>
    <x v="225"/>
  </r>
  <r>
    <x v="7"/>
    <x v="54"/>
    <x v="226"/>
  </r>
  <r>
    <x v="7"/>
    <x v="54"/>
    <x v="227"/>
  </r>
  <r>
    <x v="7"/>
    <x v="54"/>
    <x v="228"/>
  </r>
  <r>
    <x v="7"/>
    <x v="54"/>
    <x v="229"/>
  </r>
  <r>
    <x v="7"/>
    <x v="54"/>
    <x v="230"/>
  </r>
  <r>
    <x v="7"/>
    <x v="55"/>
    <x v="231"/>
  </r>
  <r>
    <x v="7"/>
    <x v="55"/>
    <x v="232"/>
  </r>
  <r>
    <x v="7"/>
    <x v="56"/>
    <x v="233"/>
  </r>
  <r>
    <x v="7"/>
    <x v="57"/>
    <x v="234"/>
  </r>
  <r>
    <x v="7"/>
    <x v="58"/>
    <x v="235"/>
  </r>
  <r>
    <x v="7"/>
    <x v="58"/>
    <x v="236"/>
  </r>
  <r>
    <x v="7"/>
    <x v="58"/>
    <x v="237"/>
  </r>
  <r>
    <x v="7"/>
    <x v="58"/>
    <x v="238"/>
  </r>
  <r>
    <x v="7"/>
    <x v="58"/>
    <x v="239"/>
  </r>
  <r>
    <x v="7"/>
    <x v="58"/>
    <x v="240"/>
  </r>
  <r>
    <x v="7"/>
    <x v="58"/>
    <x v="241"/>
  </r>
  <r>
    <x v="7"/>
    <x v="58"/>
    <x v="242"/>
  </r>
  <r>
    <x v="7"/>
    <x v="58"/>
    <x v="243"/>
  </r>
  <r>
    <x v="7"/>
    <x v="58"/>
    <x v="244"/>
  </r>
  <r>
    <x v="7"/>
    <x v="59"/>
    <x v="245"/>
  </r>
  <r>
    <x v="7"/>
    <x v="59"/>
    <x v="246"/>
  </r>
  <r>
    <x v="7"/>
    <x v="59"/>
    <x v="247"/>
  </r>
  <r>
    <x v="7"/>
    <x v="59"/>
    <x v="248"/>
  </r>
  <r>
    <x v="7"/>
    <x v="59"/>
    <x v="249"/>
  </r>
  <r>
    <x v="7"/>
    <x v="59"/>
    <x v="250"/>
  </r>
  <r>
    <x v="7"/>
    <x v="60"/>
    <x v="251"/>
  </r>
  <r>
    <x v="7"/>
    <x v="61"/>
    <x v="252"/>
  </r>
  <r>
    <x v="7"/>
    <x v="61"/>
    <x v="253"/>
  </r>
  <r>
    <x v="7"/>
    <x v="61"/>
    <x v="254"/>
  </r>
  <r>
    <x v="7"/>
    <x v="62"/>
    <x v="255"/>
  </r>
  <r>
    <x v="7"/>
    <x v="62"/>
    <x v="256"/>
  </r>
  <r>
    <x v="7"/>
    <x v="63"/>
    <x v="257"/>
  </r>
  <r>
    <x v="7"/>
    <x v="64"/>
    <x v="258"/>
  </r>
  <r>
    <x v="7"/>
    <x v="65"/>
    <x v="259"/>
  </r>
  <r>
    <x v="7"/>
    <x v="65"/>
    <x v="260"/>
  </r>
  <r>
    <x v="7"/>
    <x v="65"/>
    <x v="261"/>
  </r>
  <r>
    <x v="8"/>
    <x v="66"/>
    <x v="262"/>
  </r>
  <r>
    <x v="8"/>
    <x v="67"/>
    <x v="263"/>
  </r>
  <r>
    <x v="8"/>
    <x v="67"/>
    <x v="264"/>
  </r>
  <r>
    <x v="8"/>
    <x v="67"/>
    <x v="265"/>
  </r>
  <r>
    <x v="8"/>
    <x v="68"/>
    <x v="266"/>
  </r>
  <r>
    <x v="8"/>
    <x v="69"/>
    <x v="267"/>
  </r>
  <r>
    <x v="8"/>
    <x v="70"/>
    <x v="268"/>
  </r>
  <r>
    <x v="8"/>
    <x v="71"/>
    <x v="269"/>
  </r>
  <r>
    <x v="8"/>
    <x v="72"/>
    <x v="270"/>
  </r>
  <r>
    <x v="8"/>
    <x v="72"/>
    <x v="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F00C0B-DE20-40C9-BCE8-9CEFFD04E290}" name="PivotTable1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E1:G2" firstHeaderRow="1" firstDataRow="1" firstDataCol="3"/>
  <pivotFields count="3">
    <pivotField axis="axisRow" compact="0" outline="0" showAll="0" defaultSubtotal="0">
      <items count="9">
        <item x="0"/>
        <item x="6"/>
        <item x="2"/>
        <item x="1"/>
        <item x="8"/>
        <item x="5"/>
        <item x="7"/>
        <item x="3"/>
        <item x="4"/>
      </items>
    </pivotField>
    <pivotField axis="axisRow" compact="0" outline="0" showAll="0" defaultSubtotal="0">
      <items count="73">
        <item x="71"/>
        <item x="70"/>
        <item x="69"/>
        <item x="0"/>
        <item x="1"/>
        <item x="58"/>
        <item x="43"/>
        <item x="11"/>
        <item x="42"/>
        <item x="55"/>
        <item x="39"/>
        <item x="54"/>
        <item x="16"/>
        <item x="5"/>
        <item x="35"/>
        <item x="47"/>
        <item x="45"/>
        <item x="61"/>
        <item x="36"/>
        <item x="24"/>
        <item x="65"/>
        <item x="66"/>
        <item x="22"/>
        <item x="3"/>
        <item x="8"/>
        <item x="41"/>
        <item x="2"/>
        <item x="13"/>
        <item x="40"/>
        <item x="59"/>
        <item x="51"/>
        <item x="44"/>
        <item x="52"/>
        <item x="23"/>
        <item x="49"/>
        <item x="67"/>
        <item x="19"/>
        <item x="60"/>
        <item x="29"/>
        <item x="12"/>
        <item x="64"/>
        <item x="26"/>
        <item x="4"/>
        <item x="7"/>
        <item x="27"/>
        <item x="56"/>
        <item x="46"/>
        <item x="57"/>
        <item x="30"/>
        <item x="63"/>
        <item x="72"/>
        <item x="6"/>
        <item x="14"/>
        <item x="53"/>
        <item x="17"/>
        <item x="33"/>
        <item x="21"/>
        <item x="15"/>
        <item x="68"/>
        <item x="28"/>
        <item x="50"/>
        <item x="18"/>
        <item x="48"/>
        <item x="62"/>
        <item x="20"/>
        <item x="10"/>
        <item x="9"/>
        <item x="32"/>
        <item x="25"/>
        <item x="34"/>
        <item x="31"/>
        <item x="37"/>
        <item x="38"/>
      </items>
    </pivotField>
    <pivotField axis="axisRow" compact="0" outline="0" showAll="0" defaultSubtotal="0">
      <items count="273">
        <item x="267"/>
        <item x="226"/>
        <item x="137"/>
        <item x="156"/>
        <item x="70"/>
        <item x="107"/>
        <item x="244"/>
        <item x="242"/>
        <item x="29"/>
        <item x="211"/>
        <item x="44"/>
        <item x="86"/>
        <item x="231"/>
        <item x="172"/>
        <item x="46"/>
        <item x="191"/>
        <item x="232"/>
        <item x="63"/>
        <item x="223"/>
        <item x="222"/>
        <item x="26"/>
        <item x="76"/>
        <item x="100"/>
        <item x="200"/>
        <item x="33"/>
        <item x="238"/>
        <item x="24"/>
        <item x="94"/>
        <item x="39"/>
        <item x="40"/>
        <item x="149"/>
        <item x="261"/>
        <item x="230"/>
        <item x="27"/>
        <item x="25"/>
        <item x="34"/>
        <item x="16"/>
        <item x="15"/>
        <item x="218"/>
        <item x="73"/>
        <item x="93"/>
        <item x="213"/>
        <item x="95"/>
        <item x="20"/>
        <item x="11"/>
        <item x="84"/>
        <item x="255"/>
        <item x="96"/>
        <item x="252"/>
        <item x="209"/>
        <item x="227"/>
        <item x="206"/>
        <item x="173"/>
        <item x="67"/>
        <item x="68"/>
        <item x="164"/>
        <item x="130"/>
        <item x="229"/>
        <item x="122"/>
        <item x="98"/>
        <item x="65"/>
        <item x="263"/>
        <item x="62"/>
        <item x="10"/>
        <item x="235"/>
        <item x="17"/>
        <item x="249"/>
        <item x="185"/>
        <item x="32"/>
        <item x="22"/>
        <item x="197"/>
        <item x="198"/>
        <item x="177"/>
        <item x="12"/>
        <item x="176"/>
        <item x="212"/>
        <item x="196"/>
        <item x="165"/>
        <item x="134"/>
        <item x="142"/>
        <item x="101"/>
        <item x="132"/>
        <item x="174"/>
        <item x="228"/>
        <item x="237"/>
        <item x="83"/>
        <item x="118"/>
        <item x="88"/>
        <item x="112"/>
        <item x="47"/>
        <item x="207"/>
        <item x="82"/>
        <item x="266"/>
        <item x="4"/>
        <item x="41"/>
        <item x="264"/>
        <item x="179"/>
        <item x="19"/>
        <item x="14"/>
        <item x="38"/>
        <item x="159"/>
        <item x="181"/>
        <item x="18"/>
        <item x="224"/>
        <item x="58"/>
        <item x="190"/>
        <item x="1"/>
        <item x="262"/>
        <item x="247"/>
        <item x="150"/>
        <item x="92"/>
        <item x="182"/>
        <item x="187"/>
        <item x="80"/>
        <item x="110"/>
        <item x="49"/>
        <item x="250"/>
        <item x="217"/>
        <item x="215"/>
        <item x="193"/>
        <item x="128"/>
        <item x="129"/>
        <item x="45"/>
        <item x="127"/>
        <item x="268"/>
        <item x="13"/>
        <item x="71"/>
        <item x="123"/>
        <item x="81"/>
        <item x="175"/>
        <item x="161"/>
        <item x="271"/>
        <item x="214"/>
        <item x="171"/>
        <item x="201"/>
        <item x="221"/>
        <item x="91"/>
        <item x="251"/>
        <item x="253"/>
        <item x="202"/>
        <item x="199"/>
        <item x="147"/>
        <item x="37"/>
        <item x="30"/>
        <item x="36"/>
        <item x="143"/>
        <item x="154"/>
        <item x="153"/>
        <item x="55"/>
        <item x="7"/>
        <item x="180"/>
        <item x="248"/>
        <item x="74"/>
        <item x="243"/>
        <item x="178"/>
        <item x="90"/>
        <item x="109"/>
        <item x="113"/>
        <item x="111"/>
        <item x="116"/>
        <item x="119"/>
        <item x="192"/>
        <item x="117"/>
        <item x="188"/>
        <item x="186"/>
        <item x="5"/>
        <item x="115"/>
        <item x="225"/>
        <item x="205"/>
        <item x="52"/>
        <item x="216"/>
        <item x="234"/>
        <item x="136"/>
        <item x="135"/>
        <item x="126"/>
        <item x="257"/>
        <item x="195"/>
        <item x="270"/>
        <item x="167"/>
        <item x="6"/>
        <item x="166"/>
        <item x="189"/>
        <item x="66"/>
        <item x="259"/>
        <item x="183"/>
        <item x="106"/>
        <item x="99"/>
        <item x="208"/>
        <item x="246"/>
        <item x="57"/>
        <item x="245"/>
        <item x="204"/>
        <item x="160"/>
        <item x="79"/>
        <item x="59"/>
        <item x="60"/>
        <item x="78"/>
        <item x="75"/>
        <item x="240"/>
        <item x="157"/>
        <item x="89"/>
        <item x="97"/>
        <item x="0"/>
        <item x="9"/>
        <item x="124"/>
        <item x="23"/>
        <item x="105"/>
        <item x="133"/>
        <item x="104"/>
        <item x="108"/>
        <item x="241"/>
        <item x="265"/>
        <item x="260"/>
        <item x="121"/>
        <item x="194"/>
        <item x="139"/>
        <item x="144"/>
        <item x="258"/>
        <item x="233"/>
        <item x="219"/>
        <item x="184"/>
        <item x="35"/>
        <item x="120"/>
        <item x="85"/>
        <item x="64"/>
        <item x="170"/>
        <item x="8"/>
        <item x="48"/>
        <item x="148"/>
        <item x="254"/>
        <item x="220"/>
        <item x="131"/>
        <item x="61"/>
        <item x="169"/>
        <item x="114"/>
        <item x="138"/>
        <item x="210"/>
        <item x="77"/>
        <item x="256"/>
        <item x="269"/>
        <item x="239"/>
        <item x="103"/>
        <item x="102"/>
        <item x="50"/>
        <item x="141"/>
        <item x="125"/>
        <item x="145"/>
        <item x="72"/>
        <item x="146"/>
        <item x="162"/>
        <item x="163"/>
        <item x="43"/>
        <item x="236"/>
        <item x="3"/>
        <item x="87"/>
        <item x="203"/>
        <item x="140"/>
        <item x="158"/>
        <item x="151"/>
        <item x="69"/>
        <item x="54"/>
        <item x="28"/>
        <item x="168"/>
        <item x="152"/>
        <item x="155"/>
        <item x="21"/>
        <item x="31"/>
        <item x="51"/>
        <item x="53"/>
        <item x="56"/>
        <item x="42"/>
        <item m="1" x="272"/>
        <item x="2"/>
      </items>
    </pivotField>
  </pivotFields>
  <rowFields count="3">
    <field x="2"/>
    <field x="1"/>
    <field x="0"/>
  </rowFields>
  <rowItems count="1">
    <i>
      <x v="12"/>
      <x v="9"/>
      <x v="6"/>
    </i>
  </rowItems>
  <colItems count="1">
    <i/>
  </colItems>
  <pivotTableStyleInfo name="PivotStyleLight16" showRowHeaders="1" showColHeaders="1" showRowStripes="0" showColStripes="0" showLastColumn="1"/>
  <filters count="1">
    <filter fld="2" type="captionContains" evalOrder="-1" id="449" stringValue1="Automobile Parking">
      <autoFilter ref="A1">
        <filterColumn colId="0">
          <customFilters>
            <customFilter val="*Automobile Parking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75621-C660-467A-8933-E568D8D6A26D}" name="Table1" displayName="Table1" ref="I1:I273" totalsRowShown="0">
  <autoFilter ref="I1:I273" xr:uid="{D1075621-C660-467A-8933-E568D8D6A26D}"/>
  <tableColumns count="1">
    <tableColumn id="1" xr3:uid="{A852D227-A793-4C06-9BEB-A9EA7D14755A}" name="SECOND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B62F2-3F50-4D78-98C5-92554738CD78}">
  <sheetPr codeName="Sheet4"/>
  <dimension ref="A1:G17"/>
  <sheetViews>
    <sheetView view="pageBreakPreview" zoomScaleNormal="100" zoomScaleSheetLayoutView="100" workbookViewId="0">
      <selection activeCell="G9" sqref="G9"/>
    </sheetView>
  </sheetViews>
  <sheetFormatPr defaultRowHeight="14.25"/>
  <cols>
    <col min="1" max="1" width="5" customWidth="1"/>
    <col min="2" max="2" width="2.5" customWidth="1"/>
    <col min="6" max="6" width="2.5" customWidth="1"/>
    <col min="7" max="7" width="5" customWidth="1"/>
  </cols>
  <sheetData>
    <row r="1" spans="1:7" ht="15" thickBot="1">
      <c r="A1" s="89"/>
      <c r="B1" s="89"/>
      <c r="C1" s="89"/>
      <c r="D1" s="89"/>
      <c r="E1" s="89"/>
      <c r="F1" s="89"/>
      <c r="G1" s="89"/>
    </row>
    <row r="2" spans="1:7">
      <c r="A2" s="89"/>
      <c r="B2" s="129"/>
      <c r="C2" s="130"/>
      <c r="D2" s="130"/>
      <c r="E2" s="130"/>
      <c r="F2" s="131"/>
      <c r="G2" s="89"/>
    </row>
    <row r="3" spans="1:7" ht="15">
      <c r="A3" s="89"/>
      <c r="B3" s="99"/>
      <c r="C3" s="200" t="s">
        <v>473</v>
      </c>
      <c r="D3" s="200"/>
      <c r="E3" s="200"/>
      <c r="F3" s="101"/>
      <c r="G3" s="89"/>
    </row>
    <row r="4" spans="1:7">
      <c r="A4" s="89"/>
      <c r="B4" s="99"/>
      <c r="C4" s="100"/>
      <c r="D4" s="100"/>
      <c r="E4" s="100"/>
      <c r="F4" s="101"/>
      <c r="G4" s="89"/>
    </row>
    <row r="5" spans="1:7">
      <c r="A5" s="89"/>
      <c r="B5" s="99"/>
      <c r="C5" s="100"/>
      <c r="D5" s="100"/>
      <c r="E5" s="100"/>
      <c r="F5" s="101"/>
      <c r="G5" s="89"/>
    </row>
    <row r="6" spans="1:7">
      <c r="A6" s="89"/>
      <c r="B6" s="99"/>
      <c r="C6" s="100"/>
      <c r="D6" s="100"/>
      <c r="E6" s="100"/>
      <c r="F6" s="101"/>
      <c r="G6" s="89"/>
    </row>
    <row r="7" spans="1:7">
      <c r="A7" s="89"/>
      <c r="B7" s="99"/>
      <c r="C7" s="100"/>
      <c r="D7" s="100"/>
      <c r="E7" s="100"/>
      <c r="F7" s="101"/>
      <c r="G7" s="89"/>
    </row>
    <row r="8" spans="1:7">
      <c r="A8" s="89"/>
      <c r="B8" s="99"/>
      <c r="C8" s="100"/>
      <c r="D8" s="100"/>
      <c r="E8" s="100"/>
      <c r="F8" s="101"/>
      <c r="G8" s="89"/>
    </row>
    <row r="9" spans="1:7">
      <c r="A9" s="89"/>
      <c r="B9" s="99"/>
      <c r="C9" s="100"/>
      <c r="D9" s="100"/>
      <c r="E9" s="100"/>
      <c r="F9" s="101"/>
      <c r="G9" s="89"/>
    </row>
    <row r="10" spans="1:7">
      <c r="A10" s="89"/>
      <c r="B10" s="99"/>
      <c r="C10" s="100"/>
      <c r="D10" s="100"/>
      <c r="E10" s="100"/>
      <c r="F10" s="101"/>
      <c r="G10" s="89"/>
    </row>
    <row r="11" spans="1:7">
      <c r="A11" s="89"/>
      <c r="B11" s="99"/>
      <c r="C11" s="100"/>
      <c r="D11" s="100"/>
      <c r="E11" s="100"/>
      <c r="F11" s="101"/>
      <c r="G11" s="89"/>
    </row>
    <row r="12" spans="1:7">
      <c r="A12" s="89"/>
      <c r="B12" s="99"/>
      <c r="C12" s="100"/>
      <c r="D12" s="100"/>
      <c r="E12" s="100"/>
      <c r="F12" s="101"/>
      <c r="G12" s="89"/>
    </row>
    <row r="13" spans="1:7">
      <c r="A13" s="89"/>
      <c r="B13" s="99"/>
      <c r="C13" s="100"/>
      <c r="D13" s="100"/>
      <c r="E13" s="100"/>
      <c r="F13" s="101"/>
      <c r="G13" s="89"/>
    </row>
    <row r="14" spans="1:7">
      <c r="A14" s="89"/>
      <c r="B14" s="99"/>
      <c r="C14" s="100"/>
      <c r="D14" s="100"/>
      <c r="E14" s="100"/>
      <c r="F14" s="101"/>
      <c r="G14" s="89"/>
    </row>
    <row r="15" spans="1:7" ht="15" thickBot="1">
      <c r="A15" s="89"/>
      <c r="B15" s="99"/>
      <c r="C15" s="100"/>
      <c r="D15" s="100"/>
      <c r="E15" s="100"/>
      <c r="F15" s="101"/>
      <c r="G15" s="89"/>
    </row>
    <row r="16" spans="1:7">
      <c r="A16" s="89"/>
      <c r="B16" s="130"/>
      <c r="C16" s="130"/>
      <c r="D16" s="130"/>
      <c r="E16" s="130"/>
      <c r="F16" s="130"/>
      <c r="G16" s="89"/>
    </row>
    <row r="17" spans="2:6">
      <c r="B17" s="82"/>
      <c r="C17" s="82"/>
      <c r="D17" s="82"/>
      <c r="E17" s="82"/>
      <c r="F17" s="82"/>
    </row>
  </sheetData>
  <sheetProtection algorithmName="SHA-512" hashValue="UwFFrMevRO2zQ8z986BQUtHnPmN90uAo33UaWodzXtAsETIAHeRHYwyf9yv2g7pqrOg7It+z+ShN5Z8PmyCOKg==" saltValue="GKaxw2He9m5+vbca7BIntw==" spinCount="100000" sheet="1" objects="1" scenarios="1"/>
  <mergeCells count="1">
    <mergeCell ref="C3:E3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ATHAN_Template">
                <anchor moveWithCells="1" sizeWithCells="1">
                  <from>
                    <xdr:col>2</xdr:col>
                    <xdr:colOff>9525</xdr:colOff>
                    <xdr:row>10</xdr:row>
                    <xdr:rowOff>0</xdr:rowOff>
                  </from>
                  <to>
                    <xdr:col>5</xdr:col>
                    <xdr:colOff>9525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ATNET_Template">
                <anchor moveWithCells="1" sizeWithCells="1">
                  <from>
                    <xdr:col>2</xdr:col>
                    <xdr:colOff>9525</xdr:colOff>
                    <xdr:row>5</xdr:row>
                    <xdr:rowOff>0</xdr:rowOff>
                  </from>
                  <to>
                    <xdr:col>4</xdr:col>
                    <xdr:colOff>666750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301"/>
  <sheetViews>
    <sheetView zoomScaleNormal="100" workbookViewId="0">
      <selection activeCell="N4" sqref="N4"/>
    </sheetView>
  </sheetViews>
  <sheetFormatPr defaultRowHeight="14.25"/>
  <cols>
    <col min="2" max="3" width="33.125" customWidth="1"/>
    <col min="4" max="4" width="12" bestFit="1" customWidth="1"/>
    <col min="5" max="5" width="14.5" customWidth="1"/>
    <col min="6" max="6" width="10.75" bestFit="1" customWidth="1"/>
    <col min="7" max="7" width="5.375" customWidth="1"/>
    <col min="8" max="8" width="8.375" customWidth="1"/>
    <col min="9" max="9" width="8.375" style="6" customWidth="1"/>
    <col min="12" max="12" width="9" style="2"/>
    <col min="14" max="14" width="9" style="2"/>
    <col min="15" max="15" width="10.5" bestFit="1" customWidth="1"/>
    <col min="17" max="17" width="39.625" bestFit="1" customWidth="1"/>
    <col min="18" max="19" width="39.625" customWidth="1"/>
    <col min="22" max="22" width="13.5" style="2" bestFit="1" customWidth="1"/>
    <col min="23" max="24" width="14.5" style="2" bestFit="1" customWidth="1"/>
    <col min="25" max="25" width="13.875" style="2" customWidth="1"/>
    <col min="26" max="26" width="18.5" bestFit="1" customWidth="1"/>
    <col min="28" max="28" width="9.875" bestFit="1" customWidth="1"/>
  </cols>
  <sheetData>
    <row r="1" spans="1:28" ht="15">
      <c r="A1" s="120" t="s">
        <v>410</v>
      </c>
      <c r="B1" s="1"/>
      <c r="C1" s="1"/>
      <c r="D1" s="1"/>
      <c r="E1" s="1"/>
      <c r="I1"/>
      <c r="L1"/>
      <c r="N1"/>
      <c r="V1"/>
      <c r="W1"/>
      <c r="X1"/>
      <c r="Y1" t="s">
        <v>508</v>
      </c>
      <c r="Z1" t="s">
        <v>0</v>
      </c>
      <c r="AA1">
        <f>+VLOOKUP(Z1,Lists!$A$2:$C$18,3,FALSE)</f>
        <v>1</v>
      </c>
    </row>
    <row r="2" spans="1:28" ht="15">
      <c r="A2" s="120" t="s">
        <v>411</v>
      </c>
      <c r="B2" s="1"/>
      <c r="C2" s="1"/>
      <c r="D2" s="1"/>
      <c r="E2" s="1"/>
      <c r="F2" s="1"/>
      <c r="H2" s="1"/>
      <c r="I2"/>
      <c r="K2" s="1"/>
      <c r="L2"/>
      <c r="M2" s="1"/>
      <c r="N2"/>
      <c r="O2" s="1"/>
      <c r="T2" s="1"/>
      <c r="V2" s="10">
        <f>+SUBTOTAL(9,V4:V3000)</f>
        <v>0</v>
      </c>
      <c r="W2" s="10">
        <f>+SUBTOTAL(9,W4:W3000)</f>
        <v>0</v>
      </c>
      <c r="X2" s="10">
        <f>+SUBTOTAL(9,X4:X3000)</f>
        <v>0</v>
      </c>
      <c r="Y2" s="10">
        <f>+SUBTOTAL(9,Y4:Y3000)</f>
        <v>0</v>
      </c>
      <c r="Z2" s="10">
        <f>+SUBTOTAL(9,Z4:Z3000)</f>
        <v>0</v>
      </c>
    </row>
    <row r="3" spans="1:28" ht="51">
      <c r="A3" s="121" t="s">
        <v>12</v>
      </c>
      <c r="B3" s="122" t="s">
        <v>11</v>
      </c>
      <c r="C3" s="123" t="s">
        <v>412</v>
      </c>
      <c r="D3" s="123" t="s">
        <v>483</v>
      </c>
      <c r="E3" s="123" t="s">
        <v>416</v>
      </c>
      <c r="F3" s="123" t="s">
        <v>413</v>
      </c>
      <c r="G3" s="123" t="s">
        <v>414</v>
      </c>
      <c r="H3" s="123" t="s">
        <v>415</v>
      </c>
      <c r="I3" s="123" t="s">
        <v>484</v>
      </c>
      <c r="J3" s="123" t="s">
        <v>417</v>
      </c>
      <c r="K3" s="123" t="s">
        <v>418</v>
      </c>
      <c r="L3" s="124" t="s">
        <v>8</v>
      </c>
      <c r="M3" s="121" t="s">
        <v>15</v>
      </c>
      <c r="N3" s="124" t="s">
        <v>13</v>
      </c>
      <c r="O3" s="125" t="s">
        <v>29</v>
      </c>
      <c r="P3" s="122" t="s">
        <v>9</v>
      </c>
      <c r="Q3" s="126" t="s">
        <v>10</v>
      </c>
      <c r="R3" s="126" t="s">
        <v>478</v>
      </c>
      <c r="S3" s="126" t="s">
        <v>479</v>
      </c>
      <c r="T3" s="127" t="s">
        <v>419</v>
      </c>
      <c r="U3" s="127" t="s">
        <v>420</v>
      </c>
      <c r="V3" s="128" t="s">
        <v>421</v>
      </c>
      <c r="W3" s="128" t="s">
        <v>422</v>
      </c>
      <c r="X3" s="128" t="s">
        <v>423</v>
      </c>
      <c r="Y3" s="128" t="s">
        <v>424</v>
      </c>
      <c r="Z3" s="128" t="s">
        <v>425</v>
      </c>
      <c r="AA3" s="127" t="s">
        <v>485</v>
      </c>
      <c r="AB3" s="132" t="s">
        <v>486</v>
      </c>
    </row>
    <row r="4" spans="1:28">
      <c r="A4" s="4">
        <v>1</v>
      </c>
      <c r="B4" s="7"/>
      <c r="F4" s="4"/>
      <c r="L4" s="2" t="s">
        <v>0</v>
      </c>
      <c r="M4" s="11" t="str">
        <f>IFERROR(VLOOKUP(L4,Lists!$A$2:$B$18,2,FALSE),"")</f>
        <v>US Dollar</v>
      </c>
      <c r="N4" s="2" t="s">
        <v>232</v>
      </c>
      <c r="O4" s="11" t="str">
        <f>IFERROR(VLOOKUP(N4,Lists!$A$24:$B$38,2,FALSE),"")</f>
        <v>Ecuador</v>
      </c>
      <c r="P4" s="2"/>
      <c r="T4" s="8"/>
      <c r="U4" s="8"/>
      <c r="V4" s="9"/>
      <c r="W4" s="9"/>
      <c r="X4" s="12">
        <f>+IF(V4+W4=0,0,V4+W4)</f>
        <v>0</v>
      </c>
      <c r="Y4" s="13"/>
      <c r="Z4" s="12">
        <f>+IF(X4+Y4=0,0,X4+Y4)</f>
        <v>0</v>
      </c>
      <c r="AB4" s="12">
        <f>IF(L4="","",IF(L4=Z1,Z4,(Z4/VLOOKUP(L4,Lists!$A$2:$C$18,3,FALSE))*$AA$1))</f>
        <v>0</v>
      </c>
    </row>
    <row r="5" spans="1:28">
      <c r="A5" s="4"/>
      <c r="B5" s="7"/>
      <c r="F5" s="4"/>
      <c r="G5" s="4"/>
      <c r="H5" s="4"/>
      <c r="I5" s="5"/>
      <c r="P5" s="2"/>
      <c r="T5" s="3"/>
      <c r="U5" s="3"/>
      <c r="V5" s="13"/>
      <c r="W5" s="13"/>
      <c r="X5" s="13"/>
      <c r="Y5" s="13"/>
    </row>
    <row r="6" spans="1:28">
      <c r="A6" s="4"/>
      <c r="B6" s="7"/>
      <c r="F6" s="4"/>
      <c r="G6" s="4"/>
      <c r="H6" s="4"/>
      <c r="I6" s="5"/>
      <c r="P6" s="2"/>
      <c r="T6" s="3"/>
      <c r="U6" s="3"/>
      <c r="V6" s="13"/>
      <c r="W6" s="13"/>
      <c r="X6" s="13"/>
      <c r="Y6" s="13"/>
    </row>
    <row r="7" spans="1:28">
      <c r="A7" s="4"/>
      <c r="B7" s="7"/>
      <c r="F7" s="4"/>
      <c r="G7" s="4"/>
      <c r="H7" s="4"/>
      <c r="I7" s="5"/>
      <c r="P7" s="2"/>
      <c r="T7" s="3"/>
      <c r="U7" s="3"/>
      <c r="V7" s="13"/>
      <c r="W7" s="13"/>
      <c r="X7" s="13"/>
      <c r="Y7" s="13"/>
    </row>
    <row r="8" spans="1:28">
      <c r="A8" s="4"/>
      <c r="B8" s="7"/>
      <c r="F8" s="4"/>
      <c r="G8" s="4"/>
      <c r="H8" s="4"/>
      <c r="I8" s="5"/>
      <c r="P8" s="2"/>
      <c r="T8" s="3"/>
      <c r="U8" s="3"/>
      <c r="V8" s="13"/>
      <c r="W8" s="13"/>
      <c r="X8" s="13"/>
      <c r="Y8" s="13"/>
    </row>
    <row r="9" spans="1:28">
      <c r="A9" s="4"/>
      <c r="B9" s="7"/>
      <c r="F9" s="4"/>
      <c r="G9" s="4"/>
      <c r="H9" s="4"/>
      <c r="I9" s="5"/>
      <c r="P9" s="2"/>
      <c r="T9" s="3"/>
      <c r="U9" s="3"/>
      <c r="V9" s="13"/>
      <c r="W9" s="13"/>
      <c r="X9" s="13"/>
      <c r="Y9" s="13"/>
    </row>
    <row r="10" spans="1:28">
      <c r="A10" s="4"/>
      <c r="F10" s="4"/>
      <c r="G10" s="4"/>
      <c r="H10" s="4"/>
      <c r="I10" s="5"/>
      <c r="P10" s="2"/>
      <c r="T10" s="3"/>
      <c r="U10" s="3"/>
      <c r="V10" s="13"/>
      <c r="W10" s="13"/>
      <c r="X10" s="13"/>
      <c r="Y10" s="13"/>
    </row>
    <row r="11" spans="1:28">
      <c r="A11" s="4"/>
      <c r="F11" s="4"/>
      <c r="G11" s="4"/>
      <c r="H11" s="4"/>
      <c r="I11" s="5"/>
      <c r="T11" s="3"/>
      <c r="U11" s="3"/>
      <c r="V11" s="13"/>
      <c r="W11" s="13"/>
      <c r="X11" s="13"/>
      <c r="Y11" s="13"/>
    </row>
    <row r="12" spans="1:28">
      <c r="A12" s="4"/>
      <c r="F12" s="4"/>
      <c r="G12" s="4"/>
      <c r="H12" s="4"/>
      <c r="I12" s="5"/>
      <c r="Y12" s="9"/>
    </row>
    <row r="13" spans="1:28">
      <c r="A13" s="4"/>
      <c r="F13" s="4"/>
      <c r="G13" s="4"/>
      <c r="H13" s="4"/>
      <c r="I13" s="5"/>
      <c r="Y13" s="9"/>
    </row>
    <row r="14" spans="1:28">
      <c r="A14" s="4"/>
      <c r="F14" s="4"/>
      <c r="G14" s="4"/>
      <c r="H14" s="4"/>
      <c r="I14" s="5"/>
      <c r="J14" s="4"/>
      <c r="K14" s="4"/>
      <c r="Y14" s="9"/>
      <c r="Z14" s="2"/>
    </row>
    <row r="15" spans="1:28">
      <c r="A15" s="4"/>
      <c r="F15" s="4"/>
      <c r="G15" s="4"/>
      <c r="H15" s="4"/>
      <c r="I15" s="5"/>
      <c r="Y15" s="9"/>
    </row>
    <row r="16" spans="1:28">
      <c r="A16" s="4"/>
      <c r="F16" s="4"/>
      <c r="G16" s="4"/>
      <c r="H16" s="4"/>
      <c r="I16" s="5"/>
      <c r="Y16" s="9"/>
    </row>
    <row r="17" spans="1:25">
      <c r="A17" s="4"/>
      <c r="F17" s="4"/>
      <c r="G17" s="4"/>
      <c r="H17" s="4"/>
      <c r="I17" s="5"/>
      <c r="Y17" s="9"/>
    </row>
    <row r="18" spans="1:25">
      <c r="A18" s="4"/>
      <c r="F18" s="4"/>
      <c r="G18" s="4"/>
      <c r="H18" s="4"/>
      <c r="I18" s="5"/>
      <c r="Y18" s="9"/>
    </row>
    <row r="19" spans="1:25">
      <c r="A19" s="4"/>
      <c r="F19" s="4"/>
      <c r="G19" s="4"/>
      <c r="H19" s="4"/>
      <c r="I19" s="5"/>
      <c r="Y19" s="9"/>
    </row>
    <row r="20" spans="1:25">
      <c r="A20" s="4"/>
      <c r="F20" s="4"/>
      <c r="G20" s="4"/>
      <c r="H20" s="4"/>
      <c r="I20" s="5"/>
      <c r="Y20" s="9"/>
    </row>
    <row r="21" spans="1:25">
      <c r="A21" s="4"/>
      <c r="F21" s="4"/>
      <c r="G21" s="4"/>
      <c r="H21" s="4"/>
      <c r="I21" s="5"/>
      <c r="Y21" s="9"/>
    </row>
    <row r="22" spans="1:25">
      <c r="A22" s="4"/>
      <c r="F22" s="4"/>
      <c r="G22" s="4"/>
      <c r="H22" s="4"/>
      <c r="I22" s="5"/>
      <c r="Y22" s="9"/>
    </row>
    <row r="23" spans="1:25">
      <c r="A23" s="4"/>
      <c r="F23" s="4"/>
      <c r="G23" s="4"/>
      <c r="H23" s="4"/>
      <c r="I23" s="5"/>
      <c r="Y23" s="9"/>
    </row>
    <row r="24" spans="1:25">
      <c r="A24" s="4"/>
      <c r="F24" s="4"/>
      <c r="G24" s="4"/>
      <c r="H24" s="4"/>
      <c r="I24" s="5"/>
      <c r="Y24" s="9"/>
    </row>
    <row r="25" spans="1:25">
      <c r="A25" s="4"/>
      <c r="F25" s="4"/>
      <c r="G25" s="4"/>
      <c r="H25" s="4"/>
      <c r="I25" s="5"/>
      <c r="Y25" s="9"/>
    </row>
    <row r="26" spans="1:25">
      <c r="A26" s="4"/>
      <c r="F26" s="4"/>
      <c r="G26" s="4"/>
      <c r="H26" s="4"/>
      <c r="I26" s="5"/>
      <c r="Y26" s="9"/>
    </row>
    <row r="27" spans="1:25">
      <c r="A27" s="4"/>
      <c r="F27" s="4"/>
      <c r="G27" s="4"/>
      <c r="H27" s="4"/>
      <c r="I27" s="5"/>
      <c r="Y27" s="9"/>
    </row>
    <row r="28" spans="1:25">
      <c r="A28" s="4"/>
      <c r="F28" s="4"/>
      <c r="G28" s="4"/>
      <c r="H28" s="4"/>
      <c r="I28" s="5"/>
      <c r="Y28" s="9"/>
    </row>
    <row r="29" spans="1:25">
      <c r="A29" s="4"/>
      <c r="F29" s="4"/>
      <c r="G29" s="4"/>
      <c r="H29" s="4"/>
      <c r="I29" s="5"/>
      <c r="Y29" s="9"/>
    </row>
    <row r="30" spans="1:25">
      <c r="A30" s="4"/>
      <c r="F30" s="4"/>
      <c r="G30" s="4"/>
      <c r="H30" s="4"/>
      <c r="I30" s="5"/>
      <c r="Y30" s="9"/>
    </row>
    <row r="31" spans="1:25">
      <c r="A31" s="4"/>
      <c r="F31" s="4"/>
      <c r="G31" s="4"/>
      <c r="H31" s="4"/>
      <c r="I31" s="5"/>
      <c r="Y31" s="9"/>
    </row>
    <row r="32" spans="1:25">
      <c r="A32" s="4"/>
      <c r="F32" s="4"/>
      <c r="G32" s="4"/>
      <c r="H32" s="4"/>
      <c r="I32" s="5"/>
      <c r="Y32" s="9"/>
    </row>
    <row r="33" spans="1:25">
      <c r="A33" s="4"/>
      <c r="F33" s="4"/>
      <c r="G33" s="4"/>
      <c r="H33" s="4"/>
      <c r="I33" s="5"/>
      <c r="Y33" s="9"/>
    </row>
    <row r="34" spans="1:25">
      <c r="A34" s="4"/>
      <c r="F34" s="4"/>
      <c r="G34" s="4"/>
      <c r="H34" s="4"/>
      <c r="I34" s="5"/>
      <c r="Y34" s="9"/>
    </row>
    <row r="35" spans="1:25">
      <c r="A35" s="4"/>
      <c r="F35" s="4"/>
      <c r="G35" s="4"/>
      <c r="H35" s="4"/>
      <c r="I35" s="5"/>
      <c r="Y35" s="9"/>
    </row>
    <row r="36" spans="1:25">
      <c r="A36" s="4"/>
      <c r="F36" s="4"/>
      <c r="G36" s="4"/>
      <c r="H36" s="4"/>
      <c r="I36" s="5"/>
      <c r="Y36" s="9"/>
    </row>
    <row r="37" spans="1:25">
      <c r="A37" s="4"/>
      <c r="F37" s="4"/>
      <c r="G37" s="4"/>
      <c r="H37" s="4"/>
      <c r="I37" s="5"/>
      <c r="Y37" s="9"/>
    </row>
    <row r="38" spans="1:25">
      <c r="A38" s="4"/>
      <c r="F38" s="4"/>
      <c r="G38" s="4"/>
      <c r="H38" s="4"/>
      <c r="I38" s="5"/>
      <c r="Y38" s="9"/>
    </row>
    <row r="39" spans="1:25">
      <c r="A39" s="4"/>
      <c r="F39" s="4"/>
      <c r="G39" s="4"/>
      <c r="H39" s="4"/>
      <c r="I39" s="5"/>
      <c r="Y39" s="9"/>
    </row>
    <row r="40" spans="1:25">
      <c r="A40" s="4"/>
      <c r="F40" s="4"/>
      <c r="G40" s="4"/>
      <c r="H40" s="4"/>
      <c r="I40" s="5"/>
      <c r="Y40" s="9"/>
    </row>
    <row r="41" spans="1:25">
      <c r="A41" s="4"/>
      <c r="F41" s="4"/>
      <c r="G41" s="4"/>
      <c r="H41" s="4"/>
      <c r="I41" s="5"/>
      <c r="Y41" s="9"/>
    </row>
    <row r="42" spans="1:25">
      <c r="A42" s="4"/>
      <c r="F42" s="4"/>
      <c r="G42" s="4"/>
      <c r="H42" s="4"/>
      <c r="I42" s="5"/>
      <c r="Y42" s="9"/>
    </row>
    <row r="43" spans="1:25">
      <c r="A43" s="4"/>
      <c r="F43" s="4"/>
      <c r="G43" s="4"/>
      <c r="H43" s="4"/>
      <c r="I43" s="5"/>
      <c r="Y43" s="9"/>
    </row>
    <row r="44" spans="1:25">
      <c r="A44" s="4"/>
      <c r="F44" s="4"/>
      <c r="G44" s="4"/>
      <c r="H44" s="4"/>
      <c r="I44" s="5"/>
      <c r="Y44" s="9"/>
    </row>
    <row r="45" spans="1:25">
      <c r="A45" s="4"/>
      <c r="F45" s="4"/>
      <c r="G45" s="4"/>
      <c r="H45" s="4"/>
      <c r="I45" s="5"/>
      <c r="Y45" s="9"/>
    </row>
    <row r="46" spans="1:25">
      <c r="A46" s="4"/>
      <c r="F46" s="4"/>
      <c r="G46" s="4"/>
      <c r="H46" s="4"/>
      <c r="I46" s="5"/>
      <c r="Y46" s="9"/>
    </row>
    <row r="47" spans="1:25">
      <c r="A47" s="4"/>
      <c r="F47" s="4"/>
      <c r="G47" s="4"/>
      <c r="H47" s="4"/>
      <c r="I47" s="5"/>
      <c r="Y47" s="9"/>
    </row>
    <row r="48" spans="1:25">
      <c r="A48" s="4"/>
      <c r="F48" s="4"/>
      <c r="G48" s="4"/>
      <c r="H48" s="4"/>
      <c r="I48" s="5"/>
      <c r="Y48" s="9"/>
    </row>
    <row r="49" spans="1:25">
      <c r="A49" s="4"/>
      <c r="F49" s="4"/>
      <c r="G49" s="4"/>
      <c r="H49" s="4"/>
      <c r="I49" s="5"/>
      <c r="Y49" s="9"/>
    </row>
    <row r="50" spans="1:25">
      <c r="A50" s="4"/>
      <c r="F50" s="4"/>
      <c r="G50" s="4"/>
      <c r="H50" s="4"/>
      <c r="I50" s="5"/>
      <c r="Y50" s="9"/>
    </row>
    <row r="51" spans="1:25">
      <c r="A51" s="4"/>
      <c r="F51" s="4"/>
      <c r="G51" s="4"/>
      <c r="H51" s="4"/>
      <c r="I51" s="5"/>
      <c r="Y51" s="9"/>
    </row>
    <row r="52" spans="1:25">
      <c r="A52" s="4"/>
      <c r="F52" s="4"/>
      <c r="G52" s="4"/>
      <c r="H52" s="4"/>
      <c r="I52" s="5"/>
      <c r="Y52" s="9"/>
    </row>
    <row r="53" spans="1:25">
      <c r="A53" s="4"/>
      <c r="F53" s="4"/>
      <c r="G53" s="4"/>
      <c r="H53" s="4"/>
      <c r="I53" s="5"/>
      <c r="Y53" s="9"/>
    </row>
    <row r="54" spans="1:25">
      <c r="A54" s="4"/>
      <c r="F54" s="4"/>
      <c r="G54" s="4"/>
      <c r="H54" s="4"/>
      <c r="I54" s="5"/>
      <c r="Y54" s="9"/>
    </row>
    <row r="55" spans="1:25">
      <c r="A55" s="4"/>
      <c r="F55" s="4"/>
      <c r="G55" s="4"/>
      <c r="H55" s="4"/>
      <c r="I55" s="5"/>
      <c r="Y55" s="9"/>
    </row>
    <row r="56" spans="1:25">
      <c r="A56" s="4"/>
      <c r="F56" s="4"/>
      <c r="G56" s="4"/>
      <c r="H56" s="4"/>
      <c r="I56" s="5"/>
      <c r="Y56" s="9"/>
    </row>
    <row r="57" spans="1:25">
      <c r="A57" s="4"/>
      <c r="F57" s="4"/>
      <c r="G57" s="4"/>
      <c r="H57" s="4"/>
      <c r="I57" s="5"/>
      <c r="Y57" s="9"/>
    </row>
    <row r="58" spans="1:25">
      <c r="A58" s="4"/>
      <c r="F58" s="4"/>
      <c r="G58" s="4"/>
      <c r="H58" s="4"/>
      <c r="I58" s="5"/>
      <c r="Y58" s="9"/>
    </row>
    <row r="59" spans="1:25">
      <c r="A59" s="4"/>
      <c r="F59" s="4"/>
      <c r="G59" s="4"/>
      <c r="H59" s="4"/>
      <c r="I59" s="5"/>
      <c r="Y59" s="9"/>
    </row>
    <row r="60" spans="1:25">
      <c r="A60" s="4"/>
      <c r="F60" s="4"/>
      <c r="G60" s="4"/>
      <c r="H60" s="4"/>
      <c r="I60" s="5"/>
      <c r="Y60" s="9"/>
    </row>
    <row r="61" spans="1:25">
      <c r="A61" s="4"/>
      <c r="F61" s="4"/>
      <c r="G61" s="4"/>
      <c r="H61" s="4"/>
      <c r="I61" s="5"/>
      <c r="Y61" s="9"/>
    </row>
    <row r="62" spans="1:25">
      <c r="A62" s="4"/>
      <c r="F62" s="4"/>
      <c r="G62" s="4"/>
      <c r="H62" s="4"/>
      <c r="I62" s="5"/>
      <c r="Y62" s="9"/>
    </row>
    <row r="63" spans="1:25">
      <c r="A63" s="4"/>
      <c r="F63" s="4"/>
      <c r="G63" s="4"/>
      <c r="H63" s="4"/>
      <c r="I63" s="5"/>
      <c r="Y63" s="9"/>
    </row>
    <row r="64" spans="1:25">
      <c r="A64" s="4"/>
      <c r="F64" s="4"/>
      <c r="G64" s="4"/>
      <c r="H64" s="4"/>
      <c r="I64" s="5"/>
      <c r="Y64" s="9"/>
    </row>
    <row r="65" spans="1:25">
      <c r="A65" s="4"/>
      <c r="F65" s="4"/>
      <c r="G65" s="4"/>
      <c r="H65" s="4"/>
      <c r="I65" s="5"/>
      <c r="Y65" s="9"/>
    </row>
    <row r="66" spans="1:25">
      <c r="A66" s="4"/>
      <c r="F66" s="4"/>
      <c r="G66" s="4"/>
      <c r="H66" s="4"/>
      <c r="I66" s="5"/>
      <c r="Y66" s="9"/>
    </row>
    <row r="67" spans="1:25">
      <c r="A67" s="4"/>
      <c r="F67" s="4"/>
      <c r="G67" s="4"/>
      <c r="H67" s="4"/>
      <c r="I67" s="5"/>
      <c r="Y67" s="9"/>
    </row>
    <row r="68" spans="1:25">
      <c r="A68" s="4"/>
      <c r="F68" s="4"/>
      <c r="G68" s="4"/>
      <c r="H68" s="4"/>
      <c r="I68" s="5"/>
      <c r="Y68" s="9"/>
    </row>
    <row r="69" spans="1:25">
      <c r="A69" s="4"/>
      <c r="F69" s="4"/>
      <c r="G69" s="4"/>
      <c r="H69" s="4"/>
      <c r="I69" s="5"/>
      <c r="Y69" s="9"/>
    </row>
    <row r="70" spans="1:25">
      <c r="A70" s="4"/>
      <c r="F70" s="4"/>
      <c r="G70" s="4"/>
      <c r="H70" s="4"/>
      <c r="I70" s="5"/>
      <c r="Y70" s="9"/>
    </row>
    <row r="71" spans="1:25">
      <c r="A71" s="4"/>
      <c r="F71" s="4"/>
      <c r="G71" s="4"/>
      <c r="H71" s="4"/>
      <c r="I71" s="5"/>
      <c r="Y71" s="9"/>
    </row>
    <row r="72" spans="1:25">
      <c r="A72" s="4"/>
      <c r="F72" s="4"/>
      <c r="G72" s="4"/>
      <c r="H72" s="4"/>
      <c r="I72" s="5"/>
      <c r="Y72" s="9"/>
    </row>
    <row r="73" spans="1:25">
      <c r="A73" s="4"/>
      <c r="F73" s="4"/>
      <c r="G73" s="4"/>
      <c r="H73" s="4"/>
      <c r="I73" s="5"/>
      <c r="Y73" s="9"/>
    </row>
    <row r="74" spans="1:25">
      <c r="A74" s="4"/>
      <c r="F74" s="4"/>
      <c r="G74" s="4"/>
      <c r="H74" s="4"/>
      <c r="I74" s="5"/>
      <c r="Y74" s="9"/>
    </row>
    <row r="75" spans="1:25">
      <c r="A75" s="4"/>
      <c r="F75" s="4"/>
      <c r="G75" s="4"/>
      <c r="H75" s="4"/>
      <c r="I75" s="5"/>
      <c r="Y75" s="9"/>
    </row>
    <row r="76" spans="1:25">
      <c r="A76" s="4"/>
      <c r="F76" s="4"/>
      <c r="G76" s="4"/>
      <c r="H76" s="4"/>
      <c r="I76" s="5"/>
      <c r="Y76" s="9"/>
    </row>
    <row r="77" spans="1:25">
      <c r="A77" s="4"/>
      <c r="F77" s="4"/>
      <c r="G77" s="4"/>
      <c r="H77" s="4"/>
      <c r="I77" s="5"/>
      <c r="Y77" s="9"/>
    </row>
    <row r="78" spans="1:25">
      <c r="A78" s="4"/>
      <c r="F78" s="4"/>
      <c r="G78" s="4"/>
      <c r="H78" s="4"/>
      <c r="I78" s="5"/>
      <c r="Y78" s="9"/>
    </row>
    <row r="79" spans="1:25">
      <c r="A79" s="4"/>
      <c r="F79" s="4"/>
      <c r="G79" s="4"/>
      <c r="H79" s="4"/>
      <c r="I79" s="5"/>
      <c r="Y79" s="9"/>
    </row>
    <row r="80" spans="1:25">
      <c r="A80" s="4"/>
      <c r="F80" s="4"/>
      <c r="G80" s="4"/>
      <c r="H80" s="4"/>
      <c r="I80" s="5"/>
      <c r="Y80" s="9"/>
    </row>
    <row r="81" spans="1:25">
      <c r="A81" s="4"/>
      <c r="F81" s="4"/>
      <c r="G81" s="4"/>
      <c r="H81" s="4"/>
      <c r="I81" s="5"/>
      <c r="Y81" s="9"/>
    </row>
    <row r="82" spans="1:25">
      <c r="A82" s="4"/>
      <c r="F82" s="4"/>
      <c r="G82" s="4"/>
      <c r="H82" s="4"/>
      <c r="I82" s="5"/>
      <c r="Y82" s="9"/>
    </row>
    <row r="83" spans="1:25">
      <c r="A83" s="4"/>
      <c r="F83" s="4"/>
      <c r="G83" s="4"/>
      <c r="H83" s="4"/>
      <c r="I83" s="5"/>
      <c r="Y83" s="9"/>
    </row>
    <row r="84" spans="1:25">
      <c r="A84" s="4"/>
      <c r="F84" s="4"/>
      <c r="G84" s="4"/>
      <c r="H84" s="4"/>
      <c r="I84" s="5"/>
      <c r="Y84" s="9"/>
    </row>
    <row r="85" spans="1:25">
      <c r="A85" s="4"/>
      <c r="F85" s="4"/>
      <c r="G85" s="4"/>
      <c r="H85" s="4"/>
      <c r="I85" s="5"/>
      <c r="Y85" s="9"/>
    </row>
    <row r="86" spans="1:25">
      <c r="A86" s="4"/>
      <c r="F86" s="4"/>
      <c r="G86" s="4"/>
      <c r="H86" s="4"/>
      <c r="I86" s="5"/>
      <c r="Y86" s="9"/>
    </row>
    <row r="87" spans="1:25">
      <c r="A87" s="4"/>
      <c r="F87" s="4"/>
      <c r="G87" s="4"/>
      <c r="H87" s="4"/>
      <c r="I87" s="5"/>
      <c r="Y87" s="9"/>
    </row>
    <row r="88" spans="1:25">
      <c r="A88" s="4"/>
      <c r="F88" s="4"/>
      <c r="G88" s="4"/>
      <c r="H88" s="4"/>
      <c r="I88" s="5"/>
      <c r="Y88" s="9"/>
    </row>
    <row r="89" spans="1:25">
      <c r="A89" s="4"/>
      <c r="F89" s="4"/>
      <c r="G89" s="4"/>
      <c r="H89" s="4"/>
      <c r="I89" s="5"/>
      <c r="Y89" s="9"/>
    </row>
    <row r="90" spans="1:25">
      <c r="A90" s="4"/>
      <c r="F90" s="4"/>
      <c r="G90" s="4"/>
      <c r="H90" s="4"/>
      <c r="I90" s="5"/>
      <c r="Y90" s="9"/>
    </row>
    <row r="91" spans="1:25">
      <c r="A91" s="4"/>
      <c r="F91" s="4"/>
      <c r="G91" s="4"/>
      <c r="H91" s="4"/>
      <c r="I91" s="5"/>
      <c r="Y91" s="9"/>
    </row>
    <row r="92" spans="1:25">
      <c r="A92" s="4"/>
      <c r="F92" s="4"/>
      <c r="G92" s="4"/>
      <c r="H92" s="4"/>
      <c r="I92" s="5"/>
      <c r="Y92" s="9"/>
    </row>
    <row r="93" spans="1:25">
      <c r="A93" s="4"/>
      <c r="F93" s="4"/>
      <c r="G93" s="4"/>
      <c r="H93" s="4"/>
      <c r="I93" s="5"/>
      <c r="Y93" s="9"/>
    </row>
    <row r="94" spans="1:25">
      <c r="A94" s="4"/>
      <c r="F94" s="4"/>
      <c r="G94" s="4"/>
      <c r="H94" s="4"/>
      <c r="I94" s="5"/>
      <c r="Y94" s="9"/>
    </row>
    <row r="95" spans="1:25">
      <c r="A95" s="4"/>
      <c r="F95" s="4"/>
      <c r="G95" s="4"/>
      <c r="H95" s="4"/>
      <c r="I95" s="5"/>
      <c r="Y95" s="9"/>
    </row>
    <row r="96" spans="1:25">
      <c r="A96" s="4"/>
      <c r="F96" s="4"/>
      <c r="G96" s="4"/>
      <c r="H96" s="4"/>
      <c r="I96" s="5"/>
      <c r="Y96" s="9"/>
    </row>
    <row r="97" spans="1:25">
      <c r="A97" s="4"/>
      <c r="F97" s="4"/>
      <c r="G97" s="4"/>
      <c r="H97" s="4"/>
      <c r="I97" s="5"/>
      <c r="Y97" s="9"/>
    </row>
    <row r="98" spans="1:25">
      <c r="A98" s="4"/>
      <c r="F98" s="4"/>
      <c r="G98" s="4"/>
      <c r="H98" s="4"/>
      <c r="I98" s="5"/>
      <c r="Y98" s="9"/>
    </row>
    <row r="99" spans="1:25">
      <c r="A99" s="4"/>
      <c r="F99" s="4"/>
      <c r="G99" s="4"/>
      <c r="H99" s="4"/>
      <c r="I99" s="5"/>
      <c r="Y99" s="9"/>
    </row>
    <row r="100" spans="1:25">
      <c r="A100" s="4"/>
      <c r="F100" s="4"/>
      <c r="G100" s="4"/>
      <c r="H100" s="4"/>
      <c r="I100" s="5"/>
      <c r="Y100" s="9"/>
    </row>
    <row r="101" spans="1:25">
      <c r="A101" s="4"/>
      <c r="F101" s="4"/>
      <c r="G101" s="4"/>
      <c r="H101" s="4"/>
      <c r="I101" s="5"/>
      <c r="Y101" s="9"/>
    </row>
    <row r="102" spans="1:25">
      <c r="A102" s="4"/>
      <c r="F102" s="4"/>
      <c r="G102" s="4"/>
      <c r="H102" s="4"/>
      <c r="I102" s="5"/>
      <c r="Y102" s="9"/>
    </row>
    <row r="103" spans="1:25">
      <c r="A103" s="4"/>
      <c r="F103" s="4"/>
      <c r="G103" s="4"/>
      <c r="H103" s="4"/>
      <c r="I103" s="5"/>
      <c r="Y103" s="9"/>
    </row>
    <row r="104" spans="1:25">
      <c r="F104" s="4"/>
      <c r="G104" s="4"/>
      <c r="H104" s="4"/>
      <c r="I104" s="5"/>
    </row>
    <row r="105" spans="1:25">
      <c r="F105" s="4"/>
      <c r="G105" s="4"/>
      <c r="H105" s="4"/>
      <c r="I105" s="5"/>
    </row>
    <row r="106" spans="1:25">
      <c r="F106" s="4"/>
      <c r="G106" s="4"/>
      <c r="H106" s="4"/>
      <c r="I106" s="5"/>
    </row>
    <row r="107" spans="1:25">
      <c r="F107" s="4"/>
      <c r="G107" s="4"/>
      <c r="H107" s="4"/>
      <c r="I107" s="5"/>
    </row>
    <row r="108" spans="1:25">
      <c r="F108" s="4"/>
      <c r="G108" s="4"/>
      <c r="H108" s="4"/>
      <c r="I108" s="5"/>
    </row>
    <row r="109" spans="1:25">
      <c r="F109" s="4"/>
      <c r="G109" s="4"/>
      <c r="H109" s="4"/>
      <c r="I109" s="5"/>
    </row>
    <row r="110" spans="1:25">
      <c r="F110" s="4"/>
      <c r="G110" s="4"/>
      <c r="H110" s="4"/>
      <c r="I110" s="5"/>
    </row>
    <row r="111" spans="1:25">
      <c r="F111" s="4"/>
      <c r="G111" s="4"/>
      <c r="H111" s="4"/>
      <c r="I111" s="5"/>
    </row>
    <row r="112" spans="1:25">
      <c r="F112" s="4"/>
      <c r="G112" s="4"/>
      <c r="H112" s="4"/>
      <c r="I112" s="5"/>
    </row>
    <row r="113" spans="6:9">
      <c r="F113" s="4"/>
      <c r="G113" s="4"/>
      <c r="H113" s="4"/>
      <c r="I113" s="5"/>
    </row>
    <row r="114" spans="6:9">
      <c r="F114" s="4"/>
      <c r="G114" s="4"/>
      <c r="H114" s="4"/>
      <c r="I114" s="5"/>
    </row>
    <row r="115" spans="6:9">
      <c r="F115" s="4"/>
      <c r="G115" s="4"/>
      <c r="H115" s="4"/>
      <c r="I115" s="5"/>
    </row>
    <row r="116" spans="6:9">
      <c r="F116" s="4"/>
      <c r="G116" s="4"/>
      <c r="H116" s="4"/>
      <c r="I116" s="5"/>
    </row>
    <row r="117" spans="6:9">
      <c r="F117" s="4"/>
      <c r="G117" s="4"/>
      <c r="H117" s="4"/>
      <c r="I117" s="5"/>
    </row>
    <row r="118" spans="6:9">
      <c r="F118" s="4"/>
      <c r="G118" s="4"/>
      <c r="H118" s="4"/>
      <c r="I118" s="5"/>
    </row>
    <row r="119" spans="6:9">
      <c r="F119" s="4"/>
      <c r="G119" s="4"/>
      <c r="H119" s="4"/>
      <c r="I119" s="5"/>
    </row>
    <row r="120" spans="6:9">
      <c r="F120" s="4"/>
      <c r="G120" s="4"/>
      <c r="H120" s="4"/>
      <c r="I120" s="5"/>
    </row>
    <row r="121" spans="6:9">
      <c r="F121" s="4"/>
      <c r="G121" s="4"/>
      <c r="H121" s="4"/>
      <c r="I121" s="5"/>
    </row>
    <row r="122" spans="6:9">
      <c r="F122" s="4"/>
      <c r="G122" s="4"/>
      <c r="H122" s="4"/>
      <c r="I122" s="5"/>
    </row>
    <row r="123" spans="6:9">
      <c r="F123" s="4"/>
      <c r="G123" s="4"/>
      <c r="H123" s="4"/>
      <c r="I123" s="5"/>
    </row>
    <row r="124" spans="6:9">
      <c r="F124" s="4"/>
      <c r="G124" s="4"/>
      <c r="H124" s="4"/>
      <c r="I124" s="5"/>
    </row>
    <row r="125" spans="6:9">
      <c r="F125" s="4"/>
      <c r="G125" s="4"/>
      <c r="H125" s="4"/>
      <c r="I125" s="5"/>
    </row>
    <row r="126" spans="6:9">
      <c r="F126" s="4"/>
      <c r="G126" s="4"/>
      <c r="H126" s="4"/>
      <c r="I126" s="5"/>
    </row>
    <row r="127" spans="6:9">
      <c r="F127" s="4"/>
      <c r="G127" s="4"/>
      <c r="H127" s="4"/>
      <c r="I127" s="5"/>
    </row>
    <row r="128" spans="6:9">
      <c r="F128" s="4"/>
      <c r="G128" s="4"/>
      <c r="H128" s="4"/>
      <c r="I128" s="5"/>
    </row>
    <row r="129" spans="6:9">
      <c r="F129" s="4"/>
      <c r="G129" s="4"/>
      <c r="H129" s="4"/>
      <c r="I129" s="5"/>
    </row>
    <row r="130" spans="6:9">
      <c r="F130" s="4"/>
      <c r="G130" s="4"/>
      <c r="H130" s="4"/>
      <c r="I130" s="5"/>
    </row>
    <row r="131" spans="6:9">
      <c r="F131" s="4"/>
      <c r="G131" s="4"/>
      <c r="H131" s="4"/>
      <c r="I131" s="5"/>
    </row>
    <row r="132" spans="6:9">
      <c r="F132" s="4"/>
      <c r="G132" s="4"/>
      <c r="H132" s="4"/>
      <c r="I132" s="5"/>
    </row>
    <row r="133" spans="6:9">
      <c r="F133" s="4"/>
      <c r="G133" s="4"/>
      <c r="H133" s="4"/>
      <c r="I133" s="5"/>
    </row>
    <row r="134" spans="6:9">
      <c r="F134" s="4"/>
      <c r="G134" s="4"/>
      <c r="H134" s="4"/>
      <c r="I134" s="5"/>
    </row>
    <row r="135" spans="6:9">
      <c r="F135" s="4"/>
      <c r="G135" s="4"/>
      <c r="H135" s="4"/>
      <c r="I135" s="5"/>
    </row>
    <row r="136" spans="6:9">
      <c r="F136" s="4"/>
      <c r="G136" s="4"/>
      <c r="H136" s="4"/>
      <c r="I136" s="5"/>
    </row>
    <row r="137" spans="6:9">
      <c r="F137" s="4"/>
      <c r="G137" s="4"/>
      <c r="H137" s="4"/>
      <c r="I137" s="5"/>
    </row>
    <row r="138" spans="6:9">
      <c r="F138" s="4"/>
      <c r="G138" s="4"/>
      <c r="H138" s="4"/>
      <c r="I138" s="5"/>
    </row>
    <row r="139" spans="6:9">
      <c r="F139" s="4"/>
      <c r="G139" s="4"/>
      <c r="H139" s="4"/>
      <c r="I139" s="5"/>
    </row>
    <row r="140" spans="6:9">
      <c r="F140" s="4"/>
      <c r="G140" s="4"/>
      <c r="H140" s="4"/>
      <c r="I140" s="5"/>
    </row>
    <row r="141" spans="6:9">
      <c r="F141" s="4"/>
      <c r="G141" s="4"/>
      <c r="H141" s="4"/>
      <c r="I141" s="5"/>
    </row>
    <row r="142" spans="6:9">
      <c r="F142" s="4"/>
      <c r="G142" s="4"/>
      <c r="H142" s="4"/>
      <c r="I142" s="5"/>
    </row>
    <row r="143" spans="6:9">
      <c r="F143" s="4"/>
      <c r="G143" s="4"/>
      <c r="H143" s="4"/>
      <c r="I143" s="5"/>
    </row>
    <row r="144" spans="6:9">
      <c r="F144" s="4"/>
      <c r="G144" s="4"/>
      <c r="H144" s="4"/>
      <c r="I144" s="5"/>
    </row>
    <row r="145" spans="6:9">
      <c r="F145" s="4"/>
      <c r="G145" s="4"/>
      <c r="H145" s="4"/>
      <c r="I145" s="5"/>
    </row>
    <row r="146" spans="6:9">
      <c r="F146" s="4"/>
      <c r="G146" s="4"/>
      <c r="H146" s="4"/>
      <c r="I146" s="5"/>
    </row>
    <row r="147" spans="6:9">
      <c r="F147" s="4"/>
      <c r="G147" s="4"/>
      <c r="H147" s="4"/>
      <c r="I147" s="5"/>
    </row>
    <row r="148" spans="6:9">
      <c r="F148" s="4"/>
      <c r="G148" s="4"/>
      <c r="H148" s="4"/>
      <c r="I148" s="5"/>
    </row>
    <row r="149" spans="6:9">
      <c r="F149" s="4"/>
      <c r="G149" s="4"/>
      <c r="H149" s="4"/>
      <c r="I149" s="5"/>
    </row>
    <row r="150" spans="6:9">
      <c r="F150" s="4"/>
      <c r="G150" s="4"/>
      <c r="H150" s="4"/>
      <c r="I150" s="5"/>
    </row>
    <row r="151" spans="6:9">
      <c r="F151" s="4"/>
      <c r="G151" s="4"/>
      <c r="H151" s="4"/>
      <c r="I151" s="5"/>
    </row>
    <row r="152" spans="6:9">
      <c r="F152" s="4"/>
      <c r="G152" s="4"/>
      <c r="H152" s="4"/>
      <c r="I152" s="5"/>
    </row>
    <row r="153" spans="6:9">
      <c r="F153" s="4"/>
      <c r="G153" s="4"/>
      <c r="H153" s="4"/>
      <c r="I153" s="5"/>
    </row>
    <row r="154" spans="6:9">
      <c r="F154" s="4"/>
      <c r="G154" s="4"/>
      <c r="H154" s="4"/>
      <c r="I154" s="5"/>
    </row>
    <row r="155" spans="6:9">
      <c r="F155" s="4"/>
      <c r="G155" s="4"/>
      <c r="H155" s="4"/>
      <c r="I155" s="5"/>
    </row>
    <row r="156" spans="6:9">
      <c r="F156" s="4"/>
      <c r="G156" s="4"/>
      <c r="H156" s="4"/>
      <c r="I156" s="5"/>
    </row>
    <row r="157" spans="6:9">
      <c r="F157" s="4"/>
      <c r="G157" s="4"/>
      <c r="H157" s="4"/>
      <c r="I157" s="5"/>
    </row>
    <row r="158" spans="6:9">
      <c r="F158" s="4"/>
      <c r="G158" s="4"/>
      <c r="H158" s="4"/>
      <c r="I158" s="5"/>
    </row>
    <row r="159" spans="6:9">
      <c r="F159" s="4"/>
      <c r="G159" s="4"/>
      <c r="H159" s="4"/>
      <c r="I159" s="5"/>
    </row>
    <row r="160" spans="6:9">
      <c r="F160" s="4"/>
      <c r="G160" s="4"/>
      <c r="H160" s="4"/>
      <c r="I160" s="5"/>
    </row>
    <row r="161" spans="6:9">
      <c r="F161" s="4"/>
      <c r="G161" s="4"/>
      <c r="H161" s="4"/>
      <c r="I161" s="5"/>
    </row>
    <row r="162" spans="6:9">
      <c r="F162" s="4"/>
      <c r="G162" s="4"/>
      <c r="H162" s="4"/>
      <c r="I162" s="5"/>
    </row>
    <row r="163" spans="6:9">
      <c r="F163" s="4"/>
      <c r="G163" s="4"/>
      <c r="H163" s="4"/>
      <c r="I163" s="5"/>
    </row>
    <row r="164" spans="6:9">
      <c r="F164" s="4"/>
      <c r="G164" s="4"/>
      <c r="H164" s="4"/>
      <c r="I164" s="5"/>
    </row>
    <row r="165" spans="6:9">
      <c r="F165" s="4"/>
      <c r="G165" s="4"/>
      <c r="H165" s="4"/>
      <c r="I165" s="5"/>
    </row>
    <row r="166" spans="6:9">
      <c r="F166" s="4"/>
      <c r="G166" s="4"/>
      <c r="H166" s="4"/>
      <c r="I166" s="5"/>
    </row>
    <row r="167" spans="6:9">
      <c r="F167" s="4"/>
      <c r="G167" s="4"/>
      <c r="H167" s="4"/>
      <c r="I167" s="5"/>
    </row>
    <row r="168" spans="6:9">
      <c r="F168" s="4"/>
      <c r="G168" s="4"/>
      <c r="H168" s="4"/>
      <c r="I168" s="5"/>
    </row>
    <row r="169" spans="6:9">
      <c r="F169" s="4"/>
      <c r="G169" s="4"/>
      <c r="H169" s="4"/>
      <c r="I169" s="5"/>
    </row>
    <row r="170" spans="6:9">
      <c r="F170" s="4"/>
      <c r="G170" s="4"/>
      <c r="H170" s="4"/>
      <c r="I170" s="5"/>
    </row>
    <row r="171" spans="6:9">
      <c r="F171" s="4"/>
      <c r="G171" s="4"/>
      <c r="H171" s="4"/>
      <c r="I171" s="5"/>
    </row>
    <row r="172" spans="6:9">
      <c r="F172" s="4"/>
      <c r="G172" s="4"/>
      <c r="H172" s="4"/>
      <c r="I172" s="5"/>
    </row>
    <row r="173" spans="6:9">
      <c r="F173" s="4"/>
      <c r="G173" s="4"/>
      <c r="H173" s="4"/>
      <c r="I173" s="5"/>
    </row>
    <row r="174" spans="6:9">
      <c r="F174" s="4"/>
      <c r="G174" s="4"/>
      <c r="H174" s="4"/>
      <c r="I174" s="5"/>
    </row>
    <row r="175" spans="6:9">
      <c r="F175" s="4"/>
      <c r="G175" s="4"/>
      <c r="H175" s="4"/>
      <c r="I175" s="5"/>
    </row>
    <row r="176" spans="6:9">
      <c r="F176" s="4"/>
      <c r="G176" s="4"/>
      <c r="H176" s="4"/>
      <c r="I176" s="5"/>
    </row>
    <row r="177" spans="6:9">
      <c r="F177" s="4"/>
      <c r="G177" s="4"/>
      <c r="H177" s="4"/>
      <c r="I177" s="5"/>
    </row>
    <row r="178" spans="6:9">
      <c r="F178" s="4"/>
      <c r="G178" s="4"/>
      <c r="H178" s="4"/>
      <c r="I178" s="5"/>
    </row>
    <row r="179" spans="6:9">
      <c r="F179" s="4"/>
      <c r="G179" s="4"/>
      <c r="H179" s="4"/>
      <c r="I179" s="5"/>
    </row>
    <row r="180" spans="6:9">
      <c r="F180" s="4"/>
      <c r="G180" s="4"/>
      <c r="H180" s="4"/>
      <c r="I180" s="5"/>
    </row>
    <row r="181" spans="6:9">
      <c r="F181" s="4"/>
      <c r="G181" s="4"/>
      <c r="H181" s="4"/>
      <c r="I181" s="5"/>
    </row>
    <row r="182" spans="6:9">
      <c r="F182" s="4"/>
      <c r="G182" s="4"/>
      <c r="H182" s="4"/>
      <c r="I182" s="5"/>
    </row>
    <row r="183" spans="6:9">
      <c r="F183" s="4"/>
      <c r="G183" s="4"/>
      <c r="H183" s="4"/>
      <c r="I183" s="5"/>
    </row>
    <row r="184" spans="6:9">
      <c r="F184" s="4"/>
      <c r="G184" s="4"/>
      <c r="H184" s="4"/>
      <c r="I184" s="5"/>
    </row>
    <row r="185" spans="6:9">
      <c r="F185" s="4"/>
      <c r="G185" s="4"/>
      <c r="H185" s="4"/>
      <c r="I185" s="5"/>
    </row>
    <row r="186" spans="6:9">
      <c r="F186" s="4"/>
      <c r="G186" s="4"/>
      <c r="H186" s="4"/>
      <c r="I186" s="5"/>
    </row>
    <row r="187" spans="6:9">
      <c r="F187" s="4"/>
      <c r="G187" s="4"/>
      <c r="H187" s="4"/>
      <c r="I187" s="5"/>
    </row>
    <row r="188" spans="6:9">
      <c r="F188" s="4"/>
      <c r="G188" s="4"/>
      <c r="H188" s="4"/>
      <c r="I188" s="5"/>
    </row>
    <row r="189" spans="6:9">
      <c r="F189" s="4"/>
      <c r="G189" s="4"/>
      <c r="H189" s="4"/>
      <c r="I189" s="5"/>
    </row>
    <row r="190" spans="6:9">
      <c r="F190" s="4"/>
      <c r="G190" s="4"/>
      <c r="H190" s="4"/>
      <c r="I190" s="5"/>
    </row>
    <row r="191" spans="6:9">
      <c r="F191" s="4"/>
      <c r="G191" s="4"/>
      <c r="H191" s="4"/>
      <c r="I191" s="5"/>
    </row>
    <row r="192" spans="6:9">
      <c r="F192" s="4"/>
      <c r="G192" s="4"/>
      <c r="H192" s="4"/>
      <c r="I192" s="5"/>
    </row>
    <row r="193" spans="6:9">
      <c r="F193" s="4"/>
      <c r="G193" s="4"/>
      <c r="H193" s="4"/>
      <c r="I193" s="5"/>
    </row>
    <row r="194" spans="6:9">
      <c r="F194" s="4"/>
      <c r="G194" s="4"/>
      <c r="H194" s="4"/>
      <c r="I194" s="5"/>
    </row>
    <row r="195" spans="6:9">
      <c r="F195" s="4"/>
      <c r="G195" s="4"/>
      <c r="H195" s="4"/>
      <c r="I195" s="5"/>
    </row>
    <row r="196" spans="6:9">
      <c r="F196" s="4"/>
      <c r="G196" s="4"/>
      <c r="H196" s="4"/>
      <c r="I196" s="5"/>
    </row>
    <row r="197" spans="6:9">
      <c r="F197" s="4"/>
      <c r="G197" s="4"/>
      <c r="H197" s="4"/>
      <c r="I197" s="5"/>
    </row>
    <row r="198" spans="6:9">
      <c r="F198" s="4"/>
      <c r="G198" s="4"/>
      <c r="H198" s="4"/>
      <c r="I198" s="5"/>
    </row>
    <row r="199" spans="6:9">
      <c r="F199" s="4"/>
      <c r="G199" s="4"/>
      <c r="H199" s="4"/>
      <c r="I199" s="5"/>
    </row>
    <row r="200" spans="6:9">
      <c r="F200" s="4"/>
      <c r="G200" s="4"/>
      <c r="H200" s="4"/>
      <c r="I200" s="5"/>
    </row>
    <row r="201" spans="6:9">
      <c r="F201" s="4"/>
      <c r="G201" s="4"/>
      <c r="H201" s="4"/>
      <c r="I201" s="5"/>
    </row>
    <row r="202" spans="6:9">
      <c r="F202" s="4"/>
      <c r="G202" s="4"/>
      <c r="H202" s="4"/>
      <c r="I202" s="5"/>
    </row>
    <row r="203" spans="6:9">
      <c r="F203" s="4"/>
      <c r="G203" s="4"/>
      <c r="H203" s="4"/>
      <c r="I203" s="5"/>
    </row>
    <row r="204" spans="6:9">
      <c r="F204" s="4"/>
      <c r="G204" s="4"/>
      <c r="H204" s="4"/>
      <c r="I204" s="5"/>
    </row>
    <row r="205" spans="6:9">
      <c r="F205" s="4"/>
      <c r="G205" s="4"/>
      <c r="H205" s="4"/>
      <c r="I205" s="5"/>
    </row>
    <row r="206" spans="6:9">
      <c r="F206" s="4"/>
      <c r="G206" s="4"/>
      <c r="H206" s="4"/>
      <c r="I206" s="5"/>
    </row>
    <row r="207" spans="6:9">
      <c r="F207" s="4"/>
      <c r="G207" s="4"/>
      <c r="H207" s="4"/>
      <c r="I207" s="5"/>
    </row>
    <row r="208" spans="6:9">
      <c r="F208" s="4"/>
      <c r="G208" s="4"/>
      <c r="H208" s="4"/>
      <c r="I208" s="5"/>
    </row>
    <row r="209" spans="6:9">
      <c r="F209" s="4"/>
      <c r="G209" s="4"/>
      <c r="H209" s="4"/>
      <c r="I209" s="5"/>
    </row>
    <row r="210" spans="6:9">
      <c r="F210" s="4"/>
      <c r="G210" s="4"/>
      <c r="H210" s="4"/>
      <c r="I210" s="5"/>
    </row>
    <row r="211" spans="6:9">
      <c r="F211" s="4"/>
      <c r="G211" s="4"/>
      <c r="H211" s="4"/>
      <c r="I211" s="5"/>
    </row>
    <row r="212" spans="6:9">
      <c r="F212" s="4"/>
      <c r="G212" s="4"/>
      <c r="H212" s="4"/>
      <c r="I212" s="5"/>
    </row>
    <row r="213" spans="6:9">
      <c r="F213" s="4"/>
      <c r="G213" s="4"/>
      <c r="H213" s="4"/>
      <c r="I213" s="5"/>
    </row>
    <row r="214" spans="6:9">
      <c r="F214" s="4"/>
      <c r="G214" s="4"/>
      <c r="H214" s="4"/>
      <c r="I214" s="5"/>
    </row>
    <row r="215" spans="6:9">
      <c r="F215" s="4"/>
      <c r="G215" s="4"/>
      <c r="H215" s="4"/>
      <c r="I215" s="5"/>
    </row>
    <row r="216" spans="6:9">
      <c r="F216" s="4"/>
      <c r="G216" s="4"/>
      <c r="H216" s="4"/>
      <c r="I216" s="5"/>
    </row>
    <row r="217" spans="6:9">
      <c r="F217" s="4"/>
      <c r="G217" s="4"/>
      <c r="H217" s="4"/>
      <c r="I217" s="5"/>
    </row>
    <row r="218" spans="6:9">
      <c r="F218" s="4"/>
      <c r="G218" s="4"/>
      <c r="H218" s="4"/>
      <c r="I218" s="5"/>
    </row>
    <row r="219" spans="6:9">
      <c r="F219" s="4"/>
      <c r="G219" s="4"/>
      <c r="H219" s="4"/>
      <c r="I219" s="5"/>
    </row>
    <row r="220" spans="6:9">
      <c r="F220" s="4"/>
      <c r="G220" s="4"/>
      <c r="H220" s="4"/>
      <c r="I220" s="5"/>
    </row>
    <row r="221" spans="6:9">
      <c r="F221" s="4"/>
      <c r="G221" s="4"/>
      <c r="H221" s="4"/>
      <c r="I221" s="5"/>
    </row>
    <row r="222" spans="6:9">
      <c r="F222" s="4"/>
      <c r="G222" s="4"/>
      <c r="H222" s="4"/>
      <c r="I222" s="5"/>
    </row>
    <row r="223" spans="6:9">
      <c r="F223" s="4"/>
      <c r="G223" s="4"/>
      <c r="H223" s="4"/>
      <c r="I223" s="5"/>
    </row>
    <row r="224" spans="6:9">
      <c r="F224" s="4"/>
      <c r="G224" s="4"/>
      <c r="H224" s="4"/>
      <c r="I224" s="5"/>
    </row>
    <row r="225" spans="6:9">
      <c r="F225" s="4"/>
      <c r="G225" s="4"/>
      <c r="H225" s="4"/>
      <c r="I225" s="5"/>
    </row>
    <row r="226" spans="6:9">
      <c r="F226" s="4"/>
      <c r="G226" s="4"/>
      <c r="H226" s="4"/>
      <c r="I226" s="5"/>
    </row>
    <row r="227" spans="6:9">
      <c r="F227" s="4"/>
      <c r="G227" s="4"/>
      <c r="H227" s="4"/>
      <c r="I227" s="5"/>
    </row>
    <row r="228" spans="6:9">
      <c r="F228" s="4"/>
      <c r="G228" s="4"/>
      <c r="H228" s="4"/>
      <c r="I228" s="5"/>
    </row>
    <row r="229" spans="6:9">
      <c r="F229" s="4"/>
      <c r="G229" s="4"/>
      <c r="H229" s="4"/>
      <c r="I229" s="5"/>
    </row>
    <row r="230" spans="6:9">
      <c r="F230" s="4"/>
      <c r="G230" s="4"/>
      <c r="H230" s="4"/>
      <c r="I230" s="5"/>
    </row>
    <row r="231" spans="6:9">
      <c r="F231" s="4"/>
      <c r="G231" s="4"/>
      <c r="H231" s="4"/>
      <c r="I231" s="5"/>
    </row>
    <row r="232" spans="6:9">
      <c r="F232" s="4"/>
      <c r="G232" s="4"/>
      <c r="H232" s="4"/>
      <c r="I232" s="5"/>
    </row>
    <row r="233" spans="6:9">
      <c r="F233" s="4"/>
      <c r="G233" s="4"/>
      <c r="H233" s="4"/>
      <c r="I233" s="5"/>
    </row>
    <row r="234" spans="6:9">
      <c r="F234" s="4"/>
      <c r="G234" s="4"/>
      <c r="H234" s="4"/>
      <c r="I234" s="5"/>
    </row>
    <row r="235" spans="6:9">
      <c r="F235" s="4"/>
      <c r="G235" s="4"/>
      <c r="H235" s="4"/>
      <c r="I235" s="5"/>
    </row>
    <row r="236" spans="6:9">
      <c r="F236" s="4"/>
      <c r="G236" s="4"/>
      <c r="H236" s="4"/>
      <c r="I236" s="5"/>
    </row>
    <row r="237" spans="6:9">
      <c r="F237" s="4"/>
      <c r="G237" s="4"/>
      <c r="H237" s="4"/>
      <c r="I237" s="5"/>
    </row>
    <row r="238" spans="6:9">
      <c r="F238" s="4"/>
      <c r="G238" s="4"/>
      <c r="H238" s="4"/>
      <c r="I238" s="5"/>
    </row>
    <row r="239" spans="6:9">
      <c r="F239" s="4"/>
      <c r="G239" s="4"/>
      <c r="H239" s="4"/>
      <c r="I239" s="5"/>
    </row>
    <row r="240" spans="6:9">
      <c r="F240" s="4"/>
      <c r="G240" s="4"/>
      <c r="H240" s="4"/>
      <c r="I240" s="5"/>
    </row>
    <row r="241" spans="6:9">
      <c r="F241" s="4"/>
      <c r="G241" s="4"/>
      <c r="H241" s="4"/>
      <c r="I241" s="5"/>
    </row>
    <row r="242" spans="6:9">
      <c r="F242" s="4"/>
      <c r="G242" s="4"/>
      <c r="H242" s="4"/>
      <c r="I242" s="5"/>
    </row>
    <row r="243" spans="6:9">
      <c r="F243" s="4"/>
      <c r="G243" s="4"/>
      <c r="H243" s="4"/>
      <c r="I243" s="5"/>
    </row>
    <row r="244" spans="6:9">
      <c r="F244" s="4"/>
      <c r="G244" s="4"/>
      <c r="H244" s="4"/>
      <c r="I244" s="5"/>
    </row>
    <row r="245" spans="6:9">
      <c r="F245" s="4"/>
      <c r="G245" s="4"/>
      <c r="H245" s="4"/>
      <c r="I245" s="5"/>
    </row>
    <row r="246" spans="6:9">
      <c r="F246" s="4"/>
      <c r="G246" s="4"/>
      <c r="H246" s="4"/>
      <c r="I246" s="5"/>
    </row>
    <row r="247" spans="6:9">
      <c r="F247" s="4"/>
      <c r="G247" s="4"/>
      <c r="H247" s="4"/>
      <c r="I247" s="5"/>
    </row>
    <row r="248" spans="6:9">
      <c r="F248" s="4"/>
      <c r="G248" s="4"/>
      <c r="H248" s="4"/>
      <c r="I248" s="5"/>
    </row>
    <row r="249" spans="6:9">
      <c r="F249" s="4"/>
      <c r="G249" s="4"/>
      <c r="H249" s="4"/>
      <c r="I249" s="5"/>
    </row>
    <row r="250" spans="6:9">
      <c r="F250" s="4"/>
      <c r="G250" s="4"/>
      <c r="H250" s="4"/>
      <c r="I250" s="5"/>
    </row>
    <row r="251" spans="6:9">
      <c r="F251" s="4"/>
      <c r="G251" s="4"/>
      <c r="H251" s="4"/>
      <c r="I251" s="5"/>
    </row>
    <row r="252" spans="6:9">
      <c r="F252" s="4"/>
      <c r="G252" s="4"/>
      <c r="H252" s="4"/>
      <c r="I252" s="5"/>
    </row>
    <row r="253" spans="6:9">
      <c r="F253" s="4"/>
      <c r="G253" s="4"/>
      <c r="H253" s="4"/>
      <c r="I253" s="5"/>
    </row>
    <row r="254" spans="6:9">
      <c r="F254" s="4"/>
      <c r="G254" s="4"/>
      <c r="H254" s="4"/>
      <c r="I254" s="5"/>
    </row>
    <row r="255" spans="6:9">
      <c r="F255" s="4"/>
      <c r="G255" s="4"/>
      <c r="H255" s="4"/>
      <c r="I255" s="5"/>
    </row>
    <row r="256" spans="6:9">
      <c r="F256" s="4"/>
      <c r="G256" s="4"/>
      <c r="H256" s="4"/>
      <c r="I256" s="5"/>
    </row>
    <row r="257" spans="6:9">
      <c r="F257" s="4"/>
      <c r="G257" s="4"/>
      <c r="H257" s="4"/>
      <c r="I257" s="5"/>
    </row>
    <row r="258" spans="6:9">
      <c r="F258" s="4"/>
      <c r="G258" s="4"/>
      <c r="H258" s="4"/>
      <c r="I258" s="5"/>
    </row>
    <row r="259" spans="6:9">
      <c r="F259" s="4"/>
      <c r="G259" s="4"/>
      <c r="H259" s="4"/>
      <c r="I259" s="5"/>
    </row>
    <row r="260" spans="6:9">
      <c r="F260" s="4"/>
      <c r="G260" s="4"/>
      <c r="H260" s="4"/>
      <c r="I260" s="5"/>
    </row>
    <row r="261" spans="6:9">
      <c r="F261" s="4"/>
      <c r="G261" s="4"/>
      <c r="H261" s="4"/>
      <c r="I261" s="5"/>
    </row>
    <row r="262" spans="6:9">
      <c r="F262" s="4"/>
      <c r="G262" s="4"/>
      <c r="H262" s="4"/>
      <c r="I262" s="5"/>
    </row>
    <row r="263" spans="6:9">
      <c r="F263" s="4"/>
      <c r="G263" s="4"/>
      <c r="H263" s="4"/>
      <c r="I263" s="5"/>
    </row>
    <row r="264" spans="6:9">
      <c r="F264" s="4"/>
      <c r="G264" s="4"/>
      <c r="H264" s="4"/>
      <c r="I264" s="5"/>
    </row>
    <row r="265" spans="6:9">
      <c r="F265" s="4"/>
      <c r="G265" s="4"/>
      <c r="H265" s="4"/>
      <c r="I265" s="5"/>
    </row>
    <row r="266" spans="6:9">
      <c r="F266" s="4"/>
      <c r="G266" s="4"/>
      <c r="H266" s="4"/>
      <c r="I266" s="5"/>
    </row>
    <row r="267" spans="6:9">
      <c r="F267" s="4"/>
      <c r="G267" s="4"/>
      <c r="H267" s="4"/>
      <c r="I267" s="5"/>
    </row>
    <row r="268" spans="6:9">
      <c r="F268" s="4"/>
      <c r="G268" s="4"/>
      <c r="H268" s="4"/>
      <c r="I268" s="5"/>
    </row>
    <row r="269" spans="6:9">
      <c r="F269" s="4"/>
      <c r="G269" s="4"/>
      <c r="H269" s="4"/>
      <c r="I269" s="5"/>
    </row>
    <row r="270" spans="6:9">
      <c r="F270" s="4"/>
      <c r="G270" s="4"/>
      <c r="H270" s="4"/>
      <c r="I270" s="5"/>
    </row>
    <row r="271" spans="6:9">
      <c r="F271" s="4"/>
      <c r="G271" s="4"/>
      <c r="H271" s="4"/>
      <c r="I271" s="5"/>
    </row>
    <row r="272" spans="6:9">
      <c r="F272" s="4"/>
      <c r="G272" s="4"/>
      <c r="H272" s="4"/>
      <c r="I272" s="5"/>
    </row>
    <row r="273" spans="6:9">
      <c r="F273" s="4"/>
      <c r="G273" s="4"/>
      <c r="H273" s="4"/>
      <c r="I273" s="5"/>
    </row>
    <row r="274" spans="6:9">
      <c r="F274" s="4"/>
      <c r="G274" s="4"/>
      <c r="H274" s="4"/>
      <c r="I274" s="5"/>
    </row>
    <row r="275" spans="6:9">
      <c r="F275" s="4"/>
      <c r="G275" s="4"/>
      <c r="H275" s="4"/>
      <c r="I275" s="5"/>
    </row>
    <row r="276" spans="6:9">
      <c r="F276" s="4"/>
      <c r="G276" s="4"/>
      <c r="H276" s="4"/>
      <c r="I276" s="5"/>
    </row>
    <row r="277" spans="6:9">
      <c r="F277" s="4"/>
      <c r="G277" s="4"/>
      <c r="H277" s="4"/>
      <c r="I277" s="5"/>
    </row>
    <row r="278" spans="6:9">
      <c r="F278" s="4"/>
      <c r="G278" s="4"/>
      <c r="H278" s="4"/>
      <c r="I278" s="5"/>
    </row>
    <row r="279" spans="6:9">
      <c r="F279" s="4"/>
      <c r="G279" s="4"/>
      <c r="H279" s="4"/>
      <c r="I279" s="5"/>
    </row>
    <row r="280" spans="6:9">
      <c r="F280" s="4"/>
      <c r="G280" s="4"/>
      <c r="H280" s="4"/>
      <c r="I280" s="5"/>
    </row>
    <row r="281" spans="6:9">
      <c r="F281" s="4"/>
      <c r="G281" s="4"/>
      <c r="H281" s="4"/>
      <c r="I281" s="5"/>
    </row>
    <row r="282" spans="6:9">
      <c r="F282" s="4"/>
      <c r="G282" s="4"/>
      <c r="H282" s="4"/>
      <c r="I282" s="5"/>
    </row>
    <row r="283" spans="6:9">
      <c r="F283" s="4"/>
      <c r="G283" s="4"/>
      <c r="H283" s="4"/>
      <c r="I283" s="5"/>
    </row>
    <row r="284" spans="6:9">
      <c r="F284" s="4"/>
      <c r="G284" s="4"/>
      <c r="H284" s="4"/>
      <c r="I284" s="5"/>
    </row>
    <row r="285" spans="6:9">
      <c r="F285" s="4"/>
      <c r="G285" s="4"/>
      <c r="H285" s="4"/>
      <c r="I285" s="5"/>
    </row>
    <row r="286" spans="6:9">
      <c r="F286" s="4"/>
      <c r="G286" s="4"/>
      <c r="H286" s="4"/>
      <c r="I286" s="5"/>
    </row>
    <row r="287" spans="6:9">
      <c r="F287" s="4"/>
      <c r="G287" s="4"/>
      <c r="H287" s="4"/>
      <c r="I287" s="5"/>
    </row>
    <row r="288" spans="6:9">
      <c r="F288" s="4"/>
      <c r="G288" s="4"/>
      <c r="H288" s="4"/>
      <c r="I288" s="5"/>
    </row>
    <row r="289" spans="6:9">
      <c r="F289" s="4"/>
      <c r="G289" s="4"/>
      <c r="H289" s="4"/>
      <c r="I289" s="5"/>
    </row>
    <row r="290" spans="6:9">
      <c r="F290" s="4"/>
      <c r="G290" s="4"/>
      <c r="H290" s="4"/>
      <c r="I290" s="5"/>
    </row>
    <row r="291" spans="6:9">
      <c r="F291" s="4"/>
      <c r="G291" s="4"/>
      <c r="H291" s="4"/>
      <c r="I291" s="5"/>
    </row>
    <row r="292" spans="6:9">
      <c r="F292" s="4"/>
      <c r="G292" s="4"/>
      <c r="H292" s="4"/>
      <c r="I292" s="5"/>
    </row>
    <row r="293" spans="6:9">
      <c r="F293" s="4"/>
      <c r="G293" s="4"/>
      <c r="H293" s="4"/>
      <c r="I293" s="5"/>
    </row>
    <row r="294" spans="6:9">
      <c r="F294" s="4"/>
      <c r="G294" s="4"/>
      <c r="H294" s="4"/>
      <c r="I294" s="5"/>
    </row>
    <row r="295" spans="6:9">
      <c r="F295" s="4"/>
      <c r="G295" s="4"/>
      <c r="H295" s="4"/>
      <c r="I295" s="5"/>
    </row>
    <row r="296" spans="6:9">
      <c r="F296" s="4"/>
      <c r="G296" s="4"/>
      <c r="H296" s="4"/>
      <c r="I296" s="5"/>
    </row>
    <row r="297" spans="6:9">
      <c r="F297" s="4"/>
      <c r="G297" s="4"/>
      <c r="H297" s="4"/>
      <c r="I297" s="5"/>
    </row>
    <row r="298" spans="6:9">
      <c r="F298" s="4"/>
      <c r="G298" s="4"/>
      <c r="H298" s="4"/>
      <c r="I298" s="5"/>
    </row>
    <row r="299" spans="6:9">
      <c r="F299" s="4"/>
      <c r="G299" s="4"/>
      <c r="H299" s="4"/>
      <c r="I299" s="5"/>
    </row>
    <row r="300" spans="6:9">
      <c r="F300" s="4"/>
      <c r="G300" s="4"/>
      <c r="H300" s="4"/>
      <c r="I300" s="5"/>
    </row>
    <row r="301" spans="6:9">
      <c r="F301" s="4"/>
      <c r="G301" s="4"/>
      <c r="H301" s="4"/>
      <c r="I301" s="5"/>
    </row>
  </sheetData>
  <autoFilter ref="A3:Y3" xr:uid="{87333C2C-343B-4C35-801D-1824DF6F6E7F}"/>
  <dataConsolidate/>
  <dataValidations count="1">
    <dataValidation type="list" allowBlank="1" showInputMessage="1" showErrorMessage="1" sqref="S4:S1048576" xr:uid="{D0BF8F87-9734-4318-BFEB-D200F999F6B2}">
      <formula1>INDIRECT(SUBSTITUTE(SUBSTITUTE(R4," ","_"),"&amp;",""))</formula1>
    </dataValidation>
  </dataValidations>
  <pageMargins left="0.7" right="0.7" top="0.75" bottom="0.75" header="0.3" footer="0.3"/>
  <pageSetup orientation="portrait"/>
  <headerFooter alignWithMargins="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F498139-18A6-4C78-954E-CE3C1D623D3F}">
          <x14:formula1>
            <xm:f>Lists!$A$2</xm:f>
          </x14:formula1>
          <xm:sqref>L5:L1048576</xm:sqref>
        </x14:dataValidation>
        <x14:dataValidation type="list" allowBlank="1" showInputMessage="1" showErrorMessage="1" xr:uid="{8D9D2DC1-BCFF-4652-AB77-FEC4F16DADE4}">
          <x14:formula1>
            <xm:f>Lists!$AD$2:$AD$17</xm:f>
          </x14:formula1>
          <xm:sqref>Q4:Q1048576</xm:sqref>
        </x14:dataValidation>
        <x14:dataValidation type="list" allowBlank="1" showInputMessage="1" showErrorMessage="1" xr:uid="{60FCD817-6296-46F7-9035-D54A8CC2EE92}">
          <x14:formula1>
            <xm:f>Lists!$AE$21:$AE$37</xm:f>
          </x14:formula1>
          <xm:sqref>R4:R1048576</xm:sqref>
        </x14:dataValidation>
        <x14:dataValidation type="list" allowBlank="1" showInputMessage="1" showErrorMessage="1" xr:uid="{5FB45A57-09F6-4C0F-9C17-301578A81632}">
          <x14:formula1>
            <xm:f>Lists!$A$24:$A$38</xm:f>
          </x14:formula1>
          <xm:sqref>N4:N1048576</xm:sqref>
        </x14:dataValidation>
        <x14:dataValidation type="list" allowBlank="1" showInputMessage="1" showErrorMessage="1" xr:uid="{EE11521D-B420-415E-BA30-973D223EEA42}">
          <x14:formula1>
            <xm:f>Lists!$A$2:$A$18</xm:f>
          </x14:formula1>
          <xm:sqref>Z1</xm:sqref>
        </x14:dataValidation>
        <x14:dataValidation type="list" allowBlank="1" showInputMessage="1" showErrorMessage="1" xr:uid="{13BCE31C-47F0-42C8-9911-9C3576F29937}">
          <x14:formula1>
            <xm:f>Lists!A$2:A$18</xm:f>
          </x14:formula1>
          <xm:sqref>L4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0663-0A08-4226-BF9D-B319412D7E7D}">
  <sheetPr codeName="Sheet1">
    <tabColor theme="7" tint="0.59999389629810485"/>
    <pageSetUpPr fitToPage="1"/>
  </sheetPr>
  <dimension ref="B1:J65"/>
  <sheetViews>
    <sheetView showGridLines="0" view="pageBreakPreview" topLeftCell="A13" zoomScaleNormal="100" zoomScaleSheetLayoutView="100" workbookViewId="0">
      <selection activeCell="H59" sqref="H59"/>
    </sheetView>
  </sheetViews>
  <sheetFormatPr defaultColWidth="8.625" defaultRowHeight="14.25"/>
  <cols>
    <col min="1" max="1" width="5" style="14" customWidth="1"/>
    <col min="2" max="2" width="2.375" style="14" customWidth="1"/>
    <col min="3" max="9" width="18.875" style="14" customWidth="1"/>
    <col min="10" max="10" width="2.375" style="14" customWidth="1"/>
    <col min="11" max="11" width="5" style="14" customWidth="1"/>
    <col min="12" max="16384" width="8.625" style="14"/>
  </cols>
  <sheetData>
    <row r="1" spans="2:10" ht="15" thickBot="1"/>
    <row r="2" spans="2:10">
      <c r="B2" s="15"/>
      <c r="C2" s="16"/>
      <c r="D2" s="16"/>
      <c r="E2" s="16"/>
      <c r="F2" s="16"/>
      <c r="G2" s="16"/>
      <c r="H2" s="16"/>
      <c r="I2" s="16"/>
      <c r="J2" s="17"/>
    </row>
    <row r="3" spans="2:10" ht="18">
      <c r="B3" s="18"/>
      <c r="C3" s="211" t="s">
        <v>226</v>
      </c>
      <c r="D3" s="211"/>
      <c r="E3" s="211"/>
      <c r="F3" s="211"/>
      <c r="G3" s="211"/>
      <c r="H3" s="211"/>
      <c r="I3" s="211"/>
      <c r="J3" s="19"/>
    </row>
    <row r="4" spans="2:10">
      <c r="B4" s="18"/>
      <c r="C4" s="20"/>
      <c r="D4" s="20"/>
      <c r="E4" s="20"/>
      <c r="F4" s="20"/>
      <c r="G4" s="20"/>
      <c r="H4" s="20"/>
      <c r="I4" s="20"/>
      <c r="J4" s="19"/>
    </row>
    <row r="5" spans="2:10">
      <c r="B5" s="18"/>
      <c r="C5" s="21" t="s">
        <v>42</v>
      </c>
      <c r="D5" s="205"/>
      <c r="E5" s="205"/>
      <c r="F5" s="20"/>
      <c r="G5" s="202" t="s">
        <v>154</v>
      </c>
      <c r="H5" s="202" t="str">
        <f>+IF(OR(ISBLANK($D$5),ISBLANK($D$6),ISBLANK($D$7),ISBLANK($D$8),ISBLANK($D$15),ISBLANK($D$16),ISBLANK($H$15),ISBLANK($H$16),ISBLANK($H$17),ISBLANK($D$22),ISBLANK($H$22),ISBLANK($C$28),ISBLANK($D$28),ISBLANK($D$37),ISBLANK($D$38),ISBLANK($D$39),ISBLANK($D$40),ISBLANK($D$41),ISBLANK($D$47),ISBLANK($D$48),ISBLANK($D$49),ISBLANK($D$50),ISBLANK($D$53),ISBLANK($D$61),ISBLANK($D$62),ISBLANK($D$61),ISBLANK($H$61),ISBLANK('Rate Monitoring'!$H$14),ISBLANK('Rate Monitoring'!$H$15),ISBLANK('Rate Monitoring'!$H$16)),"Completar Información",IF(OR($I$17="Aceptación Especial",$E$55="Aceptación Especial",$E$61="Aceptación Especial",$E$63="Aceptación Especial",$I$62="Aceptación Especial",$E$62="Aceptación Especial",$I$63="Aceptación Especial"),"Referir","Liberar Cotización"))</f>
        <v>Completar Información</v>
      </c>
      <c r="I5" s="202"/>
      <c r="J5" s="19"/>
    </row>
    <row r="6" spans="2:10">
      <c r="B6" s="18"/>
      <c r="C6" s="21" t="s">
        <v>233</v>
      </c>
      <c r="D6" s="206"/>
      <c r="E6" s="207"/>
      <c r="F6" s="20"/>
      <c r="G6" s="202"/>
      <c r="H6" s="202"/>
      <c r="I6" s="202"/>
      <c r="J6" s="19"/>
    </row>
    <row r="7" spans="2:10">
      <c r="B7" s="18"/>
      <c r="C7" s="21" t="s">
        <v>284</v>
      </c>
      <c r="D7" s="208"/>
      <c r="E7" s="208"/>
      <c r="F7" s="20"/>
      <c r="G7" s="202"/>
      <c r="H7" s="202"/>
      <c r="I7" s="202"/>
      <c r="J7" s="19"/>
    </row>
    <row r="8" spans="2:10">
      <c r="B8" s="18"/>
      <c r="C8" s="21" t="s">
        <v>285</v>
      </c>
      <c r="D8" s="208"/>
      <c r="E8" s="208"/>
      <c r="F8" s="52">
        <f>+D8-D7</f>
        <v>0</v>
      </c>
      <c r="G8" s="202"/>
      <c r="H8" s="202"/>
      <c r="I8" s="202"/>
      <c r="J8" s="19"/>
    </row>
    <row r="9" spans="2:10">
      <c r="B9" s="18"/>
      <c r="C9" s="21" t="s">
        <v>43</v>
      </c>
      <c r="D9" s="212" t="s">
        <v>215</v>
      </c>
      <c r="E9" s="212"/>
      <c r="F9" s="20"/>
      <c r="G9" s="202"/>
      <c r="H9" s="202"/>
      <c r="I9" s="202"/>
      <c r="J9" s="19"/>
    </row>
    <row r="10" spans="2:10">
      <c r="B10" s="18"/>
      <c r="C10" s="21" t="s">
        <v>44</v>
      </c>
      <c r="D10" s="203" t="s">
        <v>16</v>
      </c>
      <c r="E10" s="203"/>
      <c r="F10" s="20"/>
      <c r="G10" s="202"/>
      <c r="H10" s="202"/>
      <c r="I10" s="202"/>
      <c r="J10" s="19"/>
    </row>
    <row r="11" spans="2:10">
      <c r="B11" s="18"/>
      <c r="C11" s="20"/>
      <c r="D11" s="20"/>
      <c r="E11" s="20"/>
      <c r="F11" s="20"/>
      <c r="G11" s="20"/>
      <c r="H11" s="20"/>
      <c r="I11" s="20"/>
      <c r="J11" s="19"/>
    </row>
    <row r="12" spans="2:10">
      <c r="B12" s="18"/>
      <c r="C12" s="22"/>
      <c r="D12" s="22"/>
      <c r="E12" s="22"/>
      <c r="F12" s="22"/>
      <c r="G12" s="22"/>
      <c r="H12" s="22"/>
      <c r="I12" s="22"/>
      <c r="J12" s="19"/>
    </row>
    <row r="13" spans="2:10" ht="15">
      <c r="B13" s="18"/>
      <c r="C13" s="201" t="s">
        <v>176</v>
      </c>
      <c r="D13" s="201"/>
      <c r="E13" s="201"/>
      <c r="F13" s="201"/>
      <c r="G13" s="201"/>
      <c r="H13" s="201"/>
      <c r="I13" s="201"/>
      <c r="J13" s="19"/>
    </row>
    <row r="14" spans="2:10" ht="7.5" customHeight="1">
      <c r="B14" s="18"/>
      <c r="C14" s="135"/>
      <c r="D14" s="135"/>
      <c r="E14" s="135"/>
      <c r="F14" s="135"/>
      <c r="G14" s="135"/>
      <c r="H14" s="135"/>
      <c r="I14" s="135"/>
      <c r="J14" s="19"/>
    </row>
    <row r="15" spans="2:10">
      <c r="B15" s="18"/>
      <c r="C15" s="23" t="s">
        <v>121</v>
      </c>
      <c r="D15" s="205"/>
      <c r="E15" s="205"/>
      <c r="F15" s="20"/>
      <c r="G15" s="23" t="s">
        <v>47</v>
      </c>
      <c r="H15" s="134"/>
      <c r="I15" s="41" t="str">
        <f>+IFERROR(VLOOKUP($H$15,Lists!$E$2:$F$5,2,FALSE),"")</f>
        <v/>
      </c>
      <c r="J15" s="19"/>
    </row>
    <row r="16" spans="2:10">
      <c r="B16" s="18"/>
      <c r="C16" s="23" t="s">
        <v>122</v>
      </c>
      <c r="D16" s="205"/>
      <c r="E16" s="205"/>
      <c r="F16" s="52" t="e">
        <f>+CONCATENATE(VLOOKUP($D$16,Lists!$I$2:$N$51,6,FALSE),"_",SUBSTITUTE(IF(VLOOKUP($D$16,Lists!$I$2:$N$51,6,FALSE)="Bajo","Grupo A",IF(VLOOKUP($D$16,Lists!$I$2:$N$51,6,FALSE)="Medio",VLOOKUP($D$9,Lists!$AI$3:$AJ$9,2,FALSE),IF(VLOOKUP($D$16,Lists!$I$2:$N$51,6,FALSE)="Alto",VLOOKUP($D$9,Lists!$AI$10:$AJ$16,2,FALSE),IF(VLOOKUP($D$16,Lists!$I$2:$N$51,6,FALSE)="Severo","Grupo A"))))," ","_"))</f>
        <v>#N/A</v>
      </c>
      <c r="G16" s="23" t="s">
        <v>125</v>
      </c>
      <c r="H16" s="134"/>
      <c r="I16" s="41" t="str">
        <f>+IFERROR(VLOOKUP($H$16,Lists!$E$9:$F$12,2,FALSE),"")</f>
        <v/>
      </c>
      <c r="J16" s="19"/>
    </row>
    <row r="17" spans="2:10">
      <c r="B17" s="18"/>
      <c r="C17" s="23" t="s">
        <v>45</v>
      </c>
      <c r="D17" s="203" t="str">
        <f>+IFERROR(VLOOKUP($D$16,Lists!$I$2:$J$51,2,FALSE),"")</f>
        <v/>
      </c>
      <c r="E17" s="203"/>
      <c r="F17" s="20"/>
      <c r="G17" s="23" t="s">
        <v>48</v>
      </c>
      <c r="H17" s="134"/>
      <c r="I17" s="41" t="str">
        <f>+IFERROR(VLOOKUP($H$17,Lists!$E$16:$F$23,2,FALSE),"")</f>
        <v/>
      </c>
      <c r="J17" s="19"/>
    </row>
    <row r="18" spans="2:10">
      <c r="B18" s="18"/>
      <c r="C18" s="20"/>
      <c r="D18" s="20"/>
      <c r="E18" s="20"/>
      <c r="F18" s="20"/>
      <c r="G18" s="20"/>
      <c r="H18" s="20"/>
      <c r="I18" s="20"/>
      <c r="J18" s="19"/>
    </row>
    <row r="19" spans="2:10">
      <c r="B19" s="18"/>
      <c r="C19" s="22"/>
      <c r="D19" s="22"/>
      <c r="E19" s="22"/>
      <c r="F19" s="22"/>
      <c r="G19" s="22"/>
      <c r="H19" s="22"/>
      <c r="I19" s="22"/>
      <c r="J19" s="19"/>
    </row>
    <row r="20" spans="2:10" ht="15">
      <c r="B20" s="18"/>
      <c r="C20" s="204" t="s">
        <v>510</v>
      </c>
      <c r="D20" s="204"/>
      <c r="E20" s="204"/>
      <c r="F20" s="204"/>
      <c r="G20" s="204"/>
      <c r="H20" s="204"/>
      <c r="I20" s="204"/>
      <c r="J20" s="19"/>
    </row>
    <row r="21" spans="2:10" ht="7.5" customHeight="1">
      <c r="B21" s="18"/>
      <c r="C21" s="136"/>
      <c r="D21" s="136"/>
      <c r="E21" s="136"/>
      <c r="F21" s="136"/>
      <c r="G21" s="136"/>
      <c r="H21" s="136"/>
      <c r="I21" s="136"/>
      <c r="J21" s="19"/>
    </row>
    <row r="22" spans="2:10">
      <c r="B22" s="18"/>
      <c r="C22" s="24" t="s">
        <v>135</v>
      </c>
      <c r="D22" s="38"/>
      <c r="E22" s="42" t="str">
        <f>+IFERROR(VLOOKUP(D22,Lists!$E$27:$F$31,2,FALSE),"")</f>
        <v/>
      </c>
      <c r="F22" s="20"/>
      <c r="G22" s="21" t="s">
        <v>136</v>
      </c>
      <c r="H22" s="38"/>
      <c r="I22" s="42" t="str">
        <f>+IFERROR(VLOOKUP($H$22,Lists!$E$45:$F$48,2,FALSE),"")</f>
        <v/>
      </c>
      <c r="J22" s="19"/>
    </row>
    <row r="23" spans="2:10">
      <c r="B23" s="18"/>
      <c r="C23" s="25"/>
      <c r="D23" s="20"/>
      <c r="E23" s="20"/>
      <c r="F23" s="20"/>
      <c r="G23" s="20"/>
      <c r="H23" s="20"/>
      <c r="I23" s="20"/>
      <c r="J23" s="19"/>
    </row>
    <row r="24" spans="2:10">
      <c r="B24" s="18"/>
      <c r="C24" s="22"/>
      <c r="D24" s="22"/>
      <c r="E24" s="22"/>
      <c r="F24" s="22"/>
      <c r="G24" s="22"/>
      <c r="H24" s="22"/>
      <c r="I24" s="22"/>
      <c r="J24" s="19"/>
    </row>
    <row r="25" spans="2:10" ht="15">
      <c r="B25" s="18"/>
      <c r="C25" s="204" t="s">
        <v>137</v>
      </c>
      <c r="D25" s="204"/>
      <c r="E25" s="204"/>
      <c r="F25" s="204"/>
      <c r="G25" s="204"/>
      <c r="H25" s="204"/>
      <c r="I25" s="204"/>
      <c r="J25" s="19"/>
    </row>
    <row r="26" spans="2:10" ht="7.5" customHeight="1">
      <c r="B26" s="18"/>
      <c r="C26" s="136"/>
      <c r="D26" s="136"/>
      <c r="E26" s="136"/>
      <c r="F26" s="136"/>
      <c r="G26" s="136"/>
      <c r="H26" s="136"/>
      <c r="I26" s="136"/>
      <c r="J26" s="19"/>
    </row>
    <row r="27" spans="2:10">
      <c r="B27" s="18"/>
      <c r="C27" s="21" t="s">
        <v>145</v>
      </c>
      <c r="D27" s="21" t="s">
        <v>178</v>
      </c>
      <c r="E27" s="21" t="s">
        <v>146</v>
      </c>
      <c r="F27" s="21" t="s">
        <v>147</v>
      </c>
      <c r="G27" s="21" t="s">
        <v>155</v>
      </c>
      <c r="H27" s="21" t="s">
        <v>477</v>
      </c>
      <c r="I27" s="20"/>
      <c r="J27" s="19"/>
    </row>
    <row r="28" spans="2:10">
      <c r="B28" s="18"/>
      <c r="C28" s="38"/>
      <c r="D28" s="38"/>
      <c r="E28" s="44" t="str">
        <f>+IFERROR(IF($D$28=Lists!$R$1,VLOOKUP($C$28,Lists!$Q$2:$W$47,2,FALSE),IF($D$28=Lists!$S$1,VLOOKUP($C$28,Lists!$Q$2:$W$47,3,FALSE),IF($D$28=Lists!$T$1,VLOOKUP($C$28,Lists!$Q$2:$W$47,4,FALSE),IF($D$28=Lists!$U$1,VLOOKUP($C$28,Lists!$Q$2:$W$47,5,FALSE),"")))),"")</f>
        <v/>
      </c>
      <c r="F28" s="44" t="str">
        <f>+IFERROR(VLOOKUP($C$28,Lists!$Q$2:$W$47,6,FALSE),"")</f>
        <v/>
      </c>
      <c r="G28" s="44" t="str">
        <f>+IFERROR(E28+F28,"")</f>
        <v/>
      </c>
      <c r="H28" s="44" t="str">
        <f>+IFERROR(E28*(1+D30)+F28*(1+D31),"")</f>
        <v/>
      </c>
      <c r="I28" s="20"/>
      <c r="J28" s="19"/>
    </row>
    <row r="29" spans="2:10">
      <c r="B29" s="18"/>
      <c r="C29" s="20"/>
      <c r="D29" s="20"/>
      <c r="E29" s="20"/>
      <c r="F29" s="20"/>
      <c r="G29" s="20"/>
      <c r="H29" s="20"/>
      <c r="I29" s="20"/>
      <c r="J29" s="19"/>
    </row>
    <row r="30" spans="2:10">
      <c r="B30" s="18"/>
      <c r="C30" s="24" t="s">
        <v>475</v>
      </c>
      <c r="D30" s="209">
        <v>0</v>
      </c>
      <c r="E30" s="210"/>
      <c r="F30" s="20"/>
      <c r="J30" s="19"/>
    </row>
    <row r="31" spans="2:10">
      <c r="B31" s="18"/>
      <c r="C31" s="24" t="s">
        <v>476</v>
      </c>
      <c r="D31" s="209">
        <v>0</v>
      </c>
      <c r="E31" s="210"/>
      <c r="F31" s="20"/>
      <c r="G31" s="20"/>
      <c r="H31" s="20"/>
      <c r="I31" s="20"/>
      <c r="J31" s="19"/>
    </row>
    <row r="32" spans="2:10">
      <c r="B32" s="18"/>
      <c r="C32" s="20"/>
      <c r="D32" s="20"/>
      <c r="E32" s="20"/>
      <c r="F32" s="20"/>
      <c r="G32" s="20"/>
      <c r="H32" s="20"/>
      <c r="I32" s="20"/>
      <c r="J32" s="19"/>
    </row>
    <row r="33" spans="2:10">
      <c r="B33" s="18"/>
      <c r="C33" s="22"/>
      <c r="D33" s="22"/>
      <c r="E33" s="22"/>
      <c r="F33" s="22"/>
      <c r="G33" s="22"/>
      <c r="H33" s="22"/>
      <c r="I33" s="22"/>
      <c r="J33" s="19"/>
    </row>
    <row r="34" spans="2:10" ht="15">
      <c r="B34" s="18"/>
      <c r="C34" s="201" t="s">
        <v>138</v>
      </c>
      <c r="D34" s="201"/>
      <c r="E34" s="201"/>
      <c r="F34" s="201"/>
      <c r="G34" s="201"/>
      <c r="H34" s="201"/>
      <c r="I34" s="201"/>
      <c r="J34" s="19"/>
    </row>
    <row r="35" spans="2:10" ht="7.5" customHeight="1">
      <c r="B35" s="18"/>
      <c r="C35" s="135"/>
      <c r="D35" s="135"/>
      <c r="E35" s="135"/>
      <c r="F35" s="135"/>
      <c r="G35" s="135"/>
      <c r="H35" s="135"/>
      <c r="I35" s="135"/>
      <c r="J35" s="19"/>
    </row>
    <row r="36" spans="2:10">
      <c r="B36" s="18"/>
      <c r="C36" s="21" t="s">
        <v>139</v>
      </c>
      <c r="D36" s="23" t="s">
        <v>143</v>
      </c>
      <c r="E36" s="23" t="s">
        <v>144</v>
      </c>
      <c r="F36" s="51" t="s">
        <v>177</v>
      </c>
      <c r="G36" s="20"/>
      <c r="H36" s="20"/>
      <c r="I36" s="20"/>
      <c r="J36" s="19"/>
    </row>
    <row r="37" spans="2:10">
      <c r="B37" s="18"/>
      <c r="C37" s="21" t="s">
        <v>140</v>
      </c>
      <c r="D37" s="38"/>
      <c r="E37" s="37"/>
      <c r="F37" s="43">
        <f>+IF(D37="No",-5%,0%)</f>
        <v>0</v>
      </c>
      <c r="G37" s="20"/>
      <c r="H37" s="20"/>
      <c r="I37" s="20"/>
      <c r="J37" s="19"/>
    </row>
    <row r="38" spans="2:10">
      <c r="B38" s="18"/>
      <c r="C38" s="24" t="s">
        <v>141</v>
      </c>
      <c r="D38" s="38"/>
      <c r="E38" s="37" t="str">
        <f>+IF(D38="No","NA","")</f>
        <v/>
      </c>
      <c r="F38" s="43">
        <f>+IF(D38="No",-5%,0%)</f>
        <v>0</v>
      </c>
      <c r="G38" s="20"/>
      <c r="H38" s="20"/>
      <c r="I38" s="20"/>
      <c r="J38" s="19"/>
    </row>
    <row r="39" spans="2:10">
      <c r="B39" s="18"/>
      <c r="C39" s="21" t="s">
        <v>159</v>
      </c>
      <c r="D39" s="38"/>
      <c r="E39" s="37"/>
      <c r="F39" s="116" t="str">
        <f>+IF(D39="No",0,IF(E39="","Llenar sublímite",IF(E39&lt;Lists!$E$52+1,Lists!F52,IF(E39&lt;Lists!$E$53+1,Lists!F53))))</f>
        <v>Llenar sublímite</v>
      </c>
      <c r="G39" s="115"/>
      <c r="H39" s="20"/>
      <c r="I39" s="20"/>
      <c r="J39" s="19"/>
    </row>
    <row r="40" spans="2:10">
      <c r="B40" s="18"/>
      <c r="C40" s="21" t="s">
        <v>187</v>
      </c>
      <c r="D40" s="38"/>
      <c r="E40" s="37"/>
      <c r="F40" s="43">
        <v>0</v>
      </c>
      <c r="G40" s="27"/>
      <c r="H40" s="20"/>
      <c r="I40" s="20"/>
      <c r="J40" s="19"/>
    </row>
    <row r="41" spans="2:10">
      <c r="B41" s="18"/>
      <c r="C41" s="21" t="s">
        <v>142</v>
      </c>
      <c r="D41" s="38"/>
      <c r="E41" s="26">
        <f>+IF(D41="No","NA",2500000)</f>
        <v>2500000</v>
      </c>
      <c r="F41" s="45">
        <f>+IF(D41="No","NA",2.5%)</f>
        <v>2.5000000000000001E-2</v>
      </c>
      <c r="G41" s="20"/>
      <c r="H41" s="20"/>
      <c r="I41" s="20"/>
      <c r="J41" s="19"/>
    </row>
    <row r="42" spans="2:10">
      <c r="B42" s="18"/>
      <c r="C42" s="20"/>
      <c r="D42" s="20"/>
      <c r="E42" s="20"/>
      <c r="F42" s="20"/>
      <c r="G42" s="20"/>
      <c r="H42" s="20"/>
      <c r="I42" s="20"/>
      <c r="J42" s="19"/>
    </row>
    <row r="43" spans="2:10">
      <c r="B43" s="18"/>
      <c r="C43" s="22"/>
      <c r="D43" s="22"/>
      <c r="E43" s="22"/>
      <c r="F43" s="22"/>
      <c r="G43" s="22"/>
      <c r="H43" s="22"/>
      <c r="I43" s="22"/>
      <c r="J43" s="19"/>
    </row>
    <row r="44" spans="2:10" ht="15">
      <c r="B44" s="18"/>
      <c r="C44" s="201" t="s">
        <v>148</v>
      </c>
      <c r="D44" s="201"/>
      <c r="E44" s="201"/>
      <c r="F44" s="201"/>
      <c r="G44" s="201"/>
      <c r="H44" s="201"/>
      <c r="I44" s="201"/>
      <c r="J44" s="19"/>
    </row>
    <row r="45" spans="2:10" ht="7.5" customHeight="1">
      <c r="B45" s="18"/>
      <c r="C45" s="20"/>
      <c r="D45" s="20"/>
      <c r="E45" s="20"/>
      <c r="F45" s="20"/>
      <c r="G45" s="20"/>
      <c r="H45" s="20"/>
      <c r="I45" s="20"/>
      <c r="J45" s="19"/>
    </row>
    <row r="46" spans="2:10">
      <c r="B46" s="18"/>
      <c r="C46" s="21" t="s">
        <v>149</v>
      </c>
      <c r="D46" s="50" t="s">
        <v>153</v>
      </c>
      <c r="E46" s="50" t="s">
        <v>480</v>
      </c>
      <c r="F46" s="50" t="s">
        <v>197</v>
      </c>
      <c r="G46" s="50" t="s">
        <v>481</v>
      </c>
      <c r="H46" s="50" t="s">
        <v>482</v>
      </c>
      <c r="I46" s="50" t="s">
        <v>160</v>
      </c>
      <c r="J46" s="19"/>
    </row>
    <row r="47" spans="2:10">
      <c r="B47" s="18"/>
      <c r="C47" s="21" t="s">
        <v>150</v>
      </c>
      <c r="D47" s="39">
        <f>+IF(SOV!$V$2=0,0,SOV!$V$2)</f>
        <v>0</v>
      </c>
      <c r="E47" s="44" t="str">
        <f>+IF($D$17="","",$D$17)</f>
        <v/>
      </c>
      <c r="F47" s="43" t="str">
        <f>+IFERROR($I$15+$I$17+$E$22+$F$37+$F$38+$F$39+F40,"")</f>
        <v/>
      </c>
      <c r="G47" s="44" t="str">
        <f>+IFERROR(E47*(1+F47),"")</f>
        <v/>
      </c>
      <c r="H47" s="44" t="str">
        <f>+IFERROR(G47+$H$28,"")</f>
        <v/>
      </c>
      <c r="I47" s="28" t="str">
        <f>+IFERROR(H47*D47,"")</f>
        <v/>
      </c>
      <c r="J47" s="19"/>
    </row>
    <row r="48" spans="2:10">
      <c r="B48" s="18"/>
      <c r="C48" s="21" t="s">
        <v>151</v>
      </c>
      <c r="D48" s="39">
        <f>+IF(SOV!$W$2=0,0,SOV!$W$2)</f>
        <v>0</v>
      </c>
      <c r="E48" s="44" t="str">
        <f>+IF($D$17="","",$D$17)</f>
        <v/>
      </c>
      <c r="F48" s="43" t="str">
        <f>+IFERROR($I$15+$I$17+$E$22+F37+F38+F39+F40,"")</f>
        <v/>
      </c>
      <c r="G48" s="44" t="str">
        <f>+IFERROR(E48*(1+F48),"")</f>
        <v/>
      </c>
      <c r="H48" s="44" t="str">
        <f t="shared" ref="H48:H49" si="0">+IFERROR(G48+$H$28,"")</f>
        <v/>
      </c>
      <c r="I48" s="28" t="str">
        <f t="shared" ref="I48:I49" si="1">+IFERROR(H48*D48,"")</f>
        <v/>
      </c>
      <c r="J48" s="19"/>
    </row>
    <row r="49" spans="2:10">
      <c r="B49" s="18"/>
      <c r="C49" s="21" t="s">
        <v>198</v>
      </c>
      <c r="D49" s="39">
        <f>+IF(SOV!$Y$2=0,0,SOV!$Y$2)</f>
        <v>0</v>
      </c>
      <c r="E49" s="44" t="str">
        <f>+IF($D$17="","",$E$47*(1+$I$16))</f>
        <v/>
      </c>
      <c r="F49" s="43" t="str">
        <f>+IFERROR($I$15+$I$16+$I$17+$I$22+F37+F38+F39+F40+IF($F$41="NA",0,$F$41),"")</f>
        <v/>
      </c>
      <c r="G49" s="44" t="str">
        <f>+IFERROR(E49*(1+F49),"")</f>
        <v/>
      </c>
      <c r="H49" s="44" t="str">
        <f t="shared" si="0"/>
        <v/>
      </c>
      <c r="I49" s="28" t="str">
        <f t="shared" si="1"/>
        <v/>
      </c>
      <c r="J49" s="19"/>
    </row>
    <row r="50" spans="2:10" ht="15">
      <c r="B50" s="18"/>
      <c r="C50" s="29" t="s">
        <v>152</v>
      </c>
      <c r="D50" s="30">
        <f>+D49+D48+D47</f>
        <v>0</v>
      </c>
      <c r="E50" s="47" t="str">
        <f>+IF(OR(E47="",E48="",E49=""),"",IF(D50=0,"",(D47*E47+D48*E48+D49*E49)/D50))</f>
        <v/>
      </c>
      <c r="F50" s="46" t="str">
        <f>+IF(OR(E50="",G50=""),"",G50/E50-1)</f>
        <v/>
      </c>
      <c r="G50" s="47" t="str">
        <f>+IF(OR(G47="",G48="",G49=""),"",IF(D50=0,"",(D47*G47+D48*G48+D49*G49)/D50))</f>
        <v/>
      </c>
      <c r="H50" s="47" t="str">
        <f>+IF(OR(I50="",D50=""),"",IF(I50=0,"",I50/D50))</f>
        <v/>
      </c>
      <c r="I50" s="30" t="str">
        <f>IFERROR(IF(OR(I47="",I48="",I49=""),"",SUM(I47:I49)),"")</f>
        <v/>
      </c>
      <c r="J50" s="19"/>
    </row>
    <row r="51" spans="2:10">
      <c r="B51" s="18"/>
      <c r="C51" s="20"/>
      <c r="D51" s="27"/>
      <c r="E51" s="31"/>
      <c r="F51" s="31"/>
      <c r="G51" s="31"/>
      <c r="H51" s="27"/>
      <c r="I51" s="20"/>
      <c r="J51" s="19"/>
    </row>
    <row r="52" spans="2:10">
      <c r="B52" s="18"/>
      <c r="C52" s="21" t="s">
        <v>161</v>
      </c>
      <c r="D52" s="44" t="str">
        <f>+H50</f>
        <v/>
      </c>
      <c r="E52" s="31"/>
      <c r="F52" s="31"/>
      <c r="G52" s="117" t="s">
        <v>289</v>
      </c>
      <c r="H52" s="134"/>
      <c r="I52" s="20"/>
      <c r="J52" s="19"/>
    </row>
    <row r="53" spans="2:10">
      <c r="B53" s="18"/>
      <c r="C53" s="21" t="s">
        <v>162</v>
      </c>
      <c r="D53" s="48"/>
      <c r="E53" s="31"/>
      <c r="F53" s="31"/>
      <c r="G53" s="117" t="s">
        <v>288</v>
      </c>
      <c r="H53" s="134"/>
      <c r="I53" s="20"/>
      <c r="J53" s="19"/>
    </row>
    <row r="54" spans="2:10">
      <c r="B54" s="18"/>
      <c r="C54" s="21" t="s">
        <v>163</v>
      </c>
      <c r="D54" s="80">
        <f>+IFERROR(VLOOKUP($D$9,Lists!$AD$41:$AE$54,2,FALSE)," ")</f>
        <v>0.10249999999999999</v>
      </c>
      <c r="E54" s="20"/>
      <c r="F54" s="20"/>
      <c r="G54" s="20"/>
      <c r="H54" s="20"/>
      <c r="I54" s="20"/>
      <c r="J54" s="19"/>
    </row>
    <row r="55" spans="2:10">
      <c r="B55" s="18"/>
      <c r="C55" s="21" t="s">
        <v>167</v>
      </c>
      <c r="D55" s="81">
        <f>+IF($D$54=" ","",$D$53+$D$54)</f>
        <v>0.10249999999999999</v>
      </c>
      <c r="E55" s="20" t="str">
        <f>++IF($D$54=" ","",IF($D$55&gt;VLOOKUP($D$9,Lists!$AD$41:$AF$54,3,FALSE),"Aceptación Especial",""))</f>
        <v/>
      </c>
      <c r="F55" s="20"/>
      <c r="G55" s="20"/>
      <c r="H55" s="20"/>
      <c r="I55" s="20"/>
      <c r="J55" s="19"/>
    </row>
    <row r="56" spans="2:10" ht="15">
      <c r="B56" s="18"/>
      <c r="C56" s="32" t="s">
        <v>164</v>
      </c>
      <c r="D56" s="28" t="str">
        <f>+IFERROR(D52/(1-D55)*1000,"")</f>
        <v/>
      </c>
      <c r="E56" s="20" t="s">
        <v>175</v>
      </c>
      <c r="F56" s="20"/>
      <c r="G56" s="20"/>
      <c r="H56" s="20"/>
      <c r="I56" s="20"/>
      <c r="J56" s="19"/>
    </row>
    <row r="57" spans="2:10">
      <c r="B57" s="18"/>
      <c r="C57" s="20"/>
      <c r="D57" s="20"/>
      <c r="E57" s="20"/>
      <c r="F57" s="20"/>
      <c r="G57" s="20"/>
      <c r="H57" s="20"/>
      <c r="I57" s="20"/>
      <c r="J57" s="19"/>
    </row>
    <row r="58" spans="2:10">
      <c r="B58" s="18"/>
      <c r="C58" s="22"/>
      <c r="D58" s="22"/>
      <c r="E58" s="22"/>
      <c r="F58" s="22"/>
      <c r="G58" s="22"/>
      <c r="H58" s="22"/>
      <c r="I58" s="22"/>
      <c r="J58" s="19"/>
    </row>
    <row r="59" spans="2:10" ht="15">
      <c r="B59" s="18"/>
      <c r="C59" s="33" t="s">
        <v>156</v>
      </c>
      <c r="D59" s="20"/>
      <c r="E59" s="20"/>
      <c r="F59" s="20"/>
      <c r="G59" s="20"/>
      <c r="H59" s="20"/>
      <c r="I59" s="20"/>
      <c r="J59" s="19"/>
    </row>
    <row r="60" spans="2:10" ht="7.5" customHeight="1">
      <c r="B60" s="18"/>
      <c r="C60" s="33"/>
      <c r="D60" s="20"/>
      <c r="E60" s="20"/>
      <c r="F60" s="20"/>
      <c r="G60" s="20"/>
      <c r="H60" s="20"/>
      <c r="I60" s="20"/>
      <c r="J60" s="19"/>
    </row>
    <row r="61" spans="2:10" ht="15">
      <c r="B61" s="18"/>
      <c r="C61" s="21" t="s">
        <v>225</v>
      </c>
      <c r="D61" s="40"/>
      <c r="E61" s="20" t="str">
        <f>+IF($D$61&lt;Lists!$F$39,"Aceptación Especial","")</f>
        <v>Aceptación Especial</v>
      </c>
      <c r="F61" s="20"/>
      <c r="G61" s="21" t="s">
        <v>166</v>
      </c>
      <c r="H61" s="39"/>
      <c r="I61" s="20" t="s">
        <v>175</v>
      </c>
      <c r="J61" s="19"/>
    </row>
    <row r="62" spans="2:10">
      <c r="B62" s="18"/>
      <c r="C62" s="21" t="s">
        <v>157</v>
      </c>
      <c r="D62" s="40"/>
      <c r="E62" s="20" t="str">
        <f>+IFERROR(IF($D$62&gt;VLOOKUP(D16,Lists!$I$2:$O$51,7,FALSE),"Aceptación Especial",""),"")</f>
        <v/>
      </c>
      <c r="F62" s="20"/>
      <c r="G62" s="21" t="s">
        <v>165</v>
      </c>
      <c r="H62" s="80" t="str">
        <f>+IFERROR(IF(ISBLANK($H$61),"",$H$61/$D$56),"")</f>
        <v/>
      </c>
      <c r="I62" s="20" t="str">
        <f>+IF($H$62&lt;Lists!$F$40,"Aceptación Especial","")</f>
        <v/>
      </c>
      <c r="J62" s="19"/>
    </row>
    <row r="63" spans="2:10">
      <c r="B63" s="18"/>
      <c r="C63" s="21" t="s">
        <v>158</v>
      </c>
      <c r="D63" s="49">
        <f>+D62*D50</f>
        <v>0</v>
      </c>
      <c r="E63" s="20" t="str">
        <f>+IF($D$63&gt;Lists!$F$38,"Aceptación Especial","")</f>
        <v/>
      </c>
      <c r="F63" s="20"/>
      <c r="G63" s="21" t="s">
        <v>509</v>
      </c>
      <c r="H63" s="80" t="str">
        <f>+IF('Rate Monitoring'!F19="","Llenar Información",'Rate Monitoring'!F19)</f>
        <v>Llenar Información</v>
      </c>
      <c r="I63" s="20" t="str">
        <f>+'Rate Monitoring'!H19</f>
        <v/>
      </c>
      <c r="J63" s="19"/>
    </row>
    <row r="64" spans="2:10">
      <c r="B64" s="18"/>
      <c r="C64" s="20"/>
      <c r="D64" s="20"/>
      <c r="E64" s="20"/>
      <c r="F64" s="20"/>
      <c r="G64" s="20"/>
      <c r="H64" s="20"/>
      <c r="I64" s="20"/>
      <c r="J64" s="19"/>
    </row>
    <row r="65" spans="2:10" ht="15" thickBot="1">
      <c r="B65" s="34"/>
      <c r="C65" s="35"/>
      <c r="D65" s="35"/>
      <c r="E65" s="35"/>
      <c r="F65" s="35"/>
      <c r="G65" s="35"/>
      <c r="H65" s="35"/>
      <c r="I65" s="35"/>
      <c r="J65" s="36"/>
    </row>
  </sheetData>
  <sheetProtection algorithmName="SHA-512" hashValue="pXN6nxmy0byxDCfwgiZA9fCs7wYgEbqnxs3vuZWVV8zwVM2GfesC5aDU8iLyuQUQFHD7rfnCit1wexemeGOgcw==" saltValue="/eRIUpQzKIpAZGEw2CvxCA==" spinCount="100000" sheet="1" objects="1" scenarios="1"/>
  <mergeCells count="19">
    <mergeCell ref="C3:I3"/>
    <mergeCell ref="D5:E5"/>
    <mergeCell ref="D9:E9"/>
    <mergeCell ref="D10:E10"/>
    <mergeCell ref="D15:E15"/>
    <mergeCell ref="C44:I44"/>
    <mergeCell ref="G5:G10"/>
    <mergeCell ref="H5:I10"/>
    <mergeCell ref="D17:E17"/>
    <mergeCell ref="C34:I34"/>
    <mergeCell ref="C25:I25"/>
    <mergeCell ref="C20:I20"/>
    <mergeCell ref="C13:I13"/>
    <mergeCell ref="D16:E16"/>
    <mergeCell ref="D6:E6"/>
    <mergeCell ref="D7:E7"/>
    <mergeCell ref="D8:E8"/>
    <mergeCell ref="D30:E30"/>
    <mergeCell ref="D31:E31"/>
  </mergeCells>
  <conditionalFormatting sqref="H5:I10">
    <cfRule type="cellIs" dxfId="17" priority="14" operator="equal">
      <formula>"Liberar Cotización"</formula>
    </cfRule>
    <cfRule type="cellIs" dxfId="16" priority="15" operator="equal">
      <formula>"Referir"</formula>
    </cfRule>
    <cfRule type="cellIs" dxfId="15" priority="16" operator="equal">
      <formula>"Completar Información"</formula>
    </cfRule>
  </conditionalFormatting>
  <conditionalFormatting sqref="E55">
    <cfRule type="cellIs" dxfId="14" priority="13" operator="equal">
      <formula>"Aceptación Especial"</formula>
    </cfRule>
  </conditionalFormatting>
  <conditionalFormatting sqref="E63">
    <cfRule type="cellIs" dxfId="13" priority="12" operator="equal">
      <formula>"Aceptación Especial"</formula>
    </cfRule>
  </conditionalFormatting>
  <conditionalFormatting sqref="E61">
    <cfRule type="cellIs" dxfId="12" priority="11" operator="equal">
      <formula>"Aceptación Especial"</formula>
    </cfRule>
  </conditionalFormatting>
  <conditionalFormatting sqref="I62">
    <cfRule type="cellIs" dxfId="11" priority="10" operator="equal">
      <formula>"Aceptación Especial"</formula>
    </cfRule>
  </conditionalFormatting>
  <conditionalFormatting sqref="I17">
    <cfRule type="cellIs" dxfId="10" priority="9" operator="equal">
      <formula>"Aceptación Especial"</formula>
    </cfRule>
  </conditionalFormatting>
  <conditionalFormatting sqref="E39">
    <cfRule type="expression" dxfId="9" priority="8">
      <formula>$D$39="Si"</formula>
    </cfRule>
  </conditionalFormatting>
  <conditionalFormatting sqref="E37">
    <cfRule type="expression" dxfId="8" priority="7">
      <formula>$D$37="Si"</formula>
    </cfRule>
  </conditionalFormatting>
  <conditionalFormatting sqref="E38">
    <cfRule type="expression" dxfId="7" priority="6">
      <formula>$D$38="Si"</formula>
    </cfRule>
  </conditionalFormatting>
  <conditionalFormatting sqref="E40">
    <cfRule type="expression" dxfId="6" priority="3">
      <formula>$D$40="Si"</formula>
    </cfRule>
  </conditionalFormatting>
  <conditionalFormatting sqref="E62">
    <cfRule type="cellIs" dxfId="5" priority="2" operator="equal">
      <formula>"Aceptación Especial"</formula>
    </cfRule>
  </conditionalFormatting>
  <conditionalFormatting sqref="I63">
    <cfRule type="cellIs" dxfId="4" priority="1" operator="equal">
      <formula>"Aceptación Especial"</formula>
    </cfRule>
  </conditionalFormatting>
  <dataValidations disablePrompts="1" count="4">
    <dataValidation type="list" allowBlank="1" showInputMessage="1" showErrorMessage="1" sqref="D16" xr:uid="{E7D335E9-9CB7-4381-845A-EBB1F8AE73CB}">
      <formula1>INDIRECT(SUBSTITUTE(SUBSTITUTE($D$15," ","_"),"&amp;",""))</formula1>
    </dataValidation>
    <dataValidation type="list" allowBlank="1" showInputMessage="1" showErrorMessage="1" sqref="D37:D41" xr:uid="{A10F60DD-99FA-43BE-8360-C0CAA8B57212}">
      <formula1>"Si,No"</formula1>
    </dataValidation>
    <dataValidation type="list" allowBlank="1" showInputMessage="1" showErrorMessage="1" sqref="E40" xr:uid="{1F0AEF4B-6F73-4B5B-B5C5-A36798219899}">
      <formula1>INDIRECT($F$16)</formula1>
    </dataValidation>
    <dataValidation type="list" allowBlank="1" showInputMessage="1" showErrorMessage="1" sqref="C28" xr:uid="{8748428F-E829-4395-9F94-0F6C941A2703}">
      <formula1>INDIRECT("CAT"&amp;SUBSTITUTE(D9," ","_"))</formula1>
    </dataValidation>
  </dataValidations>
  <pageMargins left="0.70866141732283472" right="0.70866141732283472" top="0.74803149606299213" bottom="0.74803149606299213" header="0.31496062992125984" footer="0.31496062992125984"/>
  <pageSetup scale="56" orientation="portrait" r:id="rId1"/>
  <rowBreaks count="1" manualBreakCount="1">
    <brk id="15" max="10" man="1"/>
  </rowBreaks>
  <colBreaks count="1" manualBreakCount="1">
    <brk id="5" max="60" man="1"/>
  </colBreaks>
  <extLs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 xr:uid="{47F6D176-C154-4C4C-ACB0-C4D82F69813F}">
          <x14:formula1>
            <xm:f>Lists!$E$2:$E$5</xm:f>
          </x14:formula1>
          <xm:sqref>H15</xm:sqref>
        </x14:dataValidation>
        <x14:dataValidation type="list" allowBlank="1" showInputMessage="1" showErrorMessage="1" xr:uid="{1640F692-8332-469A-A80E-C490155D794C}">
          <x14:formula1>
            <xm:f>Lists!$E$9:$E$12</xm:f>
          </x14:formula1>
          <xm:sqref>H16</xm:sqref>
        </x14:dataValidation>
        <x14:dataValidation type="list" allowBlank="1" showInputMessage="1" showErrorMessage="1" xr:uid="{AA95942B-29C6-4307-A1CC-EC9AFEE7943D}">
          <x14:formula1>
            <xm:f>Lists!$E$27:$E$31</xm:f>
          </x14:formula1>
          <xm:sqref>D22</xm:sqref>
        </x14:dataValidation>
        <x14:dataValidation type="list" allowBlank="1" showInputMessage="1" showErrorMessage="1" xr:uid="{5EAD508E-3724-4E97-A641-A647B922A802}">
          <x14:formula1>
            <xm:f>Lists!$E$16:$E$23</xm:f>
          </x14:formula1>
          <xm:sqref>H17</xm:sqref>
        </x14:dataValidation>
        <x14:dataValidation type="list" allowBlank="1" showInputMessage="1" showErrorMessage="1" xr:uid="{734D844E-7EC7-4595-8CB1-A525D1506EBB}">
          <x14:formula1>
            <xm:f>Lists!$R$1:$U$1</xm:f>
          </x14:formula1>
          <xm:sqref>D28</xm:sqref>
        </x14:dataValidation>
        <x14:dataValidation type="list" allowBlank="1" showInputMessage="1" showErrorMessage="1" xr:uid="{CA189AE6-86FD-415A-B1AD-402908FB095B}">
          <x14:formula1>
            <xm:f>Lists!$AE$21:$AE$37</xm:f>
          </x14:formula1>
          <xm:sqref>D15:E15</xm:sqref>
        </x14:dataValidation>
        <x14:dataValidation type="decimal" operator="greaterThanOrEqual" allowBlank="1" showInputMessage="1" showErrorMessage="1" xr:uid="{7CB4AA22-DA2E-4BE5-BE54-E435700BDEB5}">
          <x14:formula1>
            <xm:f>Lists!$R$49</xm:f>
          </x14:formula1>
          <xm:sqref>D30:E31</xm:sqref>
        </x14:dataValidation>
        <x14:dataValidation type="list" allowBlank="1" showInputMessage="1" showErrorMessage="1" xr:uid="{D003B22B-DAFE-4A2C-896B-9E1FB8AE1978}">
          <x14:formula1>
            <xm:f>Lists!$AB$2:$AB$17</xm:f>
          </x14:formula1>
          <xm:sqref>D6:E6</xm:sqref>
        </x14:dataValidation>
        <x14:dataValidation type="list" allowBlank="1" showInputMessage="1" showErrorMessage="1" xr:uid="{D0ADC48F-9C4F-487F-97A7-97E4F2DF122C}">
          <x14:formula1>
            <xm:f>Lists!$E$45:$E$48</xm:f>
          </x14:formula1>
          <xm:sqref>H22</xm:sqref>
        </x14:dataValidation>
        <x14:dataValidation type="whole" errorStyle="information" operator="lessThanOrEqual" allowBlank="1" showInputMessage="1" showErrorMessage="1" errorTitle="ERROR" error="El sublímite máximo para esta cobertura es de USD 5,000,000 @ 100%" xr:uid="{38138BBF-E56B-4A28-B297-75BBC50BCE50}">
          <x14:formula1>
            <xm:f>Lists!$E$53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CB0E-2CDF-455E-A229-1677F5DF8D06}">
  <sheetPr codeName="Sheet5"/>
  <dimension ref="A1:U32"/>
  <sheetViews>
    <sheetView view="pageBreakPreview" topLeftCell="B1" zoomScaleNormal="100" zoomScaleSheetLayoutView="100" workbookViewId="0">
      <selection activeCell="H19" sqref="H19:H20"/>
    </sheetView>
  </sheetViews>
  <sheetFormatPr defaultRowHeight="14.25"/>
  <cols>
    <col min="1" max="1" width="6.25" style="89" customWidth="1"/>
    <col min="2" max="2" width="2.5" style="89" customWidth="1"/>
    <col min="3" max="3" width="20.125" style="89" customWidth="1"/>
    <col min="4" max="9" width="18.375" customWidth="1"/>
    <col min="10" max="10" width="2.5" style="89" customWidth="1"/>
    <col min="11" max="11" width="6.25" customWidth="1"/>
    <col min="12" max="21" width="9" style="89"/>
  </cols>
  <sheetData>
    <row r="1" spans="2:12">
      <c r="B1" s="137"/>
      <c r="C1" s="137"/>
      <c r="D1" s="137"/>
      <c r="E1" s="137"/>
      <c r="F1" s="137"/>
      <c r="G1" s="137"/>
      <c r="H1" s="137"/>
      <c r="I1" s="137"/>
      <c r="J1" s="137"/>
      <c r="K1" s="137"/>
    </row>
    <row r="2" spans="2:12" ht="15" thickBot="1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</row>
    <row r="3" spans="2:12">
      <c r="B3" s="92"/>
      <c r="C3" s="93"/>
      <c r="D3" s="93"/>
      <c r="E3" s="93"/>
      <c r="F3" s="93"/>
      <c r="G3" s="93"/>
      <c r="H3" s="93"/>
      <c r="I3" s="93"/>
      <c r="J3" s="94"/>
      <c r="K3" s="90"/>
      <c r="L3" s="90"/>
    </row>
    <row r="4" spans="2:12" ht="18">
      <c r="B4" s="95"/>
      <c r="C4" s="214" t="s">
        <v>230</v>
      </c>
      <c r="D4" s="214"/>
      <c r="E4" s="214"/>
      <c r="F4" s="214"/>
      <c r="G4" s="214"/>
      <c r="H4" s="214"/>
      <c r="I4" s="214"/>
      <c r="J4" s="96"/>
      <c r="K4" s="90"/>
      <c r="L4" s="90"/>
    </row>
    <row r="5" spans="2:12" ht="14.25" customHeight="1">
      <c r="B5" s="95"/>
      <c r="C5" s="91"/>
      <c r="D5" s="91"/>
      <c r="E5" s="91"/>
      <c r="F5" s="91"/>
      <c r="G5" s="91"/>
      <c r="H5" s="91"/>
      <c r="I5" s="91"/>
      <c r="J5" s="96"/>
      <c r="K5" s="90"/>
      <c r="L5" s="90"/>
    </row>
    <row r="6" spans="2:12" ht="14.25" customHeight="1">
      <c r="B6" s="95"/>
      <c r="C6" s="97" t="s">
        <v>42</v>
      </c>
      <c r="D6" s="203" t="str">
        <f>+IF(ISBLANK(Pricing!$D$5),"",Pricing!$D$5)</f>
        <v/>
      </c>
      <c r="E6" s="203"/>
      <c r="F6" s="20"/>
      <c r="G6" s="215" t="s">
        <v>154</v>
      </c>
      <c r="H6" s="202" t="str">
        <f>+IF(OR(ISBLANK($D$6),ISBLANK($D$15),ISBLANK($D$16),ISBLANK($H$14),ISBLANK($H$15),ISBLANK($H$16),ISBLANK($D$14)),"Completar Información",IF(F19&lt;=Lists!$F$41,"Referir","OK"))</f>
        <v>Completar Información</v>
      </c>
      <c r="I6" s="202"/>
      <c r="J6" s="96"/>
      <c r="K6" s="90"/>
      <c r="L6" s="90"/>
    </row>
    <row r="7" spans="2:12" ht="14.25" customHeight="1">
      <c r="B7" s="95"/>
      <c r="C7" s="91"/>
      <c r="D7" s="91"/>
      <c r="E7" s="91"/>
      <c r="F7" s="91"/>
      <c r="G7" s="215"/>
      <c r="H7" s="202"/>
      <c r="I7" s="202"/>
      <c r="J7" s="96"/>
      <c r="K7" s="90"/>
      <c r="L7" s="90"/>
    </row>
    <row r="8" spans="2:12" ht="14.25" customHeight="1">
      <c r="B8" s="95"/>
      <c r="C8" s="97" t="s">
        <v>43</v>
      </c>
      <c r="D8" s="203" t="str">
        <f>+Pricing!$D$9</f>
        <v>Ecuador</v>
      </c>
      <c r="E8" s="203"/>
      <c r="F8" s="91"/>
      <c r="G8" s="215"/>
      <c r="H8" s="202"/>
      <c r="I8" s="202"/>
      <c r="J8" s="96"/>
      <c r="K8" s="90"/>
      <c r="L8" s="90"/>
    </row>
    <row r="9" spans="2:12" ht="14.25" customHeight="1">
      <c r="B9" s="95"/>
      <c r="C9" s="97" t="s">
        <v>44</v>
      </c>
      <c r="D9" s="203" t="str">
        <f>+Pricing!$D$10</f>
        <v>US Dollar</v>
      </c>
      <c r="E9" s="203"/>
      <c r="F9" s="20"/>
      <c r="G9" s="215"/>
      <c r="H9" s="202"/>
      <c r="I9" s="202"/>
      <c r="J9" s="96"/>
      <c r="K9" s="90"/>
      <c r="L9" s="90"/>
    </row>
    <row r="10" spans="2:12" s="89" customFormat="1">
      <c r="B10" s="95"/>
      <c r="C10" s="91"/>
      <c r="D10" s="91"/>
      <c r="E10" s="91"/>
      <c r="F10" s="91"/>
      <c r="G10" s="91"/>
      <c r="H10" s="91"/>
      <c r="I10" s="91"/>
      <c r="J10" s="96"/>
      <c r="K10" s="90"/>
      <c r="L10" s="90"/>
    </row>
    <row r="11" spans="2:12" s="89" customFormat="1">
      <c r="B11" s="95"/>
      <c r="C11" s="98"/>
      <c r="D11" s="98"/>
      <c r="E11" s="98"/>
      <c r="F11" s="98"/>
      <c r="G11" s="98"/>
      <c r="H11" s="98"/>
      <c r="I11" s="98"/>
      <c r="J11" s="96"/>
      <c r="K11" s="90"/>
      <c r="L11" s="90"/>
    </row>
    <row r="12" spans="2:12" s="89" customFormat="1" ht="15">
      <c r="B12" s="95"/>
      <c r="C12" s="213" t="s">
        <v>227</v>
      </c>
      <c r="D12" s="213"/>
      <c r="E12" s="213"/>
      <c r="F12" s="102"/>
      <c r="G12" s="213" t="s">
        <v>228</v>
      </c>
      <c r="H12" s="213"/>
      <c r="I12" s="213"/>
      <c r="J12" s="96"/>
      <c r="K12" s="91"/>
      <c r="L12" s="91"/>
    </row>
    <row r="13" spans="2:12" s="89" customFormat="1">
      <c r="B13" s="138"/>
      <c r="C13" s="139"/>
      <c r="D13" s="140"/>
      <c r="E13" s="139"/>
      <c r="F13" s="139"/>
      <c r="G13" s="139"/>
      <c r="H13" s="139"/>
      <c r="I13" s="139"/>
      <c r="J13" s="141"/>
      <c r="K13" s="137"/>
    </row>
    <row r="14" spans="2:12">
      <c r="B14" s="138"/>
      <c r="C14" s="97" t="s">
        <v>164</v>
      </c>
      <c r="D14" s="222" t="str">
        <f>+Pricing!D56</f>
        <v/>
      </c>
      <c r="E14" s="222"/>
      <c r="F14" s="142"/>
      <c r="G14" s="97" t="s">
        <v>164</v>
      </c>
      <c r="H14" s="225"/>
      <c r="I14" s="226"/>
      <c r="J14" s="141"/>
      <c r="K14" s="137"/>
    </row>
    <row r="15" spans="2:12">
      <c r="B15" s="138"/>
      <c r="C15" s="143" t="s">
        <v>229</v>
      </c>
      <c r="D15" s="223">
        <f>IF(ISBLANK(Pricing!D55),"",Pricing!D55)</f>
        <v>0.10249999999999999</v>
      </c>
      <c r="E15" s="223"/>
      <c r="F15" s="142"/>
      <c r="G15" s="143" t="s">
        <v>229</v>
      </c>
      <c r="H15" s="227"/>
      <c r="I15" s="228"/>
      <c r="J15" s="141"/>
      <c r="K15" s="137"/>
    </row>
    <row r="16" spans="2:12">
      <c r="B16" s="138"/>
      <c r="C16" s="97" t="s">
        <v>166</v>
      </c>
      <c r="D16" s="224" t="str">
        <f>IF(ISBLANK(Pricing!H61),"",Pricing!H61)</f>
        <v/>
      </c>
      <c r="E16" s="224"/>
      <c r="F16" s="142"/>
      <c r="G16" s="97" t="s">
        <v>166</v>
      </c>
      <c r="H16" s="225"/>
      <c r="I16" s="226"/>
      <c r="J16" s="141"/>
      <c r="K16" s="137"/>
    </row>
    <row r="17" spans="2:11" s="89" customFormat="1">
      <c r="B17" s="138"/>
      <c r="C17" s="139"/>
      <c r="D17" s="139"/>
      <c r="E17" s="139"/>
      <c r="F17" s="139"/>
      <c r="G17" s="139"/>
      <c r="H17" s="139"/>
      <c r="I17" s="139"/>
      <c r="J17" s="141"/>
      <c r="K17" s="137"/>
    </row>
    <row r="18" spans="2:11" s="89" customFormat="1">
      <c r="B18" s="138"/>
      <c r="C18" s="98"/>
      <c r="D18" s="98"/>
      <c r="E18" s="98"/>
      <c r="F18" s="98"/>
      <c r="G18" s="98"/>
      <c r="H18" s="98"/>
      <c r="I18" s="98"/>
      <c r="J18" s="141"/>
      <c r="K18" s="137"/>
    </row>
    <row r="19" spans="2:11">
      <c r="B19" s="138"/>
      <c r="C19" s="139"/>
      <c r="D19" s="139"/>
      <c r="E19" s="217" t="s">
        <v>231</v>
      </c>
      <c r="F19" s="218" t="str">
        <f>+IFERROR(((($D$16*(1-$D$15))/($D$14*(1-$D$15)))/(($H$16*(1-$H$15))/($H$14*(1-$H$15))))-1,"")</f>
        <v/>
      </c>
      <c r="G19" s="219"/>
      <c r="H19" s="216" t="str">
        <f>+IF($F$19&lt;Lists!$F$41,"Aceptación Especial","")</f>
        <v/>
      </c>
      <c r="I19" s="139"/>
      <c r="J19" s="141"/>
      <c r="K19" s="137"/>
    </row>
    <row r="20" spans="2:11">
      <c r="B20" s="138"/>
      <c r="C20" s="139"/>
      <c r="D20" s="139"/>
      <c r="E20" s="217"/>
      <c r="F20" s="220"/>
      <c r="G20" s="221"/>
      <c r="H20" s="216"/>
      <c r="I20" s="139"/>
      <c r="J20" s="141"/>
      <c r="K20" s="137"/>
    </row>
    <row r="21" spans="2:11" s="89" customFormat="1">
      <c r="B21" s="138"/>
      <c r="C21" s="139"/>
      <c r="D21" s="139"/>
      <c r="E21" s="139"/>
      <c r="F21" s="139"/>
      <c r="G21" s="139"/>
      <c r="H21" s="139"/>
      <c r="I21" s="139"/>
      <c r="J21" s="141"/>
      <c r="K21" s="137"/>
    </row>
    <row r="22" spans="2:11" s="89" customFormat="1" ht="15" thickBot="1">
      <c r="B22" s="144"/>
      <c r="C22" s="145"/>
      <c r="D22" s="145"/>
      <c r="E22" s="145"/>
      <c r="F22" s="145"/>
      <c r="G22" s="145"/>
      <c r="H22" s="145"/>
      <c r="I22" s="145"/>
      <c r="J22" s="146"/>
      <c r="K22" s="137"/>
    </row>
    <row r="23" spans="2:11" s="89" customFormat="1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s="89" customFormat="1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s="89" customFormat="1"/>
    <row r="26" spans="2:11" s="89" customFormat="1"/>
    <row r="27" spans="2:11" s="89" customFormat="1"/>
    <row r="28" spans="2:11" s="89" customFormat="1"/>
    <row r="29" spans="2:11" s="89" customFormat="1"/>
    <row r="30" spans="2:11" s="89" customFormat="1"/>
    <row r="31" spans="2:11" s="89" customFormat="1"/>
    <row r="32" spans="2:11" s="89" customFormat="1"/>
  </sheetData>
  <sheetProtection algorithmName="SHA-512" hashValue="Gax87e35XOikULQfuQD9rAh9mK8zc/z9v8ANAqokCJwRvEpNp0i6Twz92GZJRSsi84nlXFr8nSwOkYMCcJL24Q==" saltValue="b097Z7nLXpjnb5uaX4C9qQ==" spinCount="100000" sheet="1" objects="1" scenarios="1"/>
  <mergeCells count="17">
    <mergeCell ref="H19:H20"/>
    <mergeCell ref="E19:E20"/>
    <mergeCell ref="F19:G20"/>
    <mergeCell ref="D14:E14"/>
    <mergeCell ref="D15:E15"/>
    <mergeCell ref="D16:E16"/>
    <mergeCell ref="H14:I14"/>
    <mergeCell ref="H15:I15"/>
    <mergeCell ref="H16:I16"/>
    <mergeCell ref="G12:I12"/>
    <mergeCell ref="C12:E12"/>
    <mergeCell ref="D8:E8"/>
    <mergeCell ref="C4:I4"/>
    <mergeCell ref="D6:E6"/>
    <mergeCell ref="G6:G9"/>
    <mergeCell ref="H6:I9"/>
    <mergeCell ref="D9:E9"/>
  </mergeCells>
  <conditionalFormatting sqref="H6:I9">
    <cfRule type="cellIs" dxfId="3" priority="2" operator="equal">
      <formula>"OK"</formula>
    </cfRule>
    <cfRule type="cellIs" dxfId="2" priority="3" operator="equal">
      <formula>"Referir"</formula>
    </cfRule>
    <cfRule type="cellIs" dxfId="1" priority="4" operator="equal">
      <formula>"Completar Información"</formula>
    </cfRule>
  </conditionalFormatting>
  <conditionalFormatting sqref="H19:H20">
    <cfRule type="cellIs" dxfId="0" priority="1" operator="equal">
      <formula>"Aceptación Especial"</formula>
    </cfRule>
  </conditionalFormatting>
  <pageMargins left="0.7" right="0.7" top="0.75" bottom="0.75" header="0.3" footer="0.3"/>
  <pageSetup paperSize="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48733-B772-4E9A-BFB0-4565A89E9610}">
  <sheetPr codeName="Sheet6"/>
  <dimension ref="B2:G73"/>
  <sheetViews>
    <sheetView tabSelected="1" topLeftCell="C1" workbookViewId="0">
      <selection activeCell="F29" sqref="F29"/>
    </sheetView>
  </sheetViews>
  <sheetFormatPr defaultColWidth="9" defaultRowHeight="14.25"/>
  <cols>
    <col min="1" max="1" width="9" style="1"/>
    <col min="2" max="2" width="29.5" style="1" bestFit="1" customWidth="1"/>
    <col min="3" max="3" width="34.125" style="1" bestFit="1" customWidth="1"/>
    <col min="4" max="4" width="9" style="1"/>
    <col min="5" max="5" width="26.375" style="1" bestFit="1" customWidth="1"/>
    <col min="6" max="6" width="59.375" style="1" bestFit="1" customWidth="1"/>
    <col min="7" max="7" width="9" style="151" customWidth="1"/>
    <col min="8" max="16384" width="9" style="1"/>
  </cols>
  <sheetData>
    <row r="2" spans="2:7" ht="15.75">
      <c r="B2" s="238" t="s">
        <v>512</v>
      </c>
      <c r="C2" s="239"/>
      <c r="E2" s="229" t="s">
        <v>514</v>
      </c>
      <c r="F2" s="229"/>
    </row>
    <row r="3" spans="2:7">
      <c r="B3" s="103" t="s">
        <v>42</v>
      </c>
      <c r="C3" s="104">
        <f>+Pricing!D5</f>
        <v>0</v>
      </c>
      <c r="E3" s="233" t="s">
        <v>515</v>
      </c>
      <c r="F3" s="234" t="str">
        <f>_xlfn.CONCAT(G3,C3)</f>
        <v>ECU-MSC-PROP-0</v>
      </c>
      <c r="G3" s="151" t="s">
        <v>568</v>
      </c>
    </row>
    <row r="4" spans="2:7">
      <c r="B4" s="103" t="s">
        <v>252</v>
      </c>
      <c r="C4" s="119" t="e">
        <f>+VLOOKUP(Pricing!D16,Lists!$I$2:$M$51,3,FALSE)</f>
        <v>#N/A</v>
      </c>
      <c r="E4" s="233"/>
      <c r="F4" s="234"/>
      <c r="G4" s="151" t="s">
        <v>571</v>
      </c>
    </row>
    <row r="5" spans="2:7">
      <c r="B5" s="103" t="s">
        <v>253</v>
      </c>
      <c r="C5" s="119" t="e">
        <f>+VLOOKUP(Pricing!D16,Lists!$I$2:$M$51,4,FALSE)</f>
        <v>#N/A</v>
      </c>
      <c r="E5" s="233" t="s">
        <v>516</v>
      </c>
      <c r="F5" s="240">
        <f>Pricing!D5</f>
        <v>0</v>
      </c>
      <c r="G5" s="151" t="s">
        <v>572</v>
      </c>
    </row>
    <row r="6" spans="2:7">
      <c r="B6" s="103" t="s">
        <v>254</v>
      </c>
      <c r="C6" s="110"/>
      <c r="E6" s="233"/>
      <c r="F6" s="234"/>
      <c r="G6" s="151" t="s">
        <v>578</v>
      </c>
    </row>
    <row r="7" spans="2:7">
      <c r="B7" s="103" t="s">
        <v>513</v>
      </c>
      <c r="C7" s="104">
        <f>+Pricing!D6</f>
        <v>0</v>
      </c>
      <c r="E7" s="233" t="s">
        <v>517</v>
      </c>
      <c r="F7" s="234" t="s">
        <v>569</v>
      </c>
      <c r="G7" s="151" t="s">
        <v>579</v>
      </c>
    </row>
    <row r="8" spans="2:7">
      <c r="B8" s="103" t="s">
        <v>255</v>
      </c>
      <c r="C8" s="105" t="s">
        <v>282</v>
      </c>
      <c r="E8" s="233"/>
      <c r="F8" s="234"/>
      <c r="G8" s="151" t="s">
        <v>580</v>
      </c>
    </row>
    <row r="9" spans="2:7">
      <c r="B9" s="103" t="s">
        <v>256</v>
      </c>
      <c r="C9" s="105" t="s">
        <v>283</v>
      </c>
      <c r="E9" s="152" t="s">
        <v>518</v>
      </c>
      <c r="F9" s="153" t="s">
        <v>570</v>
      </c>
      <c r="G9" s="151" t="s">
        <v>581</v>
      </c>
    </row>
    <row r="10" spans="2:7">
      <c r="B10" s="103" t="s">
        <v>257</v>
      </c>
      <c r="C10" s="106">
        <f>+Pricing!D62</f>
        <v>0</v>
      </c>
      <c r="E10" s="152" t="s">
        <v>519</v>
      </c>
      <c r="F10" s="153" t="s">
        <v>571</v>
      </c>
      <c r="G10" s="151" t="s">
        <v>582</v>
      </c>
    </row>
    <row r="11" spans="2:7">
      <c r="B11" s="103" t="s">
        <v>258</v>
      </c>
      <c r="C11" s="107">
        <f>+Pricing!D7</f>
        <v>0</v>
      </c>
      <c r="E11" s="152" t="s">
        <v>573</v>
      </c>
      <c r="F11" s="154" t="e" cm="1">
        <f t="array" ref="F11">_xlfn.IFS(F10="Submission","Día en que se está haciendo el Submission",F10="Renew","Día en que se está haciendo el Renew")</f>
        <v>#N/A</v>
      </c>
      <c r="G11" s="151" t="s">
        <v>583</v>
      </c>
    </row>
    <row r="12" spans="2:7">
      <c r="B12" s="103" t="s">
        <v>259</v>
      </c>
      <c r="C12" s="107">
        <f>+Pricing!D8</f>
        <v>0</v>
      </c>
      <c r="E12" s="152" t="s">
        <v>520</v>
      </c>
      <c r="F12" s="155">
        <v>30</v>
      </c>
      <c r="G12" s="151" t="s">
        <v>585</v>
      </c>
    </row>
    <row r="13" spans="2:7">
      <c r="B13" s="103" t="s">
        <v>260</v>
      </c>
      <c r="C13" s="119" t="e">
        <f>+VLOOKUP(Pricing!D16,Lists!$I$2:$M$51,5,FALSE)</f>
        <v>#N/A</v>
      </c>
      <c r="E13" s="152" t="s">
        <v>521</v>
      </c>
      <c r="F13" s="153" t="s">
        <v>574</v>
      </c>
      <c r="G13" s="151" t="s">
        <v>586</v>
      </c>
    </row>
    <row r="14" spans="2:7">
      <c r="B14" s="103" t="s">
        <v>261</v>
      </c>
      <c r="C14" s="108" t="e">
        <f>+Pricing!H61*Pricing!D50/1000-C21</f>
        <v>#DIV/0!</v>
      </c>
      <c r="E14" s="152" t="s">
        <v>522</v>
      </c>
      <c r="F14" s="153" t="s">
        <v>523</v>
      </c>
      <c r="G14" s="151" t="s">
        <v>587</v>
      </c>
    </row>
    <row r="15" spans="2:7">
      <c r="B15" s="103" t="s">
        <v>262</v>
      </c>
      <c r="C15" s="109">
        <f>+Pricing!D50</f>
        <v>0</v>
      </c>
      <c r="E15" s="152" t="s">
        <v>524</v>
      </c>
      <c r="F15" s="153" t="s">
        <v>575</v>
      </c>
    </row>
    <row r="16" spans="2:7">
      <c r="B16" s="110" t="s">
        <v>263</v>
      </c>
      <c r="C16" s="104">
        <f>+Pricing!D22</f>
        <v>0</v>
      </c>
      <c r="E16" s="152" t="s">
        <v>525</v>
      </c>
      <c r="F16" s="153" t="s">
        <v>576</v>
      </c>
    </row>
    <row r="17" spans="2:6">
      <c r="B17" s="110" t="s">
        <v>264</v>
      </c>
      <c r="C17" s="105" t="s">
        <v>286</v>
      </c>
      <c r="E17" s="152" t="s">
        <v>526</v>
      </c>
      <c r="F17" s="153" t="s">
        <v>577</v>
      </c>
    </row>
    <row r="18" spans="2:6">
      <c r="B18" s="103" t="s">
        <v>41</v>
      </c>
      <c r="C18" s="109">
        <f>+Pricing!D50</f>
        <v>0</v>
      </c>
      <c r="E18" s="152" t="s">
        <v>527</v>
      </c>
      <c r="F18" s="153" t="str">
        <f>Pricing!D10</f>
        <v>US Dollar</v>
      </c>
    </row>
    <row r="19" spans="2:6">
      <c r="B19" s="103" t="s">
        <v>288</v>
      </c>
      <c r="C19" s="109">
        <f>+Pricing!H52</f>
        <v>0</v>
      </c>
      <c r="E19" s="152" t="s">
        <v>528</v>
      </c>
      <c r="F19" s="153" t="str">
        <f>F18</f>
        <v>US Dollar</v>
      </c>
    </row>
    <row r="20" spans="2:6">
      <c r="B20" s="103" t="s">
        <v>289</v>
      </c>
      <c r="C20" s="109">
        <f>+Pricing!H53</f>
        <v>0</v>
      </c>
      <c r="E20" s="152" t="s">
        <v>529</v>
      </c>
      <c r="F20" s="153" t="s">
        <v>588</v>
      </c>
    </row>
    <row r="21" spans="2:6" ht="15">
      <c r="B21" s="103" t="s">
        <v>265</v>
      </c>
      <c r="C21" s="108" t="e">
        <f>+IF(Pricing!$E$39/Pricing!$D$50&lt;0.075,0.025*Pricing!$D$50*Pricing!$H$61/1000,IF(Pricing!$E$39/Pricing!$D$50&lt;0.15,0.05*Pricing!$D$50*Pricing!$H$61/1000,IF(Pricing!$E$39/Pricing!$D$50&lt;0.5,0.075*Pricing!$D$50*Pricing!$H$61/1000,0.1*Pricing!$D$50*Pricing!$H$61/1000)))</f>
        <v>#DIV/0!</v>
      </c>
      <c r="E21" s="152" t="s">
        <v>530</v>
      </c>
      <c r="F21" s="153" t="s">
        <v>574</v>
      </c>
    </row>
    <row r="22" spans="2:6">
      <c r="B22" s="103" t="s">
        <v>266</v>
      </c>
      <c r="C22" s="109">
        <f>+IF(Pricing!D39="no","",Pricing!E39)</f>
        <v>0</v>
      </c>
      <c r="E22" s="156"/>
      <c r="F22" s="153"/>
    </row>
    <row r="23" spans="2:6" ht="15.75">
      <c r="B23" s="110" t="s">
        <v>267</v>
      </c>
      <c r="C23" s="108">
        <v>5000</v>
      </c>
      <c r="E23" s="229" t="s">
        <v>531</v>
      </c>
      <c r="F23" s="229"/>
    </row>
    <row r="24" spans="2:6">
      <c r="B24" s="103" t="s">
        <v>268</v>
      </c>
      <c r="C24" s="108" t="e">
        <f>+Pricing!D50*Pricing!D56/1000</f>
        <v>#VALUE!</v>
      </c>
      <c r="E24" s="152" t="s">
        <v>532</v>
      </c>
      <c r="F24" s="153" t="s">
        <v>533</v>
      </c>
    </row>
    <row r="25" spans="2:6">
      <c r="B25" s="103" t="s">
        <v>269</v>
      </c>
      <c r="C25" s="111" t="e">
        <f>+C24</f>
        <v>#VALUE!</v>
      </c>
      <c r="E25" s="152" t="s">
        <v>534</v>
      </c>
      <c r="F25" s="153" t="s">
        <v>535</v>
      </c>
    </row>
    <row r="26" spans="2:6">
      <c r="B26" s="103" t="s">
        <v>375</v>
      </c>
      <c r="C26" s="114" t="str">
        <f>+IFERROR('Rate Monitoring'!F19,"")</f>
        <v/>
      </c>
      <c r="E26" s="152" t="s">
        <v>536</v>
      </c>
      <c r="F26" s="153" t="s">
        <v>537</v>
      </c>
    </row>
    <row r="27" spans="2:6" ht="15">
      <c r="B27" s="112" t="s">
        <v>270</v>
      </c>
      <c r="C27" s="114">
        <f>+Pricing!D53</f>
        <v>0</v>
      </c>
      <c r="E27" s="152" t="s">
        <v>597</v>
      </c>
      <c r="F27" s="153" t="s">
        <v>871</v>
      </c>
    </row>
    <row r="28" spans="2:6">
      <c r="B28" s="103" t="s">
        <v>271</v>
      </c>
      <c r="C28" s="113">
        <v>6.25E-2</v>
      </c>
      <c r="E28" s="152" t="s">
        <v>598</v>
      </c>
      <c r="F28" s="153" t="s">
        <v>890</v>
      </c>
    </row>
    <row r="29" spans="2:6">
      <c r="B29" s="103" t="s">
        <v>272</v>
      </c>
      <c r="C29" s="118">
        <v>0.05</v>
      </c>
      <c r="E29" s="156" t="s">
        <v>599</v>
      </c>
      <c r="F29" s="199" t="s">
        <v>891</v>
      </c>
    </row>
    <row r="30" spans="2:6" ht="15.75">
      <c r="B30" s="103" t="s">
        <v>273</v>
      </c>
      <c r="C30" s="109">
        <f>+Pricing!$D$50</f>
        <v>0</v>
      </c>
      <c r="E30" s="229" t="s">
        <v>538</v>
      </c>
      <c r="F30" s="229"/>
    </row>
    <row r="31" spans="2:6">
      <c r="B31" s="103" t="s">
        <v>274</v>
      </c>
      <c r="C31" s="103" t="s">
        <v>287</v>
      </c>
      <c r="E31" s="152" t="s">
        <v>539</v>
      </c>
      <c r="F31" s="153"/>
    </row>
    <row r="32" spans="2:6">
      <c r="B32" s="103" t="s">
        <v>275</v>
      </c>
      <c r="C32" s="109">
        <f>+Pricing!$D$50</f>
        <v>0</v>
      </c>
      <c r="E32" s="152" t="s">
        <v>540</v>
      </c>
      <c r="F32" s="153"/>
    </row>
    <row r="33" spans="2:6">
      <c r="B33" s="103" t="s">
        <v>276</v>
      </c>
      <c r="C33" s="103" t="s">
        <v>287</v>
      </c>
      <c r="E33" s="152" t="s">
        <v>541</v>
      </c>
      <c r="F33" s="153"/>
    </row>
    <row r="34" spans="2:6">
      <c r="B34" s="103" t="s">
        <v>277</v>
      </c>
      <c r="C34" s="109">
        <f>+Pricing!$D$50</f>
        <v>0</v>
      </c>
      <c r="E34" s="235" t="s">
        <v>542</v>
      </c>
      <c r="F34" s="236">
        <f>Pricing!D6</f>
        <v>0</v>
      </c>
    </row>
    <row r="35" spans="2:6">
      <c r="B35" s="103" t="s">
        <v>278</v>
      </c>
      <c r="C35" s="103" t="s">
        <v>287</v>
      </c>
      <c r="E35" s="235"/>
      <c r="F35" s="237"/>
    </row>
    <row r="36" spans="2:6">
      <c r="B36" s="103" t="s">
        <v>279</v>
      </c>
      <c r="C36" s="103">
        <v>1</v>
      </c>
      <c r="E36" s="152" t="s">
        <v>543</v>
      </c>
      <c r="F36" s="153"/>
    </row>
    <row r="37" spans="2:6" ht="15">
      <c r="B37" s="103" t="s">
        <v>280</v>
      </c>
      <c r="C37" s="103">
        <v>120</v>
      </c>
      <c r="E37" s="152" t="s">
        <v>544</v>
      </c>
      <c r="F37" s="157" t="str" cm="1">
        <f t="array" ref="F37">_xlfn.IFS(X9=0," ",X9&gt;=0.0001,X9)</f>
        <v xml:space="preserve"> </v>
      </c>
    </row>
    <row r="38" spans="2:6">
      <c r="B38" s="103" t="s">
        <v>281</v>
      </c>
      <c r="C38" s="103">
        <v>90</v>
      </c>
      <c r="E38" s="152" t="s">
        <v>545</v>
      </c>
      <c r="F38" s="158">
        <v>1</v>
      </c>
    </row>
    <row r="39" spans="2:6">
      <c r="E39" s="152" t="s">
        <v>546</v>
      </c>
      <c r="F39" s="158">
        <f>+Pricing!D62</f>
        <v>0</v>
      </c>
    </row>
    <row r="40" spans="2:6">
      <c r="E40" s="152" t="s">
        <v>547</v>
      </c>
      <c r="F40" s="157">
        <f>+Pricing!H52</f>
        <v>0</v>
      </c>
    </row>
    <row r="41" spans="2:6">
      <c r="E41" s="152" t="s">
        <v>548</v>
      </c>
      <c r="F41" s="157">
        <f>+Pricing!H53</f>
        <v>0</v>
      </c>
    </row>
    <row r="42" spans="2:6">
      <c r="E42" s="152" t="s">
        <v>549</v>
      </c>
      <c r="F42" s="154">
        <f>+Pricing!D7</f>
        <v>0</v>
      </c>
    </row>
    <row r="43" spans="2:6">
      <c r="E43" s="152" t="s">
        <v>550</v>
      </c>
      <c r="F43" s="154">
        <f>+Pricing!D8</f>
        <v>0</v>
      </c>
    </row>
    <row r="44" spans="2:6">
      <c r="E44" s="152" t="s">
        <v>551</v>
      </c>
      <c r="F44" s="153" t="s">
        <v>215</v>
      </c>
    </row>
    <row r="45" spans="2:6" ht="15.75">
      <c r="E45" s="229" t="s">
        <v>552</v>
      </c>
      <c r="F45" s="229"/>
    </row>
    <row r="46" spans="2:6">
      <c r="E46" s="159" t="s">
        <v>553</v>
      </c>
      <c r="F46" s="160"/>
    </row>
    <row r="47" spans="2:6" ht="15">
      <c r="E47" s="159" t="s">
        <v>554</v>
      </c>
      <c r="F47" s="160"/>
    </row>
    <row r="48" spans="2:6" ht="15">
      <c r="E48" s="159" t="s">
        <v>584</v>
      </c>
      <c r="F48" s="160"/>
    </row>
    <row r="49" spans="5:6">
      <c r="E49" s="152" t="s">
        <v>555</v>
      </c>
      <c r="F49" s="157"/>
    </row>
    <row r="50" spans="5:6">
      <c r="E50" s="152" t="s">
        <v>556</v>
      </c>
      <c r="F50" s="157">
        <f>+Pricing!D50</f>
        <v>0</v>
      </c>
    </row>
    <row r="51" spans="5:6">
      <c r="E51" s="159" t="s">
        <v>557</v>
      </c>
      <c r="F51" s="160"/>
    </row>
    <row r="52" spans="5:6">
      <c r="E52" s="159" t="s">
        <v>559</v>
      </c>
      <c r="F52" s="160"/>
    </row>
    <row r="53" spans="5:6">
      <c r="E53" s="159" t="s">
        <v>558</v>
      </c>
      <c r="F53" s="160"/>
    </row>
    <row r="54" spans="5:6">
      <c r="E54" s="159" t="s">
        <v>560</v>
      </c>
      <c r="F54" s="160" t="str">
        <f>+Pricing!D56</f>
        <v/>
      </c>
    </row>
    <row r="55" spans="5:6">
      <c r="E55" s="152" t="s">
        <v>561</v>
      </c>
      <c r="F55" s="157" t="str">
        <f>IF(F10="renewal","Este valor debes ubicarlo en el Pricing Tool","No Aplica")</f>
        <v>No Aplica</v>
      </c>
    </row>
    <row r="56" spans="5:6">
      <c r="E56" s="103" t="s">
        <v>589</v>
      </c>
      <c r="F56" s="153" t="s">
        <v>590</v>
      </c>
    </row>
    <row r="57" spans="5:6" ht="15.75">
      <c r="E57" s="231" t="s">
        <v>562</v>
      </c>
      <c r="F57" s="232"/>
    </row>
    <row r="58" spans="5:6">
      <c r="E58" s="152" t="s">
        <v>563</v>
      </c>
      <c r="F58" s="161">
        <f>+Pricing!D53</f>
        <v>0</v>
      </c>
    </row>
    <row r="59" spans="5:6" ht="15">
      <c r="E59" s="152" t="s">
        <v>564</v>
      </c>
      <c r="F59" s="161"/>
    </row>
    <row r="60" spans="5:6">
      <c r="E60" s="152" t="s">
        <v>565</v>
      </c>
      <c r="F60" s="162">
        <v>6.25E-2</v>
      </c>
    </row>
    <row r="61" spans="5:6">
      <c r="E61" s="152" t="s">
        <v>272</v>
      </c>
      <c r="F61" s="162">
        <v>0.05</v>
      </c>
    </row>
    <row r="62" spans="5:6" ht="15">
      <c r="E62" s="152" t="s">
        <v>566</v>
      </c>
      <c r="F62" s="153"/>
    </row>
    <row r="63" spans="5:6">
      <c r="E63" s="152" t="s">
        <v>567</v>
      </c>
      <c r="F63" s="163">
        <v>90</v>
      </c>
    </row>
    <row r="64" spans="5:6" ht="16.5" thickBot="1">
      <c r="E64" s="230" t="s">
        <v>137</v>
      </c>
      <c r="F64" s="230"/>
    </row>
    <row r="65" spans="5:6">
      <c r="E65" s="164" t="s">
        <v>273</v>
      </c>
      <c r="F65" s="165">
        <v>0</v>
      </c>
    </row>
    <row r="66" spans="5:6">
      <c r="E66" s="166" t="s">
        <v>591</v>
      </c>
      <c r="F66" s="167"/>
    </row>
    <row r="67" spans="5:6" ht="15" thickBot="1">
      <c r="E67" s="168" t="s">
        <v>592</v>
      </c>
      <c r="F67" s="169"/>
    </row>
    <row r="68" spans="5:6">
      <c r="E68" s="164" t="s">
        <v>275</v>
      </c>
      <c r="F68" s="165">
        <v>0</v>
      </c>
    </row>
    <row r="69" spans="5:6">
      <c r="E69" s="166" t="s">
        <v>593</v>
      </c>
      <c r="F69" s="170"/>
    </row>
    <row r="70" spans="5:6" ht="15" thickBot="1">
      <c r="E70" s="168" t="s">
        <v>594</v>
      </c>
      <c r="F70" s="171"/>
    </row>
    <row r="71" spans="5:6">
      <c r="E71" s="164" t="s">
        <v>277</v>
      </c>
      <c r="F71" s="172"/>
    </row>
    <row r="72" spans="5:6">
      <c r="E72" s="166" t="s">
        <v>595</v>
      </c>
      <c r="F72" s="173"/>
    </row>
    <row r="73" spans="5:6" ht="15" thickBot="1">
      <c r="E73" s="168" t="s">
        <v>596</v>
      </c>
      <c r="F73" s="171"/>
    </row>
  </sheetData>
  <mergeCells count="15">
    <mergeCell ref="E2:F2"/>
    <mergeCell ref="E23:F23"/>
    <mergeCell ref="E30:F30"/>
    <mergeCell ref="B2:C2"/>
    <mergeCell ref="E3:E4"/>
    <mergeCell ref="F3:F4"/>
    <mergeCell ref="E5:E6"/>
    <mergeCell ref="F5:F6"/>
    <mergeCell ref="E45:F45"/>
    <mergeCell ref="E64:F64"/>
    <mergeCell ref="E57:F57"/>
    <mergeCell ref="E7:E8"/>
    <mergeCell ref="F7:F8"/>
    <mergeCell ref="E34:E35"/>
    <mergeCell ref="F34:F35"/>
  </mergeCells>
  <dataValidations count="5">
    <dataValidation type="list" allowBlank="1" showInputMessage="1" showErrorMessage="1" sqref="F10" xr:uid="{B61D2FAE-9885-4ACF-94BE-F3F1668576F2}">
      <formula1>$G$4:$G$5</formula1>
    </dataValidation>
    <dataValidation type="list" allowBlank="1" showInputMessage="1" showErrorMessage="1" sqref="F33" xr:uid="{9A604271-8C26-4583-BE0B-E2824C5DD689}">
      <formula1>$G$6:$G$7</formula1>
    </dataValidation>
    <dataValidation type="list" allowBlank="1" showInputMessage="1" showErrorMessage="1" sqref="F36" xr:uid="{4383BF78-FB94-4E52-A5D1-C07F5788A8C3}">
      <formula1>$G$8:$G$9</formula1>
    </dataValidation>
    <dataValidation type="list" allowBlank="1" showInputMessage="1" showErrorMessage="1" sqref="F52" xr:uid="{DC48D945-49A3-4E0B-9C83-04DBB762B3A3}">
      <formula1>$G$10:$G$11</formula1>
    </dataValidation>
    <dataValidation type="list" allowBlank="1" showInputMessage="1" showErrorMessage="1" sqref="F51" xr:uid="{1D194B0C-96BF-431B-B366-9366CE2727C4}">
      <formula1>$G$12:$G$14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D7B0A7F-7381-4103-B111-18C91A4C7605}">
          <x14:formula1>
            <xm:f>DATA!$F$2:$F$15</xm:f>
          </x14:formula1>
          <xm:sqref>F28</xm:sqref>
        </x14:dataValidation>
        <x14:dataValidation type="list" allowBlank="1" showInputMessage="1" showErrorMessage="1" xr:uid="{DB49A646-B710-4A47-8833-53C27EE75CD5}">
          <x14:formula1>
            <xm:f>DATA!$G$2:$G$11</xm:f>
          </x14:formula1>
          <xm:sqref>F27</xm:sqref>
        </x14:dataValidation>
        <x14:dataValidation type="list" allowBlank="1" showInputMessage="1" showErrorMessage="1" xr:uid="{6B0D1159-C194-4687-A9ED-C82B59F85855}">
          <x14:formula1>
            <xm:f>DATA!$I$2:$I$273</xm:f>
          </x14:formula1>
          <xm:sqref>F29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3600-D75C-48F1-9BC6-986D4BC5BE33}">
  <sheetPr codeName="Sheet7">
    <tabColor rgb="FFFF0000"/>
  </sheetPr>
  <dimension ref="A1:I279"/>
  <sheetViews>
    <sheetView topLeftCell="H71" workbookViewId="0">
      <selection activeCell="I254" sqref="I254"/>
    </sheetView>
  </sheetViews>
  <sheetFormatPr defaultRowHeight="14.25"/>
  <cols>
    <col min="1" max="1" width="55.125" bestFit="1" customWidth="1"/>
    <col min="2" max="2" width="52" bestFit="1" customWidth="1"/>
    <col min="3" max="3" width="55.75" bestFit="1" customWidth="1"/>
    <col min="5" max="5" width="59.375" bestFit="1" customWidth="1"/>
    <col min="6" max="6" width="55.5" bestFit="1" customWidth="1"/>
    <col min="7" max="7" width="9.875" bestFit="1" customWidth="1"/>
    <col min="8" max="9" width="57.625" customWidth="1"/>
  </cols>
  <sheetData>
    <row r="1" spans="1:9" ht="15.75" thickBot="1">
      <c r="A1" s="196" t="s">
        <v>597</v>
      </c>
      <c r="B1" s="197" t="s">
        <v>598</v>
      </c>
      <c r="C1" s="196" t="s">
        <v>599</v>
      </c>
      <c r="E1" s="198" t="s">
        <v>599</v>
      </c>
      <c r="F1" s="198" t="s">
        <v>598</v>
      </c>
      <c r="G1" s="198" t="s">
        <v>597</v>
      </c>
      <c r="I1" t="s">
        <v>599</v>
      </c>
    </row>
    <row r="2" spans="1:9" ht="15">
      <c r="A2" s="174" t="s">
        <v>600</v>
      </c>
      <c r="B2" s="175" t="s">
        <v>601</v>
      </c>
      <c r="C2" s="176" t="s">
        <v>602</v>
      </c>
      <c r="E2" t="s">
        <v>891</v>
      </c>
      <c r="F2" t="s">
        <v>890</v>
      </c>
      <c r="G2" t="s">
        <v>871</v>
      </c>
      <c r="I2" t="s">
        <v>940</v>
      </c>
    </row>
    <row r="3" spans="1:9" ht="15.75" thickBot="1">
      <c r="A3" s="177" t="s">
        <v>600</v>
      </c>
      <c r="B3" s="178" t="s">
        <v>601</v>
      </c>
      <c r="C3" s="179" t="s">
        <v>603</v>
      </c>
      <c r="I3" t="s">
        <v>885</v>
      </c>
    </row>
    <row r="4" spans="1:9" ht="15.75" thickBot="1">
      <c r="A4" s="177" t="s">
        <v>600</v>
      </c>
      <c r="B4" s="180" t="s">
        <v>604</v>
      </c>
      <c r="C4" s="181" t="s">
        <v>948</v>
      </c>
      <c r="I4" t="s">
        <v>763</v>
      </c>
    </row>
    <row r="5" spans="1:9" ht="15.75" thickBot="1">
      <c r="A5" s="177" t="s">
        <v>600</v>
      </c>
      <c r="B5" s="180" t="s">
        <v>605</v>
      </c>
      <c r="C5" s="181" t="s">
        <v>606</v>
      </c>
      <c r="I5" t="s">
        <v>790</v>
      </c>
    </row>
    <row r="6" spans="1:9" ht="15">
      <c r="A6" s="177" t="s">
        <v>600</v>
      </c>
      <c r="B6" s="175" t="s">
        <v>607</v>
      </c>
      <c r="C6" s="176" t="s">
        <v>608</v>
      </c>
      <c r="I6" t="s">
        <v>687</v>
      </c>
    </row>
    <row r="7" spans="1:9" ht="15.75" thickBot="1">
      <c r="A7" s="182" t="s">
        <v>600</v>
      </c>
      <c r="B7" s="178" t="s">
        <v>607</v>
      </c>
      <c r="C7" s="179" t="s">
        <v>609</v>
      </c>
      <c r="I7" t="s">
        <v>729</v>
      </c>
    </row>
    <row r="8" spans="1:9" ht="15.75" thickBot="1">
      <c r="A8" s="183" t="s">
        <v>610</v>
      </c>
      <c r="B8" s="180" t="s">
        <v>611</v>
      </c>
      <c r="C8" s="181" t="s">
        <v>948</v>
      </c>
      <c r="I8" t="s">
        <v>906</v>
      </c>
    </row>
    <row r="9" spans="1:9" ht="15.75" thickBot="1">
      <c r="A9" s="184" t="s">
        <v>610</v>
      </c>
      <c r="B9" s="180" t="s">
        <v>612</v>
      </c>
      <c r="C9" s="181" t="s">
        <v>948</v>
      </c>
      <c r="I9" t="s">
        <v>309</v>
      </c>
    </row>
    <row r="10" spans="1:9" ht="15.75" thickBot="1">
      <c r="A10" s="184" t="s">
        <v>610</v>
      </c>
      <c r="B10" s="180" t="s">
        <v>613</v>
      </c>
      <c r="C10" s="181" t="s">
        <v>614</v>
      </c>
      <c r="I10" t="s">
        <v>639</v>
      </c>
    </row>
    <row r="11" spans="1:9" ht="15.75" thickBot="1">
      <c r="A11" s="185" t="s">
        <v>610</v>
      </c>
      <c r="B11" s="186" t="s">
        <v>615</v>
      </c>
      <c r="C11" s="179" t="s">
        <v>948</v>
      </c>
      <c r="I11" t="s">
        <v>866</v>
      </c>
    </row>
    <row r="12" spans="1:9" ht="15">
      <c r="A12" s="183" t="s">
        <v>300</v>
      </c>
      <c r="B12" s="175" t="s">
        <v>616</v>
      </c>
      <c r="C12" s="176" t="s">
        <v>617</v>
      </c>
      <c r="I12" t="s">
        <v>657</v>
      </c>
    </row>
    <row r="13" spans="1:9" ht="15">
      <c r="A13" s="184" t="s">
        <v>300</v>
      </c>
      <c r="B13" s="187" t="s">
        <v>616</v>
      </c>
      <c r="C13" s="188" t="s">
        <v>618</v>
      </c>
      <c r="I13" t="s">
        <v>704</v>
      </c>
    </row>
    <row r="14" spans="1:9" ht="15">
      <c r="A14" s="184" t="s">
        <v>300</v>
      </c>
      <c r="B14" s="187" t="s">
        <v>616</v>
      </c>
      <c r="C14" s="188" t="s">
        <v>619</v>
      </c>
      <c r="I14" t="s">
        <v>891</v>
      </c>
    </row>
    <row r="15" spans="1:9" ht="15">
      <c r="A15" s="184" t="s">
        <v>300</v>
      </c>
      <c r="B15" s="187" t="s">
        <v>616</v>
      </c>
      <c r="C15" s="188" t="s">
        <v>620</v>
      </c>
      <c r="I15" t="s">
        <v>812</v>
      </c>
    </row>
    <row r="16" spans="1:9" ht="15">
      <c r="A16" s="184" t="s">
        <v>300</v>
      </c>
      <c r="B16" s="187" t="s">
        <v>616</v>
      </c>
      <c r="C16" s="188" t="s">
        <v>621</v>
      </c>
      <c r="I16" t="s">
        <v>659</v>
      </c>
    </row>
    <row r="17" spans="1:9" ht="15">
      <c r="A17" s="184" t="s">
        <v>300</v>
      </c>
      <c r="B17" s="187" t="s">
        <v>616</v>
      </c>
      <c r="C17" s="188" t="s">
        <v>622</v>
      </c>
      <c r="I17" t="s">
        <v>837</v>
      </c>
    </row>
    <row r="18" spans="1:9" ht="15">
      <c r="A18" s="184" t="s">
        <v>300</v>
      </c>
      <c r="B18" s="187" t="s">
        <v>616</v>
      </c>
      <c r="C18" s="188" t="s">
        <v>623</v>
      </c>
      <c r="I18" t="s">
        <v>892</v>
      </c>
    </row>
    <row r="19" spans="1:9" ht="15">
      <c r="A19" s="184" t="s">
        <v>300</v>
      </c>
      <c r="B19" s="187" t="s">
        <v>616</v>
      </c>
      <c r="C19" s="188" t="s">
        <v>624</v>
      </c>
      <c r="I19" t="s">
        <v>678</v>
      </c>
    </row>
    <row r="20" spans="1:9" ht="15">
      <c r="A20" s="184" t="s">
        <v>300</v>
      </c>
      <c r="B20" s="187" t="s">
        <v>616</v>
      </c>
      <c r="C20" s="188" t="s">
        <v>625</v>
      </c>
      <c r="I20" t="s">
        <v>881</v>
      </c>
    </row>
    <row r="21" spans="1:9" ht="15">
      <c r="A21" s="184" t="s">
        <v>300</v>
      </c>
      <c r="B21" s="187" t="s">
        <v>616</v>
      </c>
      <c r="C21" s="188" t="s">
        <v>626</v>
      </c>
      <c r="I21" t="s">
        <v>880</v>
      </c>
    </row>
    <row r="22" spans="1:9" ht="15">
      <c r="A22" s="184" t="s">
        <v>300</v>
      </c>
      <c r="B22" s="187" t="s">
        <v>616</v>
      </c>
      <c r="C22" s="188" t="s">
        <v>627</v>
      </c>
      <c r="I22" t="s">
        <v>636</v>
      </c>
    </row>
    <row r="23" spans="1:9" ht="15">
      <c r="A23" s="184" t="s">
        <v>300</v>
      </c>
      <c r="B23" s="187" t="s">
        <v>616</v>
      </c>
      <c r="C23" s="188" t="s">
        <v>628</v>
      </c>
      <c r="I23" t="s">
        <v>693</v>
      </c>
    </row>
    <row r="24" spans="1:9" ht="15">
      <c r="A24" s="184" t="s">
        <v>300</v>
      </c>
      <c r="B24" s="187" t="s">
        <v>616</v>
      </c>
      <c r="C24" s="188" t="s">
        <v>629</v>
      </c>
      <c r="I24" t="s">
        <v>722</v>
      </c>
    </row>
    <row r="25" spans="1:9" ht="15">
      <c r="A25" s="184" t="s">
        <v>300</v>
      </c>
      <c r="B25" s="187" t="s">
        <v>616</v>
      </c>
      <c r="C25" s="188" t="s">
        <v>630</v>
      </c>
      <c r="I25" t="s">
        <v>850</v>
      </c>
    </row>
    <row r="26" spans="1:9" ht="15">
      <c r="A26" s="184" t="s">
        <v>300</v>
      </c>
      <c r="B26" s="187" t="s">
        <v>616</v>
      </c>
      <c r="C26" s="188" t="s">
        <v>631</v>
      </c>
      <c r="I26" t="s">
        <v>643</v>
      </c>
    </row>
    <row r="27" spans="1:9" ht="15">
      <c r="A27" s="184" t="s">
        <v>300</v>
      </c>
      <c r="B27" s="187" t="s">
        <v>616</v>
      </c>
      <c r="C27" s="188" t="s">
        <v>632</v>
      </c>
      <c r="I27" t="s">
        <v>901</v>
      </c>
    </row>
    <row r="28" spans="1:9" ht="15">
      <c r="A28" s="184" t="s">
        <v>300</v>
      </c>
      <c r="B28" s="187" t="s">
        <v>616</v>
      </c>
      <c r="C28" s="188" t="s">
        <v>633</v>
      </c>
      <c r="I28" t="s">
        <v>634</v>
      </c>
    </row>
    <row r="29" spans="1:9" ht="15">
      <c r="A29" s="184" t="s">
        <v>300</v>
      </c>
      <c r="B29" s="187" t="s">
        <v>616</v>
      </c>
      <c r="C29" s="188" t="s">
        <v>634</v>
      </c>
      <c r="I29" t="s">
        <v>715</v>
      </c>
    </row>
    <row r="30" spans="1:9" ht="15">
      <c r="A30" s="184" t="s">
        <v>300</v>
      </c>
      <c r="B30" s="187" t="s">
        <v>616</v>
      </c>
      <c r="C30" s="188" t="s">
        <v>635</v>
      </c>
      <c r="I30" t="s">
        <v>651</v>
      </c>
    </row>
    <row r="31" spans="1:9" ht="15">
      <c r="A31" s="184" t="s">
        <v>300</v>
      </c>
      <c r="B31" s="187" t="s">
        <v>616</v>
      </c>
      <c r="C31" s="188" t="s">
        <v>636</v>
      </c>
      <c r="I31" t="s">
        <v>652</v>
      </c>
    </row>
    <row r="32" spans="1:9" ht="15">
      <c r="A32" s="184" t="s">
        <v>300</v>
      </c>
      <c r="B32" s="187" t="s">
        <v>616</v>
      </c>
      <c r="C32" s="188" t="s">
        <v>637</v>
      </c>
      <c r="I32" t="s">
        <v>780</v>
      </c>
    </row>
    <row r="33" spans="1:9" ht="15">
      <c r="A33" s="184" t="s">
        <v>300</v>
      </c>
      <c r="B33" s="187" t="s">
        <v>616</v>
      </c>
      <c r="C33" s="188" t="s">
        <v>638</v>
      </c>
      <c r="I33" t="s">
        <v>929</v>
      </c>
    </row>
    <row r="34" spans="1:9" ht="15">
      <c r="A34" s="184" t="s">
        <v>300</v>
      </c>
      <c r="B34" s="187" t="s">
        <v>616</v>
      </c>
      <c r="C34" s="188" t="s">
        <v>639</v>
      </c>
      <c r="I34" t="s">
        <v>889</v>
      </c>
    </row>
    <row r="35" spans="1:9" ht="15">
      <c r="A35" s="184" t="s">
        <v>300</v>
      </c>
      <c r="B35" s="187" t="s">
        <v>616</v>
      </c>
      <c r="C35" s="188" t="s">
        <v>640</v>
      </c>
      <c r="I35" t="s">
        <v>637</v>
      </c>
    </row>
    <row r="36" spans="1:9" ht="15">
      <c r="A36" s="184" t="s">
        <v>300</v>
      </c>
      <c r="B36" s="187" t="s">
        <v>616</v>
      </c>
      <c r="C36" s="188" t="s">
        <v>641</v>
      </c>
      <c r="I36" t="s">
        <v>635</v>
      </c>
    </row>
    <row r="37" spans="1:9" ht="15">
      <c r="A37" s="184" t="s">
        <v>300</v>
      </c>
      <c r="B37" s="187" t="s">
        <v>616</v>
      </c>
      <c r="C37" s="188" t="s">
        <v>642</v>
      </c>
      <c r="I37" t="s">
        <v>644</v>
      </c>
    </row>
    <row r="38" spans="1:9" ht="15">
      <c r="A38" s="184" t="s">
        <v>300</v>
      </c>
      <c r="B38" s="187" t="s">
        <v>616</v>
      </c>
      <c r="C38" s="188" t="s">
        <v>643</v>
      </c>
      <c r="I38" t="s">
        <v>626</v>
      </c>
    </row>
    <row r="39" spans="1:9" ht="15">
      <c r="A39" s="184" t="s">
        <v>300</v>
      </c>
      <c r="B39" s="187" t="s">
        <v>616</v>
      </c>
      <c r="C39" s="188" t="s">
        <v>644</v>
      </c>
      <c r="I39" t="s">
        <v>625</v>
      </c>
    </row>
    <row r="40" spans="1:9" ht="15">
      <c r="A40" s="184" t="s">
        <v>300</v>
      </c>
      <c r="B40" s="187" t="s">
        <v>616</v>
      </c>
      <c r="C40" s="188" t="s">
        <v>645</v>
      </c>
      <c r="I40" t="s">
        <v>875</v>
      </c>
    </row>
    <row r="41" spans="1:9" ht="15">
      <c r="A41" s="184" t="s">
        <v>300</v>
      </c>
      <c r="B41" s="187" t="s">
        <v>616</v>
      </c>
      <c r="C41" s="188" t="s">
        <v>646</v>
      </c>
      <c r="I41" t="s">
        <v>690</v>
      </c>
    </row>
    <row r="42" spans="1:9" ht="15">
      <c r="A42" s="184" t="s">
        <v>300</v>
      </c>
      <c r="B42" s="187" t="s">
        <v>616</v>
      </c>
      <c r="C42" s="188" t="s">
        <v>647</v>
      </c>
      <c r="I42" t="s">
        <v>714</v>
      </c>
    </row>
    <row r="43" spans="1:9" ht="15.75" thickBot="1">
      <c r="A43" s="184" t="s">
        <v>300</v>
      </c>
      <c r="B43" s="178" t="s">
        <v>616</v>
      </c>
      <c r="C43" s="179" t="s">
        <v>648</v>
      </c>
      <c r="I43" t="s">
        <v>868</v>
      </c>
    </row>
    <row r="44" spans="1:9" ht="15.75" thickBot="1">
      <c r="A44" s="184" t="s">
        <v>300</v>
      </c>
      <c r="B44" s="180" t="s">
        <v>649</v>
      </c>
      <c r="C44" s="181" t="s">
        <v>948</v>
      </c>
      <c r="I44" t="s">
        <v>716</v>
      </c>
    </row>
    <row r="45" spans="1:9" ht="15">
      <c r="A45" s="184" t="s">
        <v>300</v>
      </c>
      <c r="B45" s="175" t="s">
        <v>650</v>
      </c>
      <c r="C45" s="176" t="s">
        <v>651</v>
      </c>
      <c r="I45" t="s">
        <v>630</v>
      </c>
    </row>
    <row r="46" spans="1:9" ht="15">
      <c r="A46" s="184" t="s">
        <v>300</v>
      </c>
      <c r="B46" s="187" t="s">
        <v>650</v>
      </c>
      <c r="C46" s="188" t="s">
        <v>652</v>
      </c>
      <c r="I46" t="s">
        <v>621</v>
      </c>
    </row>
    <row r="47" spans="1:9" ht="15">
      <c r="A47" s="184" t="s">
        <v>300</v>
      </c>
      <c r="B47" s="187" t="s">
        <v>650</v>
      </c>
      <c r="C47" s="188" t="s">
        <v>653</v>
      </c>
      <c r="I47" t="s">
        <v>701</v>
      </c>
    </row>
    <row r="48" spans="1:9" ht="15">
      <c r="A48" s="184" t="s">
        <v>300</v>
      </c>
      <c r="B48" s="187" t="s">
        <v>650</v>
      </c>
      <c r="C48" s="188" t="s">
        <v>654</v>
      </c>
      <c r="I48" t="s">
        <v>920</v>
      </c>
    </row>
    <row r="49" spans="1:9" ht="15.75" thickBot="1">
      <c r="A49" s="184" t="s">
        <v>300</v>
      </c>
      <c r="B49" s="178" t="s">
        <v>650</v>
      </c>
      <c r="C49" s="179" t="s">
        <v>655</v>
      </c>
      <c r="I49" t="s">
        <v>717</v>
      </c>
    </row>
    <row r="50" spans="1:9" ht="15">
      <c r="A50" s="184" t="s">
        <v>300</v>
      </c>
      <c r="B50" s="175" t="s">
        <v>656</v>
      </c>
      <c r="C50" s="176" t="s">
        <v>657</v>
      </c>
      <c r="I50" t="s">
        <v>916</v>
      </c>
    </row>
    <row r="51" spans="1:9" ht="15">
      <c r="A51" s="184" t="s">
        <v>300</v>
      </c>
      <c r="B51" s="187" t="s">
        <v>656</v>
      </c>
      <c r="C51" s="188" t="s">
        <v>658</v>
      </c>
      <c r="I51" t="s">
        <v>864</v>
      </c>
    </row>
    <row r="52" spans="1:9" ht="15">
      <c r="A52" s="184" t="s">
        <v>300</v>
      </c>
      <c r="B52" s="187" t="s">
        <v>656</v>
      </c>
      <c r="C52" s="188" t="s">
        <v>659</v>
      </c>
      <c r="I52" t="s">
        <v>886</v>
      </c>
    </row>
    <row r="53" spans="1:9" ht="15.75" thickBot="1">
      <c r="A53" s="184" t="s">
        <v>300</v>
      </c>
      <c r="B53" s="178" t="s">
        <v>656</v>
      </c>
      <c r="C53" s="179" t="s">
        <v>660</v>
      </c>
      <c r="I53" t="s">
        <v>858</v>
      </c>
    </row>
    <row r="54" spans="1:9" ht="15">
      <c r="A54" s="184" t="s">
        <v>300</v>
      </c>
      <c r="B54" s="175" t="s">
        <v>661</v>
      </c>
      <c r="C54" s="176" t="s">
        <v>662</v>
      </c>
      <c r="I54" t="s">
        <v>813</v>
      </c>
    </row>
    <row r="55" spans="1:9" ht="15">
      <c r="A55" s="184" t="s">
        <v>300</v>
      </c>
      <c r="B55" s="187" t="s">
        <v>661</v>
      </c>
      <c r="C55" s="188" t="s">
        <v>663</v>
      </c>
      <c r="I55" t="s">
        <v>683</v>
      </c>
    </row>
    <row r="56" spans="1:9" ht="15">
      <c r="A56" s="184" t="s">
        <v>300</v>
      </c>
      <c r="B56" s="187" t="s">
        <v>661</v>
      </c>
      <c r="C56" s="188" t="s">
        <v>664</v>
      </c>
      <c r="I56" t="s">
        <v>684</v>
      </c>
    </row>
    <row r="57" spans="1:9" ht="15">
      <c r="A57" s="184" t="s">
        <v>300</v>
      </c>
      <c r="B57" s="187" t="s">
        <v>661</v>
      </c>
      <c r="C57" s="188" t="s">
        <v>665</v>
      </c>
      <c r="I57" t="s">
        <v>801</v>
      </c>
    </row>
    <row r="58" spans="1:9" ht="15.75" thickBot="1">
      <c r="A58" s="184" t="s">
        <v>300</v>
      </c>
      <c r="B58" s="178" t="s">
        <v>661</v>
      </c>
      <c r="C58" s="179" t="s">
        <v>383</v>
      </c>
      <c r="I58" t="s">
        <v>755</v>
      </c>
    </row>
    <row r="59" spans="1:9" ht="15">
      <c r="A59" s="184" t="s">
        <v>300</v>
      </c>
      <c r="B59" s="175" t="s">
        <v>666</v>
      </c>
      <c r="C59" s="176" t="s">
        <v>667</v>
      </c>
      <c r="I59" t="s">
        <v>888</v>
      </c>
    </row>
    <row r="60" spans="1:9" ht="15">
      <c r="A60" s="184" t="s">
        <v>300</v>
      </c>
      <c r="B60" s="187" t="s">
        <v>666</v>
      </c>
      <c r="C60" s="188" t="s">
        <v>668</v>
      </c>
      <c r="I60" t="s">
        <v>746</v>
      </c>
    </row>
    <row r="61" spans="1:9" ht="15">
      <c r="A61" s="184" t="s">
        <v>300</v>
      </c>
      <c r="B61" s="187" t="s">
        <v>666</v>
      </c>
      <c r="C61" s="188" t="s">
        <v>669</v>
      </c>
      <c r="I61" t="s">
        <v>719</v>
      </c>
    </row>
    <row r="62" spans="1:9" ht="15">
      <c r="A62" s="184" t="s">
        <v>300</v>
      </c>
      <c r="B62" s="187" t="s">
        <v>666</v>
      </c>
      <c r="C62" s="188" t="s">
        <v>670</v>
      </c>
      <c r="I62" t="s">
        <v>680</v>
      </c>
    </row>
    <row r="63" spans="1:9" ht="15">
      <c r="A63" s="184" t="s">
        <v>300</v>
      </c>
      <c r="B63" s="187" t="s">
        <v>666</v>
      </c>
      <c r="C63" s="188" t="s">
        <v>671</v>
      </c>
      <c r="I63" t="s">
        <v>934</v>
      </c>
    </row>
    <row r="64" spans="1:9" ht="15.75" thickBot="1">
      <c r="A64" s="184" t="s">
        <v>300</v>
      </c>
      <c r="B64" s="178" t="s">
        <v>666</v>
      </c>
      <c r="C64" s="179" t="s">
        <v>672</v>
      </c>
      <c r="I64" t="s">
        <v>677</v>
      </c>
    </row>
    <row r="65" spans="1:9" ht="15">
      <c r="A65" s="184" t="s">
        <v>300</v>
      </c>
      <c r="B65" s="175" t="s">
        <v>673</v>
      </c>
      <c r="C65" s="176" t="s">
        <v>674</v>
      </c>
      <c r="I65" t="s">
        <v>620</v>
      </c>
    </row>
    <row r="66" spans="1:9" ht="15">
      <c r="A66" s="184" t="s">
        <v>300</v>
      </c>
      <c r="B66" s="187" t="s">
        <v>673</v>
      </c>
      <c r="C66" s="188" t="s">
        <v>675</v>
      </c>
      <c r="I66" t="s">
        <v>898</v>
      </c>
    </row>
    <row r="67" spans="1:9" ht="15">
      <c r="A67" s="184" t="s">
        <v>300</v>
      </c>
      <c r="B67" s="187" t="s">
        <v>673</v>
      </c>
      <c r="C67" s="188" t="s">
        <v>676</v>
      </c>
      <c r="I67" t="s">
        <v>627</v>
      </c>
    </row>
    <row r="68" spans="1:9" ht="15">
      <c r="A68" s="184" t="s">
        <v>300</v>
      </c>
      <c r="B68" s="187" t="s">
        <v>673</v>
      </c>
      <c r="C68" s="188" t="s">
        <v>677</v>
      </c>
      <c r="I68" t="s">
        <v>912</v>
      </c>
    </row>
    <row r="69" spans="1:9" ht="15">
      <c r="A69" s="184" t="s">
        <v>300</v>
      </c>
      <c r="B69" s="187" t="s">
        <v>673</v>
      </c>
      <c r="C69" s="188" t="s">
        <v>678</v>
      </c>
      <c r="I69" t="s">
        <v>829</v>
      </c>
    </row>
    <row r="70" spans="1:9" ht="15">
      <c r="A70" s="184" t="s">
        <v>300</v>
      </c>
      <c r="B70" s="187" t="s">
        <v>673</v>
      </c>
      <c r="C70" s="188" t="s">
        <v>679</v>
      </c>
      <c r="I70" t="s">
        <v>642</v>
      </c>
    </row>
    <row r="71" spans="1:9" ht="15.75" thickBot="1">
      <c r="A71" s="184" t="s">
        <v>300</v>
      </c>
      <c r="B71" s="178" t="s">
        <v>673</v>
      </c>
      <c r="C71" s="179" t="s">
        <v>680</v>
      </c>
      <c r="I71" t="s">
        <v>632</v>
      </c>
    </row>
    <row r="72" spans="1:9" ht="15">
      <c r="A72" s="184" t="s">
        <v>300</v>
      </c>
      <c r="B72" s="175" t="s">
        <v>681</v>
      </c>
      <c r="C72" s="176" t="s">
        <v>682</v>
      </c>
      <c r="I72" t="s">
        <v>846</v>
      </c>
    </row>
    <row r="73" spans="1:9" ht="15">
      <c r="A73" s="184" t="s">
        <v>300</v>
      </c>
      <c r="B73" s="187" t="s">
        <v>681</v>
      </c>
      <c r="C73" s="188" t="s">
        <v>683</v>
      </c>
      <c r="I73" t="s">
        <v>848</v>
      </c>
    </row>
    <row r="74" spans="1:9" ht="15">
      <c r="A74" s="184" t="s">
        <v>300</v>
      </c>
      <c r="B74" s="187" t="s">
        <v>681</v>
      </c>
      <c r="C74" s="188" t="s">
        <v>684</v>
      </c>
      <c r="I74" t="s">
        <v>818</v>
      </c>
    </row>
    <row r="75" spans="1:9" ht="15.75" thickBot="1">
      <c r="A75" s="184" t="s">
        <v>300</v>
      </c>
      <c r="B75" s="178" t="s">
        <v>681</v>
      </c>
      <c r="C75" s="179" t="s">
        <v>685</v>
      </c>
      <c r="I75" t="s">
        <v>622</v>
      </c>
    </row>
    <row r="76" spans="1:9" ht="15">
      <c r="A76" s="184" t="s">
        <v>300</v>
      </c>
      <c r="B76" s="175" t="s">
        <v>686</v>
      </c>
      <c r="C76" s="176" t="s">
        <v>687</v>
      </c>
      <c r="I76" t="s">
        <v>816</v>
      </c>
    </row>
    <row r="77" spans="1:9" ht="15">
      <c r="A77" s="184" t="s">
        <v>300</v>
      </c>
      <c r="B77" s="187" t="s">
        <v>686</v>
      </c>
      <c r="C77" s="188" t="s">
        <v>688</v>
      </c>
      <c r="I77" t="s">
        <v>867</v>
      </c>
    </row>
    <row r="78" spans="1:9" ht="15">
      <c r="A78" s="184" t="s">
        <v>300</v>
      </c>
      <c r="B78" s="187" t="s">
        <v>686</v>
      </c>
      <c r="C78" s="188" t="s">
        <v>689</v>
      </c>
      <c r="I78" t="s">
        <v>845</v>
      </c>
    </row>
    <row r="79" spans="1:9" ht="15">
      <c r="A79" s="184" t="s">
        <v>300</v>
      </c>
      <c r="B79" s="187" t="s">
        <v>686</v>
      </c>
      <c r="C79" s="188" t="s">
        <v>690</v>
      </c>
      <c r="I79" t="s">
        <v>803</v>
      </c>
    </row>
    <row r="80" spans="1:9" ht="15">
      <c r="A80" s="184" t="s">
        <v>300</v>
      </c>
      <c r="B80" s="187" t="s">
        <v>686</v>
      </c>
      <c r="C80" s="188" t="s">
        <v>691</v>
      </c>
      <c r="I80" t="s">
        <v>759</v>
      </c>
    </row>
    <row r="81" spans="1:9" ht="15">
      <c r="A81" s="184" t="s">
        <v>300</v>
      </c>
      <c r="B81" s="187" t="s">
        <v>686</v>
      </c>
      <c r="C81" s="188" t="s">
        <v>692</v>
      </c>
      <c r="I81" t="s">
        <v>769</v>
      </c>
    </row>
    <row r="82" spans="1:9" ht="15">
      <c r="A82" s="184" t="s">
        <v>300</v>
      </c>
      <c r="B82" s="187" t="s">
        <v>686</v>
      </c>
      <c r="C82" s="188" t="s">
        <v>693</v>
      </c>
      <c r="I82" t="s">
        <v>723</v>
      </c>
    </row>
    <row r="83" spans="1:9" ht="15">
      <c r="A83" s="184" t="s">
        <v>300</v>
      </c>
      <c r="B83" s="187" t="s">
        <v>686</v>
      </c>
      <c r="C83" s="188" t="s">
        <v>694</v>
      </c>
      <c r="I83" t="s">
        <v>757</v>
      </c>
    </row>
    <row r="84" spans="1:9" ht="15">
      <c r="A84" s="184" t="s">
        <v>300</v>
      </c>
      <c r="B84" s="187" t="s">
        <v>686</v>
      </c>
      <c r="C84" s="188" t="s">
        <v>695</v>
      </c>
      <c r="I84" t="s">
        <v>814</v>
      </c>
    </row>
    <row r="85" spans="1:9" ht="15">
      <c r="A85" s="184" t="s">
        <v>300</v>
      </c>
      <c r="B85" s="187" t="s">
        <v>686</v>
      </c>
      <c r="C85" s="188" t="s">
        <v>696</v>
      </c>
      <c r="I85" t="s">
        <v>887</v>
      </c>
    </row>
    <row r="86" spans="1:9" ht="15">
      <c r="A86" s="184" t="s">
        <v>300</v>
      </c>
      <c r="B86" s="187" t="s">
        <v>686</v>
      </c>
      <c r="C86" s="188" t="s">
        <v>697</v>
      </c>
      <c r="I86" t="s">
        <v>900</v>
      </c>
    </row>
    <row r="87" spans="1:9" ht="15">
      <c r="A87" s="184" t="s">
        <v>300</v>
      </c>
      <c r="B87" s="187" t="s">
        <v>686</v>
      </c>
      <c r="C87" s="188" t="s">
        <v>698</v>
      </c>
      <c r="I87" t="s">
        <v>700</v>
      </c>
    </row>
    <row r="88" spans="1:9" ht="15">
      <c r="A88" s="184" t="s">
        <v>300</v>
      </c>
      <c r="B88" s="187" t="s">
        <v>686</v>
      </c>
      <c r="C88" s="188" t="s">
        <v>699</v>
      </c>
      <c r="I88" t="s">
        <v>741</v>
      </c>
    </row>
    <row r="89" spans="1:9" ht="15">
      <c r="A89" s="184" t="s">
        <v>300</v>
      </c>
      <c r="B89" s="187" t="s">
        <v>686</v>
      </c>
      <c r="C89" s="188" t="s">
        <v>700</v>
      </c>
      <c r="I89" t="s">
        <v>707</v>
      </c>
    </row>
    <row r="90" spans="1:9" ht="15">
      <c r="A90" s="184" t="s">
        <v>300</v>
      </c>
      <c r="B90" s="187" t="s">
        <v>686</v>
      </c>
      <c r="C90" s="188" t="s">
        <v>701</v>
      </c>
      <c r="I90" t="s">
        <v>735</v>
      </c>
    </row>
    <row r="91" spans="1:9" ht="15.75" thickBot="1">
      <c r="A91" s="184" t="s">
        <v>300</v>
      </c>
      <c r="B91" s="178" t="s">
        <v>686</v>
      </c>
      <c r="C91" s="179" t="s">
        <v>702</v>
      </c>
      <c r="I91" t="s">
        <v>660</v>
      </c>
    </row>
    <row r="92" spans="1:9" ht="15.75" thickBot="1">
      <c r="A92" s="184" t="s">
        <v>300</v>
      </c>
      <c r="B92" s="180" t="s">
        <v>703</v>
      </c>
      <c r="C92" s="181" t="s">
        <v>704</v>
      </c>
      <c r="I92" t="s">
        <v>859</v>
      </c>
    </row>
    <row r="93" spans="1:9" ht="15">
      <c r="A93" s="184" t="s">
        <v>300</v>
      </c>
      <c r="B93" s="175" t="s">
        <v>705</v>
      </c>
      <c r="C93" s="176" t="s">
        <v>706</v>
      </c>
      <c r="I93" t="s">
        <v>699</v>
      </c>
    </row>
    <row r="94" spans="1:9" ht="15">
      <c r="A94" s="184" t="s">
        <v>300</v>
      </c>
      <c r="B94" s="187" t="s">
        <v>705</v>
      </c>
      <c r="C94" s="188" t="s">
        <v>707</v>
      </c>
      <c r="I94" t="s">
        <v>938</v>
      </c>
    </row>
    <row r="95" spans="1:9" ht="15.75" thickBot="1">
      <c r="A95" s="184" t="s">
        <v>300</v>
      </c>
      <c r="B95" s="178" t="s">
        <v>705</v>
      </c>
      <c r="C95" s="179" t="s">
        <v>708</v>
      </c>
      <c r="I95" t="s">
        <v>608</v>
      </c>
    </row>
    <row r="96" spans="1:9" ht="15">
      <c r="A96" s="184" t="s">
        <v>300</v>
      </c>
      <c r="B96" s="175" t="s">
        <v>709</v>
      </c>
      <c r="C96" s="176" t="s">
        <v>710</v>
      </c>
      <c r="I96" t="s">
        <v>653</v>
      </c>
    </row>
    <row r="97" spans="1:9" ht="15.75" thickBot="1">
      <c r="A97" s="184" t="s">
        <v>300</v>
      </c>
      <c r="B97" s="178" t="s">
        <v>709</v>
      </c>
      <c r="C97" s="179" t="s">
        <v>711</v>
      </c>
      <c r="I97" t="s">
        <v>935</v>
      </c>
    </row>
    <row r="98" spans="1:9" ht="15">
      <c r="A98" s="184" t="s">
        <v>300</v>
      </c>
      <c r="B98" s="175" t="s">
        <v>712</v>
      </c>
      <c r="C98" s="176" t="s">
        <v>713</v>
      </c>
      <c r="I98" t="s">
        <v>820</v>
      </c>
    </row>
    <row r="99" spans="1:9" ht="15">
      <c r="A99" s="184" t="s">
        <v>300</v>
      </c>
      <c r="B99" s="187" t="s">
        <v>712</v>
      </c>
      <c r="C99" s="188" t="s">
        <v>714</v>
      </c>
      <c r="I99" t="s">
        <v>629</v>
      </c>
    </row>
    <row r="100" spans="1:9" ht="15">
      <c r="A100" s="184" t="s">
        <v>300</v>
      </c>
      <c r="B100" s="187" t="s">
        <v>712</v>
      </c>
      <c r="C100" s="188" t="s">
        <v>715</v>
      </c>
      <c r="I100" t="s">
        <v>624</v>
      </c>
    </row>
    <row r="101" spans="1:9" ht="15">
      <c r="A101" s="184" t="s">
        <v>300</v>
      </c>
      <c r="B101" s="187" t="s">
        <v>712</v>
      </c>
      <c r="C101" s="188" t="s">
        <v>716</v>
      </c>
      <c r="I101" t="s">
        <v>648</v>
      </c>
    </row>
    <row r="102" spans="1:9" ht="15">
      <c r="A102" s="184" t="s">
        <v>300</v>
      </c>
      <c r="B102" s="187" t="s">
        <v>712</v>
      </c>
      <c r="C102" s="188" t="s">
        <v>717</v>
      </c>
      <c r="I102" t="s">
        <v>795</v>
      </c>
    </row>
    <row r="103" spans="1:9" ht="15">
      <c r="A103" s="184" t="s">
        <v>300</v>
      </c>
      <c r="B103" s="187" t="s">
        <v>712</v>
      </c>
      <c r="C103" s="188" t="s">
        <v>718</v>
      </c>
      <c r="I103" t="s">
        <v>822</v>
      </c>
    </row>
    <row r="104" spans="1:9" ht="15">
      <c r="A104" s="184" t="s">
        <v>300</v>
      </c>
      <c r="B104" s="187" t="s">
        <v>712</v>
      </c>
      <c r="C104" s="188" t="s">
        <v>719</v>
      </c>
      <c r="I104" t="s">
        <v>628</v>
      </c>
    </row>
    <row r="105" spans="1:9" ht="15.75" thickBot="1">
      <c r="A105" s="184" t="s">
        <v>300</v>
      </c>
      <c r="B105" s="178" t="s">
        <v>712</v>
      </c>
      <c r="C105" s="179" t="s">
        <v>720</v>
      </c>
      <c r="I105" t="s">
        <v>882</v>
      </c>
    </row>
    <row r="106" spans="1:9" ht="15">
      <c r="A106" s="184" t="s">
        <v>300</v>
      </c>
      <c r="B106" s="175" t="s">
        <v>721</v>
      </c>
      <c r="C106" s="176" t="s">
        <v>722</v>
      </c>
      <c r="I106" t="s">
        <v>672</v>
      </c>
    </row>
    <row r="107" spans="1:9" ht="15">
      <c r="A107" s="184" t="s">
        <v>300</v>
      </c>
      <c r="B107" s="187" t="s">
        <v>721</v>
      </c>
      <c r="C107" s="188" t="s">
        <v>723</v>
      </c>
      <c r="I107" t="s">
        <v>836</v>
      </c>
    </row>
    <row r="108" spans="1:9" ht="15">
      <c r="A108" s="184" t="s">
        <v>300</v>
      </c>
      <c r="B108" s="187" t="s">
        <v>721</v>
      </c>
      <c r="C108" s="188" t="s">
        <v>724</v>
      </c>
      <c r="I108" t="s">
        <v>603</v>
      </c>
    </row>
    <row r="109" spans="1:9" ht="15">
      <c r="A109" s="184" t="s">
        <v>300</v>
      </c>
      <c r="B109" s="187" t="s">
        <v>721</v>
      </c>
      <c r="C109" s="188" t="s">
        <v>725</v>
      </c>
      <c r="I109" t="s">
        <v>932</v>
      </c>
    </row>
    <row r="110" spans="1:9" ht="15">
      <c r="A110" s="184" t="s">
        <v>300</v>
      </c>
      <c r="B110" s="187" t="s">
        <v>721</v>
      </c>
      <c r="C110" s="188" t="s">
        <v>726</v>
      </c>
      <c r="I110" t="s">
        <v>910</v>
      </c>
    </row>
    <row r="111" spans="1:9" ht="15">
      <c r="A111" s="184" t="s">
        <v>300</v>
      </c>
      <c r="B111" s="187" t="s">
        <v>721</v>
      </c>
      <c r="C111" s="188" t="s">
        <v>727</v>
      </c>
      <c r="I111" t="s">
        <v>782</v>
      </c>
    </row>
    <row r="112" spans="1:9" ht="15">
      <c r="A112" s="184" t="s">
        <v>300</v>
      </c>
      <c r="B112" s="187" t="s">
        <v>721</v>
      </c>
      <c r="C112" s="188" t="s">
        <v>728</v>
      </c>
      <c r="I112" t="s">
        <v>713</v>
      </c>
    </row>
    <row r="113" spans="1:9" ht="15">
      <c r="A113" s="184" t="s">
        <v>300</v>
      </c>
      <c r="B113" s="187" t="s">
        <v>721</v>
      </c>
      <c r="C113" s="188" t="s">
        <v>729</v>
      </c>
      <c r="I113" t="s">
        <v>823</v>
      </c>
    </row>
    <row r="114" spans="1:9" ht="15.75" thickBot="1">
      <c r="A114" s="184" t="s">
        <v>300</v>
      </c>
      <c r="B114" s="178" t="s">
        <v>721</v>
      </c>
      <c r="C114" s="179" t="s">
        <v>730</v>
      </c>
      <c r="I114" t="s">
        <v>832</v>
      </c>
    </row>
    <row r="115" spans="1:9" ht="15">
      <c r="A115" s="184" t="s">
        <v>300</v>
      </c>
      <c r="B115" s="175" t="s">
        <v>731</v>
      </c>
      <c r="C115" s="176" t="s">
        <v>732</v>
      </c>
      <c r="I115" t="s">
        <v>697</v>
      </c>
    </row>
    <row r="116" spans="1:9" ht="15">
      <c r="A116" s="184" t="s">
        <v>300</v>
      </c>
      <c r="B116" s="187" t="s">
        <v>731</v>
      </c>
      <c r="C116" s="188" t="s">
        <v>733</v>
      </c>
      <c r="I116" t="s">
        <v>733</v>
      </c>
    </row>
    <row r="117" spans="1:9" ht="15">
      <c r="A117" s="184" t="s">
        <v>300</v>
      </c>
      <c r="B117" s="187" t="s">
        <v>731</v>
      </c>
      <c r="C117" s="188" t="s">
        <v>734</v>
      </c>
      <c r="I117" t="s">
        <v>663</v>
      </c>
    </row>
    <row r="118" spans="1:9" ht="15">
      <c r="A118" s="184" t="s">
        <v>300</v>
      </c>
      <c r="B118" s="187" t="s">
        <v>731</v>
      </c>
      <c r="C118" s="188" t="s">
        <v>735</v>
      </c>
      <c r="I118" t="s">
        <v>913</v>
      </c>
    </row>
    <row r="119" spans="1:9" ht="15">
      <c r="A119" s="184" t="s">
        <v>300</v>
      </c>
      <c r="B119" s="187" t="s">
        <v>731</v>
      </c>
      <c r="C119" s="188" t="s">
        <v>736</v>
      </c>
      <c r="I119" t="s">
        <v>372</v>
      </c>
    </row>
    <row r="120" spans="1:9" ht="15">
      <c r="A120" s="184" t="s">
        <v>300</v>
      </c>
      <c r="B120" s="187" t="s">
        <v>731</v>
      </c>
      <c r="C120" s="188" t="s">
        <v>737</v>
      </c>
      <c r="I120" t="s">
        <v>873</v>
      </c>
    </row>
    <row r="121" spans="1:9" ht="15">
      <c r="A121" s="184" t="s">
        <v>300</v>
      </c>
      <c r="B121" s="187" t="s">
        <v>731</v>
      </c>
      <c r="C121" s="188" t="s">
        <v>738</v>
      </c>
      <c r="I121" t="s">
        <v>841</v>
      </c>
    </row>
    <row r="122" spans="1:9" ht="15">
      <c r="A122" s="184" t="s">
        <v>300</v>
      </c>
      <c r="B122" s="187" t="s">
        <v>731</v>
      </c>
      <c r="C122" s="188" t="s">
        <v>739</v>
      </c>
      <c r="I122" t="s">
        <v>753</v>
      </c>
    </row>
    <row r="123" spans="1:9" ht="15">
      <c r="A123" s="184" t="s">
        <v>300</v>
      </c>
      <c r="B123" s="187" t="s">
        <v>731</v>
      </c>
      <c r="C123" s="188" t="s">
        <v>740</v>
      </c>
      <c r="I123" t="s">
        <v>754</v>
      </c>
    </row>
    <row r="124" spans="1:9" ht="15.75" thickBot="1">
      <c r="A124" s="184" t="s">
        <v>300</v>
      </c>
      <c r="B124" s="178" t="s">
        <v>731</v>
      </c>
      <c r="C124" s="179" t="s">
        <v>741</v>
      </c>
      <c r="I124" t="s">
        <v>658</v>
      </c>
    </row>
    <row r="125" spans="1:9" ht="15">
      <c r="A125" s="184" t="s">
        <v>300</v>
      </c>
      <c r="B125" s="175" t="s">
        <v>742</v>
      </c>
      <c r="C125" s="176" t="s">
        <v>743</v>
      </c>
      <c r="I125" t="s">
        <v>752</v>
      </c>
    </row>
    <row r="126" spans="1:9" ht="15">
      <c r="A126" s="184" t="s">
        <v>300</v>
      </c>
      <c r="B126" s="187" t="s">
        <v>742</v>
      </c>
      <c r="C126" s="188" t="s">
        <v>744</v>
      </c>
      <c r="I126" t="s">
        <v>942</v>
      </c>
    </row>
    <row r="127" spans="1:9" ht="15">
      <c r="A127" s="184" t="s">
        <v>300</v>
      </c>
      <c r="B127" s="187" t="s">
        <v>742</v>
      </c>
      <c r="C127" s="188" t="s">
        <v>745</v>
      </c>
      <c r="I127" t="s">
        <v>623</v>
      </c>
    </row>
    <row r="128" spans="1:9" ht="15">
      <c r="A128" s="184" t="s">
        <v>300</v>
      </c>
      <c r="B128" s="187" t="s">
        <v>742</v>
      </c>
      <c r="C128" s="188" t="s">
        <v>746</v>
      </c>
      <c r="I128" t="s">
        <v>688</v>
      </c>
    </row>
    <row r="129" spans="1:9" ht="15.75" thickBot="1">
      <c r="A129" s="184" t="s">
        <v>300</v>
      </c>
      <c r="B129" s="178" t="s">
        <v>742</v>
      </c>
      <c r="C129" s="179" t="s">
        <v>747</v>
      </c>
      <c r="I129" t="s">
        <v>747</v>
      </c>
    </row>
    <row r="130" spans="1:9" ht="15">
      <c r="A130" s="184" t="s">
        <v>300</v>
      </c>
      <c r="B130" s="175" t="s">
        <v>748</v>
      </c>
      <c r="C130" s="176" t="s">
        <v>749</v>
      </c>
      <c r="I130" t="s">
        <v>698</v>
      </c>
    </row>
    <row r="131" spans="1:9" ht="15">
      <c r="A131" s="184" t="s">
        <v>300</v>
      </c>
      <c r="B131" s="187" t="s">
        <v>748</v>
      </c>
      <c r="C131" s="188" t="s">
        <v>750</v>
      </c>
      <c r="I131" t="s">
        <v>815</v>
      </c>
    </row>
    <row r="132" spans="1:9" ht="15">
      <c r="A132" s="184" t="s">
        <v>300</v>
      </c>
      <c r="B132" s="187" t="s">
        <v>748</v>
      </c>
      <c r="C132" s="188" t="s">
        <v>751</v>
      </c>
      <c r="I132" t="s">
        <v>797</v>
      </c>
    </row>
    <row r="133" spans="1:9" ht="15">
      <c r="A133" s="184" t="s">
        <v>300</v>
      </c>
      <c r="B133" s="187" t="s">
        <v>748</v>
      </c>
      <c r="C133" s="188" t="s">
        <v>752</v>
      </c>
      <c r="I133" t="s">
        <v>947</v>
      </c>
    </row>
    <row r="134" spans="1:9" ht="15">
      <c r="A134" s="184" t="s">
        <v>300</v>
      </c>
      <c r="B134" s="187" t="s">
        <v>748</v>
      </c>
      <c r="C134" s="188" t="s">
        <v>753</v>
      </c>
      <c r="I134" t="s">
        <v>870</v>
      </c>
    </row>
    <row r="135" spans="1:9" ht="15">
      <c r="A135" s="184" t="s">
        <v>300</v>
      </c>
      <c r="B135" s="187" t="s">
        <v>748</v>
      </c>
      <c r="C135" s="188" t="s">
        <v>754</v>
      </c>
      <c r="I135" t="s">
        <v>809</v>
      </c>
    </row>
    <row r="136" spans="1:9" ht="15">
      <c r="A136" s="184" t="s">
        <v>300</v>
      </c>
      <c r="B136" s="187" t="s">
        <v>748</v>
      </c>
      <c r="C136" s="188" t="s">
        <v>755</v>
      </c>
      <c r="I136" t="s">
        <v>851</v>
      </c>
    </row>
    <row r="137" spans="1:9" ht="15">
      <c r="A137" s="184" t="s">
        <v>300</v>
      </c>
      <c r="B137" s="187" t="s">
        <v>748</v>
      </c>
      <c r="C137" s="188" t="s">
        <v>756</v>
      </c>
      <c r="I137" t="s">
        <v>879</v>
      </c>
    </row>
    <row r="138" spans="1:9" ht="15">
      <c r="A138" s="184" t="s">
        <v>300</v>
      </c>
      <c r="B138" s="187" t="s">
        <v>748</v>
      </c>
      <c r="C138" s="188" t="s">
        <v>757</v>
      </c>
      <c r="I138" t="s">
        <v>711</v>
      </c>
    </row>
    <row r="139" spans="1:9" ht="15">
      <c r="A139" s="184" t="s">
        <v>300</v>
      </c>
      <c r="B139" s="187" t="s">
        <v>748</v>
      </c>
      <c r="C139" s="188" t="s">
        <v>758</v>
      </c>
      <c r="I139" t="s">
        <v>914</v>
      </c>
    </row>
    <row r="140" spans="1:9" ht="15.75" thickBot="1">
      <c r="A140" s="184" t="s">
        <v>300</v>
      </c>
      <c r="B140" s="178" t="s">
        <v>748</v>
      </c>
      <c r="C140" s="179" t="s">
        <v>759</v>
      </c>
      <c r="I140" t="s">
        <v>917</v>
      </c>
    </row>
    <row r="141" spans="1:9" ht="15">
      <c r="A141" s="184" t="s">
        <v>300</v>
      </c>
      <c r="B141" s="175" t="s">
        <v>760</v>
      </c>
      <c r="C141" s="176" t="s">
        <v>761</v>
      </c>
      <c r="I141" t="s">
        <v>852</v>
      </c>
    </row>
    <row r="142" spans="1:9" ht="15">
      <c r="A142" s="184" t="s">
        <v>300</v>
      </c>
      <c r="B142" s="187" t="s">
        <v>760</v>
      </c>
      <c r="C142" s="188" t="s">
        <v>762</v>
      </c>
      <c r="I142" t="s">
        <v>849</v>
      </c>
    </row>
    <row r="143" spans="1:9" ht="15">
      <c r="A143" s="184" t="s">
        <v>300</v>
      </c>
      <c r="B143" s="187" t="s">
        <v>760</v>
      </c>
      <c r="C143" s="188" t="s">
        <v>763</v>
      </c>
      <c r="I143" t="s">
        <v>778</v>
      </c>
    </row>
    <row r="144" spans="1:9" ht="15">
      <c r="A144" s="184" t="s">
        <v>300</v>
      </c>
      <c r="B144" s="187" t="s">
        <v>760</v>
      </c>
      <c r="C144" s="188" t="s">
        <v>764</v>
      </c>
      <c r="I144" t="s">
        <v>647</v>
      </c>
    </row>
    <row r="145" spans="1:9" ht="15">
      <c r="A145" s="184" t="s">
        <v>300</v>
      </c>
      <c r="B145" s="187" t="s">
        <v>760</v>
      </c>
      <c r="C145" s="188" t="s">
        <v>765</v>
      </c>
      <c r="I145" t="s">
        <v>640</v>
      </c>
    </row>
    <row r="146" spans="1:9" ht="15.75" thickBot="1">
      <c r="A146" s="184" t="s">
        <v>300</v>
      </c>
      <c r="B146" s="178" t="s">
        <v>760</v>
      </c>
      <c r="C146" s="179" t="s">
        <v>766</v>
      </c>
      <c r="I146" t="s">
        <v>646</v>
      </c>
    </row>
    <row r="147" spans="1:9" ht="15">
      <c r="A147" s="184" t="s">
        <v>300</v>
      </c>
      <c r="B147" s="175" t="s">
        <v>767</v>
      </c>
      <c r="C147" s="176" t="s">
        <v>768</v>
      </c>
      <c r="I147" t="s">
        <v>771</v>
      </c>
    </row>
    <row r="148" spans="1:9" ht="15.75" thickBot="1">
      <c r="A148" s="184" t="s">
        <v>300</v>
      </c>
      <c r="B148" s="178" t="s">
        <v>767</v>
      </c>
      <c r="C148" s="179" t="s">
        <v>769</v>
      </c>
      <c r="I148" t="s">
        <v>787</v>
      </c>
    </row>
    <row r="149" spans="1:9" ht="15.75" thickBot="1">
      <c r="A149" s="185" t="s">
        <v>300</v>
      </c>
      <c r="B149" s="186" t="s">
        <v>770</v>
      </c>
      <c r="C149" s="179" t="s">
        <v>771</v>
      </c>
      <c r="I149" t="s">
        <v>786</v>
      </c>
    </row>
    <row r="150" spans="1:9" ht="15">
      <c r="A150" s="189" t="s">
        <v>772</v>
      </c>
      <c r="B150" s="175" t="s">
        <v>773</v>
      </c>
      <c r="C150" s="176" t="s">
        <v>774</v>
      </c>
      <c r="I150" t="s">
        <v>669</v>
      </c>
    </row>
    <row r="151" spans="1:9" ht="15.75" thickBot="1">
      <c r="A151" s="190" t="s">
        <v>772</v>
      </c>
      <c r="B151" s="178" t="s">
        <v>773</v>
      </c>
      <c r="C151" s="179" t="s">
        <v>775</v>
      </c>
      <c r="I151" t="s">
        <v>617</v>
      </c>
    </row>
    <row r="152" spans="1:9" ht="15">
      <c r="A152" s="190" t="s">
        <v>772</v>
      </c>
      <c r="B152" s="175" t="s">
        <v>776</v>
      </c>
      <c r="C152" s="176" t="s">
        <v>777</v>
      </c>
      <c r="I152" t="s">
        <v>821</v>
      </c>
    </row>
    <row r="153" spans="1:9" ht="15">
      <c r="A153" s="190" t="s">
        <v>772</v>
      </c>
      <c r="B153" s="187" t="s">
        <v>776</v>
      </c>
      <c r="C153" s="188" t="s">
        <v>778</v>
      </c>
      <c r="I153" t="s">
        <v>911</v>
      </c>
    </row>
    <row r="154" spans="1:9" ht="15">
      <c r="A154" s="190" t="s">
        <v>772</v>
      </c>
      <c r="B154" s="187" t="s">
        <v>776</v>
      </c>
      <c r="C154" s="188" t="s">
        <v>779</v>
      </c>
      <c r="I154" t="s">
        <v>691</v>
      </c>
    </row>
    <row r="155" spans="1:9" ht="15.75" thickBot="1">
      <c r="A155" s="190" t="s">
        <v>772</v>
      </c>
      <c r="B155" s="178" t="s">
        <v>776</v>
      </c>
      <c r="C155" s="179" t="s">
        <v>780</v>
      </c>
      <c r="I155" t="s">
        <v>905</v>
      </c>
    </row>
    <row r="156" spans="1:9" ht="15">
      <c r="A156" s="190" t="s">
        <v>772</v>
      </c>
      <c r="B156" s="175" t="s">
        <v>781</v>
      </c>
      <c r="C156" s="176" t="s">
        <v>782</v>
      </c>
      <c r="I156" t="s">
        <v>819</v>
      </c>
    </row>
    <row r="157" spans="1:9" ht="15.75" thickBot="1">
      <c r="A157" s="190" t="s">
        <v>772</v>
      </c>
      <c r="B157" s="178" t="s">
        <v>781</v>
      </c>
      <c r="C157" s="179" t="s">
        <v>783</v>
      </c>
      <c r="I157" t="s">
        <v>710</v>
      </c>
    </row>
    <row r="158" spans="1:9" ht="15">
      <c r="A158" s="190" t="s">
        <v>772</v>
      </c>
      <c r="B158" s="175" t="s">
        <v>784</v>
      </c>
      <c r="C158" s="176" t="s">
        <v>785</v>
      </c>
      <c r="I158" t="s">
        <v>732</v>
      </c>
    </row>
    <row r="159" spans="1:9" ht="15">
      <c r="A159" s="190" t="s">
        <v>772</v>
      </c>
      <c r="B159" s="187" t="s">
        <v>784</v>
      </c>
      <c r="C159" s="188" t="s">
        <v>786</v>
      </c>
      <c r="I159" t="s">
        <v>736</v>
      </c>
    </row>
    <row r="160" spans="1:9" ht="15">
      <c r="A160" s="190" t="s">
        <v>772</v>
      </c>
      <c r="B160" s="187" t="s">
        <v>784</v>
      </c>
      <c r="C160" s="188" t="s">
        <v>787</v>
      </c>
      <c r="I160" t="s">
        <v>734</v>
      </c>
    </row>
    <row r="161" spans="1:9" ht="15.75" thickBot="1">
      <c r="A161" s="190" t="s">
        <v>772</v>
      </c>
      <c r="B161" s="178" t="s">
        <v>784</v>
      </c>
      <c r="C161" s="179" t="s">
        <v>788</v>
      </c>
      <c r="I161" t="s">
        <v>739</v>
      </c>
    </row>
    <row r="162" spans="1:9" ht="15.75" thickBot="1">
      <c r="A162" s="190" t="s">
        <v>772</v>
      </c>
      <c r="B162" s="180" t="s">
        <v>789</v>
      </c>
      <c r="C162" s="181" t="s">
        <v>790</v>
      </c>
      <c r="I162" t="s">
        <v>743</v>
      </c>
    </row>
    <row r="163" spans="1:9" ht="15.75" thickBot="1">
      <c r="A163" s="190" t="s">
        <v>772</v>
      </c>
      <c r="B163" s="186" t="s">
        <v>791</v>
      </c>
      <c r="C163" s="181" t="s">
        <v>792</v>
      </c>
      <c r="I163" t="s">
        <v>839</v>
      </c>
    </row>
    <row r="164" spans="1:9" ht="15">
      <c r="A164" s="190" t="s">
        <v>772</v>
      </c>
      <c r="B164" s="175" t="s">
        <v>793</v>
      </c>
      <c r="C164" s="176" t="s">
        <v>794</v>
      </c>
      <c r="I164" t="s">
        <v>740</v>
      </c>
    </row>
    <row r="165" spans="1:9" ht="15">
      <c r="A165" s="190" t="s">
        <v>772</v>
      </c>
      <c r="B165" s="187" t="s">
        <v>793</v>
      </c>
      <c r="C165" s="188" t="s">
        <v>795</v>
      </c>
      <c r="I165" t="s">
        <v>833</v>
      </c>
    </row>
    <row r="166" spans="1:9" ht="15">
      <c r="A166" s="190" t="s">
        <v>772</v>
      </c>
      <c r="B166" s="187" t="s">
        <v>793</v>
      </c>
      <c r="C166" s="188" t="s">
        <v>796</v>
      </c>
      <c r="I166" t="s">
        <v>830</v>
      </c>
    </row>
    <row r="167" spans="1:9" ht="15.75" thickBot="1">
      <c r="A167" s="190" t="s">
        <v>772</v>
      </c>
      <c r="B167" s="178" t="s">
        <v>793</v>
      </c>
      <c r="C167" s="179" t="s">
        <v>797</v>
      </c>
      <c r="I167" t="s">
        <v>609</v>
      </c>
    </row>
    <row r="168" spans="1:9" ht="15">
      <c r="A168" s="190" t="s">
        <v>772</v>
      </c>
      <c r="B168" s="187" t="s">
        <v>798</v>
      </c>
      <c r="C168" s="176" t="s">
        <v>799</v>
      </c>
      <c r="I168" t="s">
        <v>738</v>
      </c>
    </row>
    <row r="169" spans="1:9" ht="15">
      <c r="A169" s="190" t="s">
        <v>772</v>
      </c>
      <c r="B169" s="187" t="s">
        <v>798</v>
      </c>
      <c r="C169" s="188" t="s">
        <v>800</v>
      </c>
      <c r="I169" t="s">
        <v>883</v>
      </c>
    </row>
    <row r="170" spans="1:9" ht="15.75" thickBot="1">
      <c r="A170" s="190" t="s">
        <v>772</v>
      </c>
      <c r="B170" s="187" t="s">
        <v>798</v>
      </c>
      <c r="C170" s="179" t="s">
        <v>801</v>
      </c>
      <c r="I170" t="s">
        <v>855</v>
      </c>
    </row>
    <row r="171" spans="1:9" ht="15">
      <c r="A171" s="190" t="s">
        <v>772</v>
      </c>
      <c r="B171" s="175" t="s">
        <v>802</v>
      </c>
      <c r="C171" s="188" t="s">
        <v>803</v>
      </c>
      <c r="I171" t="s">
        <v>383</v>
      </c>
    </row>
    <row r="172" spans="1:9" ht="15">
      <c r="A172" s="190" t="s">
        <v>772</v>
      </c>
      <c r="B172" s="187" t="s">
        <v>802</v>
      </c>
      <c r="C172" s="188" t="s">
        <v>804</v>
      </c>
      <c r="I172" t="s">
        <v>874</v>
      </c>
    </row>
    <row r="173" spans="1:9" ht="15">
      <c r="A173" s="190" t="s">
        <v>772</v>
      </c>
      <c r="B173" s="187" t="s">
        <v>802</v>
      </c>
      <c r="C173" s="188" t="s">
        <v>805</v>
      </c>
      <c r="I173" t="s">
        <v>896</v>
      </c>
    </row>
    <row r="174" spans="1:9" ht="15">
      <c r="A174" s="190" t="s">
        <v>772</v>
      </c>
      <c r="B174" s="187" t="s">
        <v>802</v>
      </c>
      <c r="C174" s="188" t="s">
        <v>806</v>
      </c>
      <c r="I174" t="s">
        <v>762</v>
      </c>
    </row>
    <row r="175" spans="1:9" ht="15">
      <c r="A175" s="190" t="s">
        <v>772</v>
      </c>
      <c r="B175" s="187" t="s">
        <v>802</v>
      </c>
      <c r="C175" s="188" t="s">
        <v>807</v>
      </c>
      <c r="I175" t="s">
        <v>761</v>
      </c>
    </row>
    <row r="176" spans="1:9" ht="15">
      <c r="A176" s="190" t="s">
        <v>772</v>
      </c>
      <c r="B176" s="187" t="s">
        <v>802</v>
      </c>
      <c r="C176" s="188" t="s">
        <v>808</v>
      </c>
      <c r="I176" t="s">
        <v>751</v>
      </c>
    </row>
    <row r="177" spans="1:9" ht="15.75" thickBot="1">
      <c r="A177" s="191" t="s">
        <v>772</v>
      </c>
      <c r="B177" s="178" t="s">
        <v>802</v>
      </c>
      <c r="C177" s="179" t="s">
        <v>809</v>
      </c>
      <c r="I177" t="s">
        <v>923</v>
      </c>
    </row>
    <row r="178" spans="1:9" ht="15.75" thickBot="1">
      <c r="A178" s="192" t="s">
        <v>810</v>
      </c>
      <c r="B178" s="175" t="s">
        <v>811</v>
      </c>
      <c r="C178" s="176" t="s">
        <v>812</v>
      </c>
      <c r="I178" t="s">
        <v>843</v>
      </c>
    </row>
    <row r="179" spans="1:9" ht="15">
      <c r="A179" s="193" t="s">
        <v>810</v>
      </c>
      <c r="B179" s="187" t="s">
        <v>811</v>
      </c>
      <c r="C179" s="176" t="s">
        <v>813</v>
      </c>
      <c r="I179" t="s">
        <v>946</v>
      </c>
    </row>
    <row r="180" spans="1:9" ht="15">
      <c r="A180" s="193" t="s">
        <v>810</v>
      </c>
      <c r="B180" s="187" t="s">
        <v>811</v>
      </c>
      <c r="C180" s="188" t="s">
        <v>814</v>
      </c>
      <c r="I180" t="s">
        <v>805</v>
      </c>
    </row>
    <row r="181" spans="1:9" ht="15">
      <c r="A181" s="193" t="s">
        <v>810</v>
      </c>
      <c r="B181" s="187" t="s">
        <v>811</v>
      </c>
      <c r="C181" s="188" t="s">
        <v>815</v>
      </c>
      <c r="I181" t="s">
        <v>614</v>
      </c>
    </row>
    <row r="182" spans="1:9" ht="15.75" thickBot="1">
      <c r="A182" s="193" t="s">
        <v>810</v>
      </c>
      <c r="B182" s="178" t="s">
        <v>811</v>
      </c>
      <c r="C182" s="179" t="s">
        <v>816</v>
      </c>
      <c r="I182" t="s">
        <v>804</v>
      </c>
    </row>
    <row r="183" spans="1:9" ht="15">
      <c r="A183" s="193" t="s">
        <v>810</v>
      </c>
      <c r="B183" s="187" t="s">
        <v>817</v>
      </c>
      <c r="C183" s="188" t="s">
        <v>818</v>
      </c>
      <c r="I183" t="s">
        <v>835</v>
      </c>
    </row>
    <row r="184" spans="1:9" ht="15">
      <c r="A184" s="193" t="s">
        <v>810</v>
      </c>
      <c r="B184" s="187" t="s">
        <v>817</v>
      </c>
      <c r="C184" s="188" t="s">
        <v>819</v>
      </c>
      <c r="I184" t="s">
        <v>682</v>
      </c>
    </row>
    <row r="185" spans="1:9" ht="15">
      <c r="A185" s="193" t="s">
        <v>810</v>
      </c>
      <c r="B185" s="187" t="s">
        <v>817</v>
      </c>
      <c r="C185" s="188" t="s">
        <v>820</v>
      </c>
      <c r="I185" t="s">
        <v>927</v>
      </c>
    </row>
    <row r="186" spans="1:9" ht="15">
      <c r="A186" s="193" t="s">
        <v>810</v>
      </c>
      <c r="B186" s="187" t="s">
        <v>817</v>
      </c>
      <c r="C186" s="188" t="s">
        <v>821</v>
      </c>
      <c r="I186" t="s">
        <v>824</v>
      </c>
    </row>
    <row r="187" spans="1:9" ht="15">
      <c r="A187" s="193" t="s">
        <v>810</v>
      </c>
      <c r="B187" s="187" t="s">
        <v>817</v>
      </c>
      <c r="C187" s="188" t="s">
        <v>822</v>
      </c>
      <c r="I187" t="s">
        <v>728</v>
      </c>
    </row>
    <row r="188" spans="1:9" ht="15">
      <c r="A188" s="193" t="s">
        <v>810</v>
      </c>
      <c r="B188" s="187" t="s">
        <v>817</v>
      </c>
      <c r="C188" s="188" t="s">
        <v>823</v>
      </c>
      <c r="I188" t="s">
        <v>720</v>
      </c>
    </row>
    <row r="189" spans="1:9" ht="15.75" thickBot="1">
      <c r="A189" s="194" t="s">
        <v>810</v>
      </c>
      <c r="B189" s="178" t="s">
        <v>817</v>
      </c>
      <c r="C189" s="179" t="s">
        <v>824</v>
      </c>
      <c r="I189" t="s">
        <v>863</v>
      </c>
    </row>
    <row r="190" spans="1:9" ht="15.75" thickBot="1">
      <c r="A190" s="192" t="s">
        <v>825</v>
      </c>
      <c r="B190" s="180" t="s">
        <v>826</v>
      </c>
      <c r="C190" s="181" t="s">
        <v>827</v>
      </c>
      <c r="I190" t="s">
        <v>909</v>
      </c>
    </row>
    <row r="191" spans="1:9" ht="15">
      <c r="A191" s="193" t="s">
        <v>825</v>
      </c>
      <c r="B191" s="175" t="s">
        <v>828</v>
      </c>
      <c r="C191" s="176" t="s">
        <v>829</v>
      </c>
      <c r="I191" t="s">
        <v>671</v>
      </c>
    </row>
    <row r="192" spans="1:9" ht="15.75" thickBot="1">
      <c r="A192" s="193" t="s">
        <v>825</v>
      </c>
      <c r="B192" s="178" t="s">
        <v>828</v>
      </c>
      <c r="C192" s="179" t="s">
        <v>830</v>
      </c>
      <c r="I192" t="s">
        <v>908</v>
      </c>
    </row>
    <row r="193" spans="1:9" ht="15">
      <c r="A193" s="193" t="s">
        <v>825</v>
      </c>
      <c r="B193" s="175" t="s">
        <v>831</v>
      </c>
      <c r="C193" s="176" t="s">
        <v>832</v>
      </c>
      <c r="I193" t="s">
        <v>854</v>
      </c>
    </row>
    <row r="194" spans="1:9" ht="15.75" thickBot="1">
      <c r="A194" s="193" t="s">
        <v>825</v>
      </c>
      <c r="B194" s="178" t="s">
        <v>831</v>
      </c>
      <c r="C194" s="179" t="s">
        <v>833</v>
      </c>
      <c r="I194" t="s">
        <v>796</v>
      </c>
    </row>
    <row r="195" spans="1:9" ht="15">
      <c r="A195" s="193" t="s">
        <v>825</v>
      </c>
      <c r="B195" s="175" t="s">
        <v>834</v>
      </c>
      <c r="C195" s="176" t="s">
        <v>835</v>
      </c>
      <c r="I195" t="s">
        <v>696</v>
      </c>
    </row>
    <row r="196" spans="1:9" ht="15">
      <c r="A196" s="193" t="s">
        <v>825</v>
      </c>
      <c r="B196" s="187" t="s">
        <v>834</v>
      </c>
      <c r="C196" s="188" t="s">
        <v>836</v>
      </c>
      <c r="I196" t="s">
        <v>674</v>
      </c>
    </row>
    <row r="197" spans="1:9" ht="15.75" thickBot="1">
      <c r="A197" s="193" t="s">
        <v>825</v>
      </c>
      <c r="B197" s="178" t="s">
        <v>834</v>
      </c>
      <c r="C197" s="179" t="s">
        <v>837</v>
      </c>
      <c r="I197" t="s">
        <v>675</v>
      </c>
    </row>
    <row r="198" spans="1:9" ht="15.75" thickBot="1">
      <c r="A198" s="193" t="s">
        <v>825</v>
      </c>
      <c r="B198" s="180" t="s">
        <v>838</v>
      </c>
      <c r="C198" s="181" t="s">
        <v>839</v>
      </c>
      <c r="I198" t="s">
        <v>695</v>
      </c>
    </row>
    <row r="199" spans="1:9" ht="15">
      <c r="A199" s="193" t="s">
        <v>825</v>
      </c>
      <c r="B199" s="175" t="s">
        <v>840</v>
      </c>
      <c r="C199" s="176" t="s">
        <v>841</v>
      </c>
      <c r="I199" t="s">
        <v>692</v>
      </c>
    </row>
    <row r="200" spans="1:9" ht="15">
      <c r="A200" s="193" t="s">
        <v>825</v>
      </c>
      <c r="B200" s="187" t="s">
        <v>840</v>
      </c>
      <c r="C200" s="188" t="s">
        <v>842</v>
      </c>
      <c r="I200" t="s">
        <v>903</v>
      </c>
    </row>
    <row r="201" spans="1:9" ht="15.75" thickBot="1">
      <c r="A201" s="193" t="s">
        <v>825</v>
      </c>
      <c r="B201" s="178" t="s">
        <v>840</v>
      </c>
      <c r="C201" s="179" t="s">
        <v>843</v>
      </c>
      <c r="I201" t="s">
        <v>792</v>
      </c>
    </row>
    <row r="202" spans="1:9" ht="15">
      <c r="A202" s="193" t="s">
        <v>825</v>
      </c>
      <c r="B202" s="175" t="s">
        <v>844</v>
      </c>
      <c r="C202" s="176" t="s">
        <v>845</v>
      </c>
      <c r="I202" t="s">
        <v>708</v>
      </c>
    </row>
    <row r="203" spans="1:9" ht="15.75" thickBot="1">
      <c r="A203" s="193" t="s">
        <v>825</v>
      </c>
      <c r="B203" s="178" t="s">
        <v>844</v>
      </c>
      <c r="C203" s="179" t="s">
        <v>846</v>
      </c>
      <c r="I203" t="s">
        <v>718</v>
      </c>
    </row>
    <row r="204" spans="1:9" ht="15">
      <c r="A204" s="193" t="s">
        <v>825</v>
      </c>
      <c r="B204" s="187" t="s">
        <v>847</v>
      </c>
      <c r="C204" s="188" t="s">
        <v>848</v>
      </c>
      <c r="I204" t="s">
        <v>602</v>
      </c>
    </row>
    <row r="205" spans="1:9" ht="15">
      <c r="A205" s="193" t="s">
        <v>825</v>
      </c>
      <c r="B205" s="187" t="s">
        <v>847</v>
      </c>
      <c r="C205" s="188" t="s">
        <v>849</v>
      </c>
      <c r="I205" t="s">
        <v>619</v>
      </c>
    </row>
    <row r="206" spans="1:9" ht="15">
      <c r="A206" s="193" t="s">
        <v>825</v>
      </c>
      <c r="B206" s="187" t="s">
        <v>847</v>
      </c>
      <c r="C206" s="188" t="s">
        <v>850</v>
      </c>
      <c r="I206" t="s">
        <v>749</v>
      </c>
    </row>
    <row r="207" spans="1:9" ht="15">
      <c r="A207" s="193" t="s">
        <v>825</v>
      </c>
      <c r="B207" s="187" t="s">
        <v>847</v>
      </c>
      <c r="C207" s="188" t="s">
        <v>851</v>
      </c>
      <c r="I207" t="s">
        <v>633</v>
      </c>
    </row>
    <row r="208" spans="1:9" ht="15">
      <c r="A208" s="193" t="s">
        <v>825</v>
      </c>
      <c r="B208" s="187" t="s">
        <v>847</v>
      </c>
      <c r="C208" s="188" t="s">
        <v>852</v>
      </c>
      <c r="I208" t="s">
        <v>727</v>
      </c>
    </row>
    <row r="209" spans="1:9" ht="15">
      <c r="A209" s="193" t="s">
        <v>825</v>
      </c>
      <c r="B209" s="187" t="s">
        <v>847</v>
      </c>
      <c r="C209" s="188" t="s">
        <v>853</v>
      </c>
      <c r="I209" t="s">
        <v>758</v>
      </c>
    </row>
    <row r="210" spans="1:9" ht="15">
      <c r="A210" s="193" t="s">
        <v>825</v>
      </c>
      <c r="B210" s="187" t="s">
        <v>847</v>
      </c>
      <c r="C210" s="188" t="s">
        <v>854</v>
      </c>
      <c r="I210" t="s">
        <v>726</v>
      </c>
    </row>
    <row r="211" spans="1:9" ht="15.75" thickBot="1">
      <c r="A211" s="194" t="s">
        <v>825</v>
      </c>
      <c r="B211" s="178" t="s">
        <v>847</v>
      </c>
      <c r="C211" s="179" t="s">
        <v>855</v>
      </c>
      <c r="I211" t="s">
        <v>730</v>
      </c>
    </row>
    <row r="212" spans="1:9" ht="15">
      <c r="A212" s="192" t="s">
        <v>856</v>
      </c>
      <c r="B212" s="175" t="s">
        <v>857</v>
      </c>
      <c r="C212" s="176" t="s">
        <v>858</v>
      </c>
      <c r="I212" t="s">
        <v>904</v>
      </c>
    </row>
    <row r="213" spans="1:9" ht="15.75" thickBot="1">
      <c r="A213" s="193" t="s">
        <v>856</v>
      </c>
      <c r="B213" s="178" t="s">
        <v>857</v>
      </c>
      <c r="C213" s="179" t="s">
        <v>859</v>
      </c>
      <c r="I213" t="s">
        <v>936</v>
      </c>
    </row>
    <row r="214" spans="1:9" ht="15.75" thickBot="1">
      <c r="A214" s="193" t="s">
        <v>856</v>
      </c>
      <c r="B214" s="180" t="s">
        <v>860</v>
      </c>
      <c r="C214" s="181" t="s">
        <v>948</v>
      </c>
      <c r="I214" t="s">
        <v>928</v>
      </c>
    </row>
    <row r="215" spans="1:9" ht="15.75" thickBot="1">
      <c r="A215" s="193" t="s">
        <v>856</v>
      </c>
      <c r="B215" s="180" t="s">
        <v>861</v>
      </c>
      <c r="C215" s="181" t="s">
        <v>948</v>
      </c>
      <c r="I215" t="s">
        <v>745</v>
      </c>
    </row>
    <row r="216" spans="1:9" ht="15">
      <c r="A216" s="193" t="s">
        <v>856</v>
      </c>
      <c r="B216" s="187" t="s">
        <v>862</v>
      </c>
      <c r="C216" s="176" t="s">
        <v>863</v>
      </c>
      <c r="I216" t="s">
        <v>842</v>
      </c>
    </row>
    <row r="217" spans="1:9" ht="15">
      <c r="A217" s="193" t="s">
        <v>856</v>
      </c>
      <c r="B217" s="187" t="s">
        <v>862</v>
      </c>
      <c r="C217" s="188" t="s">
        <v>864</v>
      </c>
      <c r="I217" t="s">
        <v>765</v>
      </c>
    </row>
    <row r="218" spans="1:9" ht="15">
      <c r="A218" s="193" t="s">
        <v>856</v>
      </c>
      <c r="B218" s="187" t="s">
        <v>862</v>
      </c>
      <c r="C218" s="188" t="s">
        <v>865</v>
      </c>
      <c r="I218" t="s">
        <v>774</v>
      </c>
    </row>
    <row r="219" spans="1:9" ht="15">
      <c r="A219" s="193" t="s">
        <v>856</v>
      </c>
      <c r="B219" s="187" t="s">
        <v>862</v>
      </c>
      <c r="C219" s="188" t="s">
        <v>866</v>
      </c>
      <c r="I219" t="s">
        <v>925</v>
      </c>
    </row>
    <row r="220" spans="1:9" ht="15">
      <c r="A220" s="193" t="s">
        <v>856</v>
      </c>
      <c r="B220" s="187" t="s">
        <v>862</v>
      </c>
      <c r="C220" s="188" t="s">
        <v>867</v>
      </c>
      <c r="I220" t="s">
        <v>894</v>
      </c>
    </row>
    <row r="221" spans="1:9" ht="15.75" thickBot="1">
      <c r="A221" s="193" t="s">
        <v>856</v>
      </c>
      <c r="B221" s="187" t="s">
        <v>862</v>
      </c>
      <c r="C221" s="179" t="s">
        <v>868</v>
      </c>
      <c r="I221" t="s">
        <v>876</v>
      </c>
    </row>
    <row r="222" spans="1:9" ht="15.75" thickBot="1">
      <c r="A222" s="194" t="s">
        <v>856</v>
      </c>
      <c r="B222" s="180" t="s">
        <v>869</v>
      </c>
      <c r="C222" s="179" t="s">
        <v>870</v>
      </c>
      <c r="I222" t="s">
        <v>827</v>
      </c>
    </row>
    <row r="223" spans="1:9" ht="15">
      <c r="A223" s="192" t="s">
        <v>871</v>
      </c>
      <c r="B223" s="175" t="s">
        <v>872</v>
      </c>
      <c r="C223" s="176" t="s">
        <v>873</v>
      </c>
      <c r="I223" t="s">
        <v>645</v>
      </c>
    </row>
    <row r="224" spans="1:9" ht="15">
      <c r="A224" s="193" t="s">
        <v>871</v>
      </c>
      <c r="B224" s="187" t="s">
        <v>872</v>
      </c>
      <c r="C224" s="188" t="s">
        <v>874</v>
      </c>
      <c r="I224" t="s">
        <v>744</v>
      </c>
    </row>
    <row r="225" spans="1:9" ht="15">
      <c r="A225" s="193" t="s">
        <v>871</v>
      </c>
      <c r="B225" s="187" t="s">
        <v>872</v>
      </c>
      <c r="C225" s="188" t="s">
        <v>372</v>
      </c>
      <c r="I225" t="s">
        <v>702</v>
      </c>
    </row>
    <row r="226" spans="1:9" ht="15">
      <c r="A226" s="193" t="s">
        <v>871</v>
      </c>
      <c r="B226" s="187" t="s">
        <v>872</v>
      </c>
      <c r="C226" s="188" t="s">
        <v>875</v>
      </c>
      <c r="I226" t="s">
        <v>679</v>
      </c>
    </row>
    <row r="227" spans="1:9" ht="15">
      <c r="A227" s="193" t="s">
        <v>871</v>
      </c>
      <c r="B227" s="187" t="s">
        <v>872</v>
      </c>
      <c r="C227" s="188" t="s">
        <v>876</v>
      </c>
      <c r="I227" t="s">
        <v>808</v>
      </c>
    </row>
    <row r="228" spans="1:9" ht="15.75" thickBot="1">
      <c r="A228" s="193" t="s">
        <v>871</v>
      </c>
      <c r="B228" s="178" t="s">
        <v>872</v>
      </c>
      <c r="C228" s="179" t="s">
        <v>877</v>
      </c>
      <c r="I228" t="s">
        <v>618</v>
      </c>
    </row>
    <row r="229" spans="1:9" ht="15">
      <c r="A229" s="193" t="s">
        <v>871</v>
      </c>
      <c r="B229" s="175" t="s">
        <v>878</v>
      </c>
      <c r="C229" s="176" t="s">
        <v>879</v>
      </c>
      <c r="I229" t="s">
        <v>662</v>
      </c>
    </row>
    <row r="230" spans="1:9" ht="15">
      <c r="A230" s="193" t="s">
        <v>871</v>
      </c>
      <c r="B230" s="187" t="s">
        <v>878</v>
      </c>
      <c r="C230" s="188" t="s">
        <v>880</v>
      </c>
      <c r="I230" t="s">
        <v>779</v>
      </c>
    </row>
    <row r="231" spans="1:9" ht="15">
      <c r="A231" s="193" t="s">
        <v>871</v>
      </c>
      <c r="B231" s="187" t="s">
        <v>878</v>
      </c>
      <c r="C231" s="188" t="s">
        <v>881</v>
      </c>
      <c r="I231" t="s">
        <v>918</v>
      </c>
    </row>
    <row r="232" spans="1:9" ht="15">
      <c r="A232" s="193" t="s">
        <v>871</v>
      </c>
      <c r="B232" s="187" t="s">
        <v>878</v>
      </c>
      <c r="C232" s="188" t="s">
        <v>882</v>
      </c>
      <c r="I232" t="s">
        <v>877</v>
      </c>
    </row>
    <row r="233" spans="1:9" ht="15">
      <c r="A233" s="193" t="s">
        <v>871</v>
      </c>
      <c r="B233" s="187" t="s">
        <v>878</v>
      </c>
      <c r="C233" s="188" t="s">
        <v>883</v>
      </c>
      <c r="I233" t="s">
        <v>756</v>
      </c>
    </row>
    <row r="234" spans="1:9" ht="15">
      <c r="A234" s="193" t="s">
        <v>871</v>
      </c>
      <c r="B234" s="187" t="s">
        <v>884</v>
      </c>
      <c r="C234" s="188" t="s">
        <v>885</v>
      </c>
      <c r="I234" t="s">
        <v>676</v>
      </c>
    </row>
    <row r="235" spans="1:9" ht="15">
      <c r="A235" s="193" t="s">
        <v>871</v>
      </c>
      <c r="B235" s="187" t="s">
        <v>884</v>
      </c>
      <c r="C235" s="188" t="s">
        <v>886</v>
      </c>
      <c r="I235" t="s">
        <v>807</v>
      </c>
    </row>
    <row r="236" spans="1:9" ht="15">
      <c r="A236" s="193" t="s">
        <v>871</v>
      </c>
      <c r="B236" s="187" t="s">
        <v>884</v>
      </c>
      <c r="C236" s="188" t="s">
        <v>887</v>
      </c>
      <c r="I236" t="s">
        <v>737</v>
      </c>
    </row>
    <row r="237" spans="1:9" ht="15">
      <c r="A237" s="193" t="s">
        <v>871</v>
      </c>
      <c r="B237" s="187" t="s">
        <v>884</v>
      </c>
      <c r="C237" s="188" t="s">
        <v>888</v>
      </c>
      <c r="I237" t="s">
        <v>764</v>
      </c>
    </row>
    <row r="238" spans="1:9" ht="15.75" thickBot="1">
      <c r="A238" s="193" t="s">
        <v>871</v>
      </c>
      <c r="B238" s="178" t="s">
        <v>884</v>
      </c>
      <c r="C238" s="179" t="s">
        <v>889</v>
      </c>
      <c r="I238" t="s">
        <v>865</v>
      </c>
    </row>
    <row r="239" spans="1:9" ht="15">
      <c r="A239" s="193" t="s">
        <v>871</v>
      </c>
      <c r="B239" s="175" t="s">
        <v>890</v>
      </c>
      <c r="C239" s="176" t="s">
        <v>891</v>
      </c>
      <c r="I239" t="s">
        <v>694</v>
      </c>
    </row>
    <row r="240" spans="1:9" ht="15.75" thickBot="1">
      <c r="A240" s="193" t="s">
        <v>871</v>
      </c>
      <c r="B240" s="178" t="s">
        <v>890</v>
      </c>
      <c r="C240" s="179" t="s">
        <v>892</v>
      </c>
      <c r="I240" t="s">
        <v>921</v>
      </c>
    </row>
    <row r="241" spans="1:9" ht="15.75" thickBot="1">
      <c r="A241" s="193" t="s">
        <v>871</v>
      </c>
      <c r="B241" s="180" t="s">
        <v>893</v>
      </c>
      <c r="C241" s="181" t="s">
        <v>894</v>
      </c>
      <c r="I241" t="s">
        <v>944</v>
      </c>
    </row>
    <row r="242" spans="1:9" ht="15.75" thickBot="1">
      <c r="A242" s="193" t="s">
        <v>871</v>
      </c>
      <c r="B242" s="180" t="s">
        <v>895</v>
      </c>
      <c r="C242" s="181" t="s">
        <v>896</v>
      </c>
      <c r="I242" t="s">
        <v>902</v>
      </c>
    </row>
    <row r="243" spans="1:9" ht="15">
      <c r="A243" s="193" t="s">
        <v>871</v>
      </c>
      <c r="B243" s="175" t="s">
        <v>897</v>
      </c>
      <c r="C243" s="176" t="s">
        <v>898</v>
      </c>
      <c r="I243" t="s">
        <v>725</v>
      </c>
    </row>
    <row r="244" spans="1:9" ht="15">
      <c r="A244" s="193" t="s">
        <v>871</v>
      </c>
      <c r="B244" s="187" t="s">
        <v>897</v>
      </c>
      <c r="C244" s="188" t="s">
        <v>899</v>
      </c>
      <c r="I244" t="s">
        <v>724</v>
      </c>
    </row>
    <row r="245" spans="1:9" ht="15">
      <c r="A245" s="193" t="s">
        <v>871</v>
      </c>
      <c r="B245" s="187" t="s">
        <v>897</v>
      </c>
      <c r="C245" s="188" t="s">
        <v>900</v>
      </c>
      <c r="I245" t="s">
        <v>664</v>
      </c>
    </row>
    <row r="246" spans="1:9" ht="15">
      <c r="A246" s="193" t="s">
        <v>871</v>
      </c>
      <c r="B246" s="187" t="s">
        <v>897</v>
      </c>
      <c r="C246" s="188" t="s">
        <v>901</v>
      </c>
      <c r="I246" t="s">
        <v>768</v>
      </c>
    </row>
    <row r="247" spans="1:9" ht="15">
      <c r="A247" s="193" t="s">
        <v>871</v>
      </c>
      <c r="B247" s="187" t="s">
        <v>897</v>
      </c>
      <c r="C247" s="188" t="s">
        <v>902</v>
      </c>
      <c r="I247" t="s">
        <v>750</v>
      </c>
    </row>
    <row r="248" spans="1:9" ht="15">
      <c r="A248" s="193" t="s">
        <v>871</v>
      </c>
      <c r="B248" s="187" t="s">
        <v>897</v>
      </c>
      <c r="C248" s="188" t="s">
        <v>903</v>
      </c>
      <c r="I248" t="s">
        <v>775</v>
      </c>
    </row>
    <row r="249" spans="1:9" ht="15">
      <c r="A249" s="193" t="s">
        <v>871</v>
      </c>
      <c r="B249" s="187" t="s">
        <v>897</v>
      </c>
      <c r="C249" s="188" t="s">
        <v>904</v>
      </c>
      <c r="I249" t="s">
        <v>689</v>
      </c>
    </row>
    <row r="250" spans="1:9" ht="15">
      <c r="A250" s="193" t="s">
        <v>871</v>
      </c>
      <c r="B250" s="187" t="s">
        <v>897</v>
      </c>
      <c r="C250" s="188" t="s">
        <v>309</v>
      </c>
      <c r="I250" t="s">
        <v>777</v>
      </c>
    </row>
    <row r="251" spans="1:9" ht="15">
      <c r="A251" s="193" t="s">
        <v>871</v>
      </c>
      <c r="B251" s="187" t="s">
        <v>897</v>
      </c>
      <c r="C251" s="188" t="s">
        <v>905</v>
      </c>
      <c r="I251" t="s">
        <v>799</v>
      </c>
    </row>
    <row r="252" spans="1:9" ht="15.75" thickBot="1">
      <c r="A252" s="193" t="s">
        <v>871</v>
      </c>
      <c r="B252" s="178" t="s">
        <v>897</v>
      </c>
      <c r="C252" s="179" t="s">
        <v>906</v>
      </c>
      <c r="I252" t="s">
        <v>800</v>
      </c>
    </row>
    <row r="253" spans="1:9" ht="15">
      <c r="A253" s="193" t="s">
        <v>871</v>
      </c>
      <c r="B253" s="175" t="s">
        <v>907</v>
      </c>
      <c r="C253" s="176" t="s">
        <v>908</v>
      </c>
      <c r="I253" t="s">
        <v>655</v>
      </c>
    </row>
    <row r="254" spans="1:9" ht="15">
      <c r="A254" s="193" t="s">
        <v>871</v>
      </c>
      <c r="B254" s="187" t="s">
        <v>907</v>
      </c>
      <c r="C254" s="188" t="s">
        <v>909</v>
      </c>
      <c r="I254" t="s">
        <v>899</v>
      </c>
    </row>
    <row r="255" spans="1:9" ht="15">
      <c r="A255" s="193" t="s">
        <v>871</v>
      </c>
      <c r="B255" s="187" t="s">
        <v>907</v>
      </c>
      <c r="C255" s="188" t="s">
        <v>910</v>
      </c>
      <c r="I255" t="s">
        <v>606</v>
      </c>
    </row>
    <row r="256" spans="1:9" ht="15">
      <c r="A256" s="193" t="s">
        <v>871</v>
      </c>
      <c r="B256" s="187" t="s">
        <v>907</v>
      </c>
      <c r="C256" s="188" t="s">
        <v>911</v>
      </c>
      <c r="I256" t="s">
        <v>706</v>
      </c>
    </row>
    <row r="257" spans="1:9" ht="15">
      <c r="A257" s="193" t="s">
        <v>871</v>
      </c>
      <c r="B257" s="187" t="s">
        <v>907</v>
      </c>
      <c r="C257" s="188" t="s">
        <v>912</v>
      </c>
      <c r="I257" t="s">
        <v>853</v>
      </c>
    </row>
    <row r="258" spans="1:9" ht="15.75" thickBot="1">
      <c r="A258" s="193" t="s">
        <v>871</v>
      </c>
      <c r="B258" s="178" t="s">
        <v>907</v>
      </c>
      <c r="C258" s="179" t="s">
        <v>913</v>
      </c>
      <c r="I258" t="s">
        <v>766</v>
      </c>
    </row>
    <row r="259" spans="1:9" ht="15.75" thickBot="1">
      <c r="A259" s="193" t="s">
        <v>871</v>
      </c>
      <c r="B259" s="180" t="s">
        <v>914</v>
      </c>
      <c r="C259" s="181" t="s">
        <v>914</v>
      </c>
      <c r="I259" t="s">
        <v>794</v>
      </c>
    </row>
    <row r="260" spans="1:9" ht="15.75" thickBot="1">
      <c r="A260" s="193" t="s">
        <v>871</v>
      </c>
      <c r="B260" s="187" t="s">
        <v>915</v>
      </c>
      <c r="C260" s="181" t="s">
        <v>916</v>
      </c>
      <c r="I260" t="s">
        <v>783</v>
      </c>
    </row>
    <row r="261" spans="1:9" ht="15">
      <c r="A261" s="193" t="s">
        <v>871</v>
      </c>
      <c r="B261" s="175" t="s">
        <v>915</v>
      </c>
      <c r="C261" s="176" t="s">
        <v>917</v>
      </c>
      <c r="I261" t="s">
        <v>685</v>
      </c>
    </row>
    <row r="262" spans="1:9" ht="15.75" thickBot="1">
      <c r="A262" s="193" t="s">
        <v>871</v>
      </c>
      <c r="B262" s="178" t="s">
        <v>915</v>
      </c>
      <c r="C262" s="179" t="s">
        <v>918</v>
      </c>
      <c r="I262" t="s">
        <v>668</v>
      </c>
    </row>
    <row r="263" spans="1:9" ht="15">
      <c r="A263" s="193" t="s">
        <v>871</v>
      </c>
      <c r="B263" s="175" t="s">
        <v>919</v>
      </c>
      <c r="C263" s="176" t="s">
        <v>920</v>
      </c>
      <c r="I263" t="s">
        <v>638</v>
      </c>
    </row>
    <row r="264" spans="1:9" ht="15.75" thickBot="1">
      <c r="A264" s="193" t="s">
        <v>871</v>
      </c>
      <c r="B264" s="178" t="s">
        <v>919</v>
      </c>
      <c r="C264" s="179" t="s">
        <v>921</v>
      </c>
      <c r="I264" t="s">
        <v>806</v>
      </c>
    </row>
    <row r="265" spans="1:9" ht="15.75" thickBot="1">
      <c r="A265" s="193" t="s">
        <v>871</v>
      </c>
      <c r="B265" s="180" t="s">
        <v>922</v>
      </c>
      <c r="C265" s="181" t="s">
        <v>923</v>
      </c>
      <c r="I265" t="s">
        <v>785</v>
      </c>
    </row>
    <row r="266" spans="1:9" ht="15.75" thickBot="1">
      <c r="A266" s="193" t="s">
        <v>871</v>
      </c>
      <c r="B266" s="180" t="s">
        <v>924</v>
      </c>
      <c r="C266" s="181" t="s">
        <v>925</v>
      </c>
      <c r="I266" t="s">
        <v>788</v>
      </c>
    </row>
    <row r="267" spans="1:9" ht="15">
      <c r="A267" s="193" t="s">
        <v>871</v>
      </c>
      <c r="B267" s="187" t="s">
        <v>926</v>
      </c>
      <c r="C267" s="188" t="s">
        <v>927</v>
      </c>
      <c r="I267" t="s">
        <v>631</v>
      </c>
    </row>
    <row r="268" spans="1:9" ht="15">
      <c r="A268" s="193" t="s">
        <v>871</v>
      </c>
      <c r="B268" s="187" t="s">
        <v>926</v>
      </c>
      <c r="C268" s="188" t="s">
        <v>928</v>
      </c>
      <c r="I268" t="s">
        <v>641</v>
      </c>
    </row>
    <row r="269" spans="1:9" ht="15.75" thickBot="1">
      <c r="A269" s="194" t="s">
        <v>871</v>
      </c>
      <c r="B269" s="178" t="s">
        <v>926</v>
      </c>
      <c r="C269" s="179" t="s">
        <v>929</v>
      </c>
      <c r="I269" t="s">
        <v>665</v>
      </c>
    </row>
    <row r="270" spans="1:9" ht="15.75" thickBot="1">
      <c r="A270" s="183" t="s">
        <v>930</v>
      </c>
      <c r="B270" s="180" t="s">
        <v>931</v>
      </c>
      <c r="C270" s="181" t="s">
        <v>932</v>
      </c>
      <c r="I270" t="s">
        <v>667</v>
      </c>
    </row>
    <row r="271" spans="1:9" ht="15">
      <c r="A271" s="184" t="s">
        <v>930</v>
      </c>
      <c r="B271" s="175" t="s">
        <v>933</v>
      </c>
      <c r="C271" s="176" t="s">
        <v>934</v>
      </c>
      <c r="I271" t="s">
        <v>670</v>
      </c>
    </row>
    <row r="272" spans="1:9" ht="15">
      <c r="A272" s="184" t="s">
        <v>930</v>
      </c>
      <c r="B272" s="187" t="s">
        <v>933</v>
      </c>
      <c r="C272" s="188" t="s">
        <v>935</v>
      </c>
      <c r="I272" t="s">
        <v>654</v>
      </c>
    </row>
    <row r="273" spans="1:9" ht="15.75" thickBot="1">
      <c r="A273" s="184" t="s">
        <v>930</v>
      </c>
      <c r="B273" s="178" t="s">
        <v>933</v>
      </c>
      <c r="C273" s="179" t="s">
        <v>936</v>
      </c>
      <c r="I273" t="s">
        <v>948</v>
      </c>
    </row>
    <row r="274" spans="1:9" ht="15.75" thickBot="1">
      <c r="A274" s="184" t="s">
        <v>930</v>
      </c>
      <c r="B274" s="180" t="s">
        <v>937</v>
      </c>
      <c r="C274" s="181" t="s">
        <v>938</v>
      </c>
    </row>
    <row r="275" spans="1:9" ht="15.75" thickBot="1">
      <c r="A275" s="184" t="s">
        <v>930</v>
      </c>
      <c r="B275" s="180" t="s">
        <v>939</v>
      </c>
      <c r="C275" s="181" t="s">
        <v>940</v>
      </c>
    </row>
    <row r="276" spans="1:9" ht="15">
      <c r="A276" s="184" t="s">
        <v>930</v>
      </c>
      <c r="B276" s="195" t="s">
        <v>941</v>
      </c>
      <c r="C276" s="176" t="s">
        <v>942</v>
      </c>
    </row>
    <row r="277" spans="1:9" ht="15.75" thickBot="1">
      <c r="A277" s="184" t="s">
        <v>930</v>
      </c>
      <c r="B277" s="186" t="s">
        <v>943</v>
      </c>
      <c r="C277" s="179" t="s">
        <v>944</v>
      </c>
    </row>
    <row r="278" spans="1:9" ht="15">
      <c r="A278" s="184" t="s">
        <v>930</v>
      </c>
      <c r="B278" s="187" t="s">
        <v>945</v>
      </c>
      <c r="C278" s="188" t="s">
        <v>946</v>
      </c>
    </row>
    <row r="279" spans="1:9" ht="15.75" thickBot="1">
      <c r="A279" s="185" t="s">
        <v>930</v>
      </c>
      <c r="B279" s="178" t="s">
        <v>945</v>
      </c>
      <c r="C279" s="179" t="s">
        <v>947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Q88"/>
  <sheetViews>
    <sheetView topLeftCell="A16" workbookViewId="0">
      <selection activeCell="F41" sqref="F41"/>
    </sheetView>
  </sheetViews>
  <sheetFormatPr defaultColWidth="8.625" defaultRowHeight="12.75"/>
  <cols>
    <col min="1" max="1" width="12.625" style="55" bestFit="1" customWidth="1"/>
    <col min="2" max="2" width="23.625" style="55" bestFit="1" customWidth="1"/>
    <col min="3" max="3" width="23.625" style="55" customWidth="1"/>
    <col min="4" max="4" width="7.375" style="55" customWidth="1"/>
    <col min="5" max="5" width="27.75" style="63" bestFit="1" customWidth="1"/>
    <col min="6" max="6" width="14.625" style="63" bestFit="1" customWidth="1"/>
    <col min="7" max="7" width="8.625" style="63"/>
    <col min="8" max="8" width="23.625" style="63" bestFit="1" customWidth="1"/>
    <col min="9" max="9" width="49.375" style="63" bestFit="1" customWidth="1"/>
    <col min="10" max="10" width="6.875" style="63" bestFit="1" customWidth="1"/>
    <col min="11" max="13" width="6.875" style="63" customWidth="1"/>
    <col min="14" max="14" width="11.125" style="63" bestFit="1" customWidth="1"/>
    <col min="15" max="15" width="11.125" style="63" customWidth="1"/>
    <col min="16" max="16" width="8.625" style="63"/>
    <col min="17" max="17" width="14.5" style="63" bestFit="1" customWidth="1"/>
    <col min="18" max="18" width="12.125" style="63" bestFit="1" customWidth="1"/>
    <col min="19" max="19" width="11.5" style="63" bestFit="1" customWidth="1"/>
    <col min="20" max="20" width="10.625" style="63" bestFit="1" customWidth="1"/>
    <col min="21" max="21" width="13" style="63" customWidth="1"/>
    <col min="22" max="23" width="8.625" style="63"/>
    <col min="24" max="24" width="7.625" style="63" bestFit="1" customWidth="1"/>
    <col min="25" max="25" width="9.125" style="63" bestFit="1" customWidth="1"/>
    <col min="26" max="26" width="9.875" style="63" bestFit="1" customWidth="1"/>
    <col min="27" max="27" width="8.625" style="63"/>
    <col min="28" max="28" width="29.625" style="63" bestFit="1" customWidth="1"/>
    <col min="29" max="29" width="8.625" style="63"/>
    <col min="30" max="30" width="26.25" style="63" bestFit="1" customWidth="1"/>
    <col min="31" max="31" width="23.875" style="63" bestFit="1" customWidth="1"/>
    <col min="32" max="32" width="17.375" style="63" bestFit="1" customWidth="1"/>
    <col min="33" max="33" width="8.625" style="63"/>
    <col min="34" max="34" width="10.875" style="63" bestFit="1" customWidth="1"/>
    <col min="35" max="35" width="12.375" style="63" bestFit="1" customWidth="1"/>
    <col min="36" max="36" width="7.375" style="63" bestFit="1" customWidth="1"/>
    <col min="37" max="37" width="9.625" style="63" bestFit="1" customWidth="1"/>
    <col min="38" max="38" width="28" style="63" bestFit="1" customWidth="1"/>
    <col min="39" max="16384" width="8.625" style="63"/>
  </cols>
  <sheetData>
    <row r="1" spans="1:43" s="56" customFormat="1">
      <c r="A1" s="53" t="s">
        <v>14</v>
      </c>
      <c r="B1" s="54" t="s">
        <v>15</v>
      </c>
      <c r="C1" s="54" t="s">
        <v>487</v>
      </c>
      <c r="D1" s="55"/>
      <c r="E1" s="53" t="s">
        <v>47</v>
      </c>
      <c r="F1" s="54" t="s">
        <v>51</v>
      </c>
      <c r="H1" s="53" t="s">
        <v>57</v>
      </c>
      <c r="I1" s="57" t="s">
        <v>58</v>
      </c>
      <c r="J1" s="58" t="s">
        <v>116</v>
      </c>
      <c r="K1" s="59" t="s">
        <v>290</v>
      </c>
      <c r="L1" s="59" t="s">
        <v>291</v>
      </c>
      <c r="M1" s="59" t="s">
        <v>292</v>
      </c>
      <c r="N1" s="59" t="s">
        <v>195</v>
      </c>
      <c r="O1" s="53" t="s">
        <v>511</v>
      </c>
      <c r="Q1" s="57" t="s">
        <v>117</v>
      </c>
      <c r="R1" s="57" t="s">
        <v>185</v>
      </c>
      <c r="S1" s="57" t="s">
        <v>183</v>
      </c>
      <c r="T1" s="57" t="s">
        <v>184</v>
      </c>
      <c r="U1" s="57" t="s">
        <v>186</v>
      </c>
      <c r="V1" s="57" t="s">
        <v>118</v>
      </c>
      <c r="W1" s="57" t="s">
        <v>119</v>
      </c>
      <c r="X1" s="54" t="s">
        <v>214</v>
      </c>
      <c r="Y1" s="54" t="s">
        <v>212</v>
      </c>
      <c r="Z1" s="54" t="s">
        <v>213</v>
      </c>
      <c r="AA1" s="63"/>
      <c r="AB1" s="57" t="s">
        <v>376</v>
      </c>
      <c r="AD1" s="57" t="s">
        <v>377</v>
      </c>
      <c r="AE1" s="57" t="s">
        <v>378</v>
      </c>
      <c r="AF1" s="57" t="s">
        <v>379</v>
      </c>
      <c r="AH1" s="57" t="s">
        <v>195</v>
      </c>
      <c r="AI1" s="57" t="s">
        <v>168</v>
      </c>
      <c r="AJ1" s="57" t="s">
        <v>207</v>
      </c>
      <c r="AK1" s="57" t="s">
        <v>205</v>
      </c>
      <c r="AL1" s="57" t="s">
        <v>206</v>
      </c>
      <c r="AM1" s="63" t="s">
        <v>234</v>
      </c>
      <c r="AN1" s="63" t="s">
        <v>235</v>
      </c>
      <c r="AO1" s="63"/>
      <c r="AP1" s="63"/>
      <c r="AQ1" s="63"/>
    </row>
    <row r="2" spans="1:43">
      <c r="A2" s="60" t="s">
        <v>0</v>
      </c>
      <c r="B2" s="60" t="s">
        <v>16</v>
      </c>
      <c r="C2" s="60">
        <v>1</v>
      </c>
      <c r="E2" s="61" t="s">
        <v>50</v>
      </c>
      <c r="F2" s="62">
        <v>0.1</v>
      </c>
      <c r="H2" s="61" t="s">
        <v>59</v>
      </c>
      <c r="I2" s="61" t="s">
        <v>60</v>
      </c>
      <c r="J2" s="64">
        <v>7.0583333333333327E-4</v>
      </c>
      <c r="K2" s="64" t="s">
        <v>293</v>
      </c>
      <c r="L2" s="64" t="s">
        <v>294</v>
      </c>
      <c r="M2" s="64"/>
      <c r="N2" s="61" t="s">
        <v>188</v>
      </c>
      <c r="O2" s="62">
        <v>1</v>
      </c>
      <c r="Q2" s="61" t="s">
        <v>221</v>
      </c>
      <c r="R2" s="64">
        <v>1.1999999999999999E-3</v>
      </c>
      <c r="S2" s="64">
        <v>1.2999999999999999E-3</v>
      </c>
      <c r="T2" s="64">
        <v>1.4E-3</v>
      </c>
      <c r="U2" s="64">
        <v>1.5E-3</v>
      </c>
      <c r="V2" s="61"/>
      <c r="W2" s="61"/>
      <c r="X2" s="64">
        <v>1.1999999999999999E-3</v>
      </c>
      <c r="Y2" s="79">
        <f>+R2/X2-1</f>
        <v>0</v>
      </c>
      <c r="Z2" s="79">
        <f>+U2/X2-1</f>
        <v>0.25000000000000022</v>
      </c>
      <c r="AA2" s="78"/>
      <c r="AB2" s="85" t="s">
        <v>236</v>
      </c>
      <c r="AD2" s="85" t="s">
        <v>3</v>
      </c>
      <c r="AE2" s="85" t="s">
        <v>3</v>
      </c>
      <c r="AF2" s="85">
        <v>100</v>
      </c>
      <c r="AH2" s="87" t="s">
        <v>190</v>
      </c>
      <c r="AI2" s="87" t="s">
        <v>208</v>
      </c>
      <c r="AJ2" s="88" t="s">
        <v>209</v>
      </c>
      <c r="AK2" s="88" t="s">
        <v>194</v>
      </c>
      <c r="AL2" s="88"/>
    </row>
    <row r="3" spans="1:43">
      <c r="A3" s="60" t="s">
        <v>17</v>
      </c>
      <c r="B3" s="60" t="s">
        <v>18</v>
      </c>
      <c r="C3" s="60">
        <v>611.9951040391677</v>
      </c>
      <c r="E3" s="61" t="s">
        <v>49</v>
      </c>
      <c r="F3" s="61">
        <v>0</v>
      </c>
      <c r="H3" s="61" t="s">
        <v>4</v>
      </c>
      <c r="I3" s="61" t="s">
        <v>61</v>
      </c>
      <c r="J3" s="64">
        <v>8.4150000000000013E-4</v>
      </c>
      <c r="K3" s="64" t="s">
        <v>293</v>
      </c>
      <c r="L3" s="64" t="s">
        <v>296</v>
      </c>
      <c r="M3" s="64" t="s">
        <v>4</v>
      </c>
      <c r="N3" s="61" t="s">
        <v>189</v>
      </c>
      <c r="O3" s="62">
        <v>1</v>
      </c>
      <c r="Q3" s="61" t="s">
        <v>224</v>
      </c>
      <c r="R3" s="64">
        <v>1.1999999999999999E-3</v>
      </c>
      <c r="S3" s="64">
        <v>1.2999999999999999E-3</v>
      </c>
      <c r="T3" s="64">
        <v>1.4E-3</v>
      </c>
      <c r="U3" s="64">
        <v>1.5E-3</v>
      </c>
      <c r="V3" s="61"/>
      <c r="W3" s="61"/>
      <c r="X3" s="64">
        <v>1.1999999999999999E-3</v>
      </c>
      <c r="Y3" s="79">
        <f>+R3/X3-1</f>
        <v>0</v>
      </c>
      <c r="Z3" s="79">
        <f>+U3/X3-1</f>
        <v>0.25000000000000022</v>
      </c>
      <c r="AB3" s="85" t="s">
        <v>237</v>
      </c>
      <c r="AD3" s="85" t="s">
        <v>380</v>
      </c>
      <c r="AE3" s="85" t="s">
        <v>381</v>
      </c>
      <c r="AF3" s="85">
        <v>101</v>
      </c>
      <c r="AH3" s="85" t="s">
        <v>188</v>
      </c>
      <c r="AI3" s="85" t="s">
        <v>46</v>
      </c>
      <c r="AJ3" s="86" t="s">
        <v>209</v>
      </c>
      <c r="AK3" s="86">
        <v>5000000</v>
      </c>
      <c r="AL3" s="86">
        <f t="shared" ref="AL3:AL9" si="0">+AK3*2</f>
        <v>10000000</v>
      </c>
    </row>
    <row r="4" spans="1:43">
      <c r="A4" s="60" t="s">
        <v>19</v>
      </c>
      <c r="B4" s="60" t="s">
        <v>20</v>
      </c>
      <c r="C4" s="60">
        <v>7.4028560218532302</v>
      </c>
      <c r="E4" s="61" t="s">
        <v>123</v>
      </c>
      <c r="F4" s="62">
        <v>-0.05</v>
      </c>
      <c r="H4" s="61" t="s">
        <v>4</v>
      </c>
      <c r="I4" s="61" t="s">
        <v>202</v>
      </c>
      <c r="J4" s="64">
        <v>5.5000000000000003E-4</v>
      </c>
      <c r="K4" s="64" t="s">
        <v>293</v>
      </c>
      <c r="L4" s="64" t="s">
        <v>297</v>
      </c>
      <c r="M4" s="64" t="s">
        <v>298</v>
      </c>
      <c r="N4" s="61" t="s">
        <v>188</v>
      </c>
      <c r="O4" s="62">
        <v>1</v>
      </c>
      <c r="Q4" s="61" t="s">
        <v>223</v>
      </c>
      <c r="R4" s="64">
        <v>1.1999999999999999E-3</v>
      </c>
      <c r="S4" s="64">
        <v>1.2999999999999999E-3</v>
      </c>
      <c r="T4" s="64">
        <v>1.4E-3</v>
      </c>
      <c r="U4" s="64">
        <v>1.5E-3</v>
      </c>
      <c r="V4" s="61"/>
      <c r="W4" s="61"/>
      <c r="X4" s="64">
        <v>1.1999999999999999E-3</v>
      </c>
      <c r="Y4" s="79">
        <f>+R4/X4-1</f>
        <v>0</v>
      </c>
      <c r="Z4" s="79">
        <f>+U4/X4-1</f>
        <v>0.25000000000000022</v>
      </c>
      <c r="AB4" s="85" t="s">
        <v>238</v>
      </c>
      <c r="AD4" s="85" t="s">
        <v>382</v>
      </c>
      <c r="AE4" s="85" t="s">
        <v>383</v>
      </c>
      <c r="AF4" s="85">
        <v>191</v>
      </c>
      <c r="AH4" s="61" t="s">
        <v>188</v>
      </c>
      <c r="AI4" s="61" t="s">
        <v>34</v>
      </c>
      <c r="AJ4" s="71" t="s">
        <v>209</v>
      </c>
      <c r="AK4" s="71">
        <v>5000000</v>
      </c>
      <c r="AL4" s="71">
        <f t="shared" si="0"/>
        <v>10000000</v>
      </c>
    </row>
    <row r="5" spans="1:43">
      <c r="A5" s="60" t="s">
        <v>21</v>
      </c>
      <c r="B5" s="60" t="s">
        <v>22</v>
      </c>
      <c r="C5" s="60">
        <v>23.18733044264614</v>
      </c>
      <c r="E5" s="61" t="s">
        <v>124</v>
      </c>
      <c r="F5" s="62">
        <v>-0.1</v>
      </c>
      <c r="H5" s="61" t="s">
        <v>4</v>
      </c>
      <c r="I5" s="61" t="s">
        <v>203</v>
      </c>
      <c r="J5" s="64">
        <v>5.5000000000000003E-4</v>
      </c>
      <c r="K5" s="64" t="s">
        <v>293</v>
      </c>
      <c r="L5" s="64" t="s">
        <v>297</v>
      </c>
      <c r="M5" s="64" t="s">
        <v>298</v>
      </c>
      <c r="N5" s="61" t="s">
        <v>189</v>
      </c>
      <c r="O5" s="62">
        <v>1</v>
      </c>
      <c r="Q5" s="61" t="s">
        <v>222</v>
      </c>
      <c r="R5" s="64">
        <v>1.6000000000000001E-3</v>
      </c>
      <c r="S5" s="64">
        <v>1.6999999999999999E-3</v>
      </c>
      <c r="T5" s="64">
        <v>1.8E-3</v>
      </c>
      <c r="U5" s="64">
        <v>1.9E-3</v>
      </c>
      <c r="V5" s="61"/>
      <c r="W5" s="61"/>
      <c r="X5" s="64">
        <v>1.6000000000000001E-3</v>
      </c>
      <c r="Y5" s="79">
        <f>+R5/X5-1</f>
        <v>0</v>
      </c>
      <c r="Z5" s="79">
        <f>+U5/X5-1</f>
        <v>0.1875</v>
      </c>
      <c r="AB5" s="85" t="s">
        <v>239</v>
      </c>
      <c r="AD5" s="85" t="s">
        <v>384</v>
      </c>
      <c r="AE5" s="85" t="s">
        <v>385</v>
      </c>
      <c r="AF5" s="85">
        <v>151</v>
      </c>
      <c r="AH5" s="61" t="s">
        <v>188</v>
      </c>
      <c r="AI5" s="61" t="s">
        <v>36</v>
      </c>
      <c r="AJ5" s="71" t="s">
        <v>209</v>
      </c>
      <c r="AK5" s="71">
        <v>5000000</v>
      </c>
      <c r="AL5" s="71">
        <f t="shared" si="0"/>
        <v>10000000</v>
      </c>
    </row>
    <row r="6" spans="1:43">
      <c r="A6" s="60" t="s">
        <v>23</v>
      </c>
      <c r="B6" s="60" t="s">
        <v>24</v>
      </c>
      <c r="C6" s="60">
        <v>33.764392072120742</v>
      </c>
      <c r="E6" s="65"/>
      <c r="F6" s="66"/>
      <c r="H6" s="61" t="s">
        <v>4</v>
      </c>
      <c r="I6" s="61" t="s">
        <v>62</v>
      </c>
      <c r="J6" s="64">
        <v>1.65E-3</v>
      </c>
      <c r="K6" s="64" t="s">
        <v>293</v>
      </c>
      <c r="L6" s="64" t="s">
        <v>297</v>
      </c>
      <c r="M6" s="64" t="s">
        <v>299</v>
      </c>
      <c r="N6" s="61" t="s">
        <v>189</v>
      </c>
      <c r="O6" s="62">
        <v>1</v>
      </c>
      <c r="Q6" s="61" t="s">
        <v>32</v>
      </c>
      <c r="R6" s="64">
        <v>8.9999999999999998E-4</v>
      </c>
      <c r="S6" s="64">
        <v>9.4499999999999998E-4</v>
      </c>
      <c r="T6" s="64">
        <v>9.8999999999999999E-4</v>
      </c>
      <c r="U6" s="64">
        <v>1.0349999999999999E-3</v>
      </c>
      <c r="V6" s="67"/>
      <c r="W6" s="67"/>
      <c r="X6" s="70">
        <v>8.9999999999999998E-4</v>
      </c>
      <c r="Y6" s="79">
        <f t="shared" ref="Y6:Y20" si="1">+R6/X6-1</f>
        <v>0</v>
      </c>
      <c r="Z6" s="79">
        <f t="shared" ref="Z6:Z20" si="2">+U6/X6-1</f>
        <v>0.14999999999999991</v>
      </c>
      <c r="AB6" s="85" t="s">
        <v>240</v>
      </c>
      <c r="AD6" s="85" t="s">
        <v>386</v>
      </c>
      <c r="AE6" s="85" t="s">
        <v>2</v>
      </c>
      <c r="AF6" s="85">
        <v>116</v>
      </c>
      <c r="AH6" s="61" t="s">
        <v>188</v>
      </c>
      <c r="AI6" s="61" t="s">
        <v>38</v>
      </c>
      <c r="AJ6" s="71" t="s">
        <v>209</v>
      </c>
      <c r="AK6" s="71">
        <v>5000000</v>
      </c>
      <c r="AL6" s="71">
        <f t="shared" si="0"/>
        <v>10000000</v>
      </c>
    </row>
    <row r="7" spans="1:43">
      <c r="A7" s="60" t="s">
        <v>27</v>
      </c>
      <c r="B7" s="60" t="s">
        <v>28</v>
      </c>
      <c r="C7" s="60">
        <v>8.3891913658442459</v>
      </c>
      <c r="H7" s="61" t="s">
        <v>63</v>
      </c>
      <c r="I7" s="61" t="s">
        <v>64</v>
      </c>
      <c r="J7" s="64">
        <v>7.0125000000000005E-4</v>
      </c>
      <c r="K7" s="64" t="s">
        <v>300</v>
      </c>
      <c r="L7" s="64" t="s">
        <v>301</v>
      </c>
      <c r="M7" s="64" t="s">
        <v>302</v>
      </c>
      <c r="N7" s="61" t="s">
        <v>190</v>
      </c>
      <c r="O7" s="62">
        <v>0.5</v>
      </c>
      <c r="Q7" s="61" t="s">
        <v>46</v>
      </c>
      <c r="R7" s="64">
        <v>1.0449999999999999E-3</v>
      </c>
      <c r="S7" s="64">
        <v>1.1183333333333334E-3</v>
      </c>
      <c r="T7" s="64">
        <v>1.1916666666666668E-3</v>
      </c>
      <c r="U7" s="64">
        <v>1.2650000000000001E-3</v>
      </c>
      <c r="V7" s="61"/>
      <c r="W7" s="61"/>
      <c r="X7" s="70">
        <v>1.1000000000000001E-3</v>
      </c>
      <c r="Y7" s="79">
        <f t="shared" si="1"/>
        <v>-5.0000000000000155E-2</v>
      </c>
      <c r="Z7" s="79">
        <f t="shared" si="2"/>
        <v>0.14999999999999991</v>
      </c>
      <c r="AB7" s="85" t="s">
        <v>241</v>
      </c>
      <c r="AD7" s="85" t="s">
        <v>387</v>
      </c>
      <c r="AE7" s="85" t="s">
        <v>388</v>
      </c>
      <c r="AF7" s="85">
        <v>139</v>
      </c>
      <c r="AH7" s="87" t="s">
        <v>188</v>
      </c>
      <c r="AI7" s="87" t="s">
        <v>215</v>
      </c>
      <c r="AJ7" s="88" t="s">
        <v>209</v>
      </c>
      <c r="AK7" s="88">
        <v>5000000</v>
      </c>
      <c r="AL7" s="88">
        <f t="shared" si="0"/>
        <v>10000000</v>
      </c>
    </row>
    <row r="8" spans="1:43">
      <c r="A8" s="60" t="s">
        <v>25</v>
      </c>
      <c r="B8" s="60" t="s">
        <v>26</v>
      </c>
      <c r="C8" s="60">
        <v>1</v>
      </c>
      <c r="E8" s="53" t="s">
        <v>125</v>
      </c>
      <c r="F8" s="54" t="s">
        <v>51</v>
      </c>
      <c r="H8" s="61" t="s">
        <v>63</v>
      </c>
      <c r="I8" s="61" t="s">
        <v>65</v>
      </c>
      <c r="J8" s="64">
        <v>6.3112499999999996E-4</v>
      </c>
      <c r="K8" s="64" t="s">
        <v>300</v>
      </c>
      <c r="L8" s="64" t="s">
        <v>303</v>
      </c>
      <c r="M8" s="64" t="s">
        <v>304</v>
      </c>
      <c r="N8" s="61" t="s">
        <v>190</v>
      </c>
      <c r="O8" s="62">
        <v>0.5</v>
      </c>
      <c r="Q8" s="61" t="s">
        <v>426</v>
      </c>
      <c r="R8" s="64">
        <v>8.9999999999999998E-4</v>
      </c>
      <c r="S8" s="64">
        <v>9.7499999999999996E-4</v>
      </c>
      <c r="T8" s="64">
        <v>1.0499999999999999E-3</v>
      </c>
      <c r="U8" s="64">
        <v>1.1249999999999999E-3</v>
      </c>
      <c r="V8" s="61"/>
      <c r="W8" s="61"/>
      <c r="X8" s="70">
        <v>8.9999999999999998E-4</v>
      </c>
      <c r="Y8" s="79">
        <f t="shared" si="1"/>
        <v>0</v>
      </c>
      <c r="Z8" s="79">
        <f t="shared" si="2"/>
        <v>0.25</v>
      </c>
      <c r="AB8" s="85" t="s">
        <v>242</v>
      </c>
      <c r="AD8" s="85" t="s">
        <v>389</v>
      </c>
      <c r="AE8" s="85" t="s">
        <v>390</v>
      </c>
      <c r="AF8" s="85">
        <v>131</v>
      </c>
      <c r="AH8" s="61" t="s">
        <v>188</v>
      </c>
      <c r="AI8" s="61" t="s">
        <v>32</v>
      </c>
      <c r="AJ8" s="71" t="s">
        <v>210</v>
      </c>
      <c r="AK8" s="71">
        <v>10000000</v>
      </c>
      <c r="AL8" s="71">
        <f t="shared" si="0"/>
        <v>20000000</v>
      </c>
    </row>
    <row r="9" spans="1:43">
      <c r="A9" s="60" t="s">
        <v>488</v>
      </c>
      <c r="B9" s="60" t="s">
        <v>502</v>
      </c>
      <c r="C9" s="60">
        <v>20.103735274013911</v>
      </c>
      <c r="E9" s="61" t="s">
        <v>126</v>
      </c>
      <c r="F9" s="62">
        <v>0</v>
      </c>
      <c r="H9" s="61" t="s">
        <v>63</v>
      </c>
      <c r="I9" s="61" t="s">
        <v>66</v>
      </c>
      <c r="J9" s="64">
        <v>8.7450000000000006E-4</v>
      </c>
      <c r="K9" s="64" t="s">
        <v>300</v>
      </c>
      <c r="L9" s="64" t="s">
        <v>301</v>
      </c>
      <c r="M9" s="64" t="s">
        <v>302</v>
      </c>
      <c r="N9" s="61" t="s">
        <v>190</v>
      </c>
      <c r="O9" s="62">
        <v>0.5</v>
      </c>
      <c r="Q9" s="61" t="s">
        <v>427</v>
      </c>
      <c r="R9" s="64">
        <v>1.1199999999999999E-3</v>
      </c>
      <c r="S9" s="64">
        <v>1.2133333333333332E-3</v>
      </c>
      <c r="T9" s="64">
        <v>1.3066666666666665E-3</v>
      </c>
      <c r="U9" s="64">
        <v>1.3999999999999998E-3</v>
      </c>
      <c r="V9" s="61"/>
      <c r="W9" s="61"/>
      <c r="X9" s="70">
        <v>1.1250000000000001E-3</v>
      </c>
      <c r="Y9" s="79">
        <f t="shared" si="1"/>
        <v>-4.4444444444446951E-3</v>
      </c>
      <c r="Z9" s="79">
        <f t="shared" si="2"/>
        <v>0.24444444444444402</v>
      </c>
      <c r="AB9" s="85" t="s">
        <v>243</v>
      </c>
      <c r="AD9" s="85" t="s">
        <v>391</v>
      </c>
      <c r="AE9" s="85" t="s">
        <v>1</v>
      </c>
      <c r="AF9" s="85">
        <v>104</v>
      </c>
      <c r="AH9" s="61" t="s">
        <v>188</v>
      </c>
      <c r="AI9" s="61" t="s">
        <v>196</v>
      </c>
      <c r="AJ9" s="71" t="s">
        <v>210</v>
      </c>
      <c r="AK9" s="71">
        <v>10000000</v>
      </c>
      <c r="AL9" s="71">
        <f t="shared" si="0"/>
        <v>20000000</v>
      </c>
    </row>
    <row r="10" spans="1:43">
      <c r="A10" s="60" t="s">
        <v>489</v>
      </c>
      <c r="B10" s="60" t="s">
        <v>499</v>
      </c>
      <c r="C10" s="60">
        <v>3731.3432835820895</v>
      </c>
      <c r="E10" s="61" t="s">
        <v>127</v>
      </c>
      <c r="F10" s="62">
        <v>-0.5</v>
      </c>
      <c r="H10" s="61" t="s">
        <v>67</v>
      </c>
      <c r="I10" s="61" t="s">
        <v>67</v>
      </c>
      <c r="J10" s="64">
        <v>8.9700000000000229E-4</v>
      </c>
      <c r="K10" s="64" t="s">
        <v>293</v>
      </c>
      <c r="L10" s="64" t="s">
        <v>305</v>
      </c>
      <c r="M10" s="64" t="s">
        <v>306</v>
      </c>
      <c r="N10" s="61" t="s">
        <v>189</v>
      </c>
      <c r="O10" s="62">
        <v>1</v>
      </c>
      <c r="Q10" s="61" t="s">
        <v>428</v>
      </c>
      <c r="R10" s="64">
        <v>8.9999999999999998E-4</v>
      </c>
      <c r="S10" s="64">
        <v>9.7499999999999996E-4</v>
      </c>
      <c r="T10" s="64">
        <v>1.0499999999999999E-3</v>
      </c>
      <c r="U10" s="64">
        <v>1.1249999999999999E-3</v>
      </c>
      <c r="V10" s="67">
        <v>2.9999999999999997E-4</v>
      </c>
      <c r="W10" s="67"/>
      <c r="X10" s="70">
        <v>8.9999999999999998E-4</v>
      </c>
      <c r="Y10" s="79">
        <f t="shared" si="1"/>
        <v>0</v>
      </c>
      <c r="Z10" s="79">
        <f t="shared" si="2"/>
        <v>0.25</v>
      </c>
      <c r="AB10" s="85" t="s">
        <v>244</v>
      </c>
      <c r="AD10" s="85" t="s">
        <v>392</v>
      </c>
      <c r="AE10" s="85" t="s">
        <v>2</v>
      </c>
      <c r="AF10" s="85">
        <v>116</v>
      </c>
      <c r="AH10" s="61" t="s">
        <v>189</v>
      </c>
      <c r="AI10" s="61" t="s">
        <v>46</v>
      </c>
      <c r="AJ10" s="71" t="s">
        <v>209</v>
      </c>
      <c r="AK10" s="71">
        <v>2500000</v>
      </c>
      <c r="AL10" s="71">
        <f t="shared" ref="AL10:AL16" si="3">+AK10*2</f>
        <v>5000000</v>
      </c>
    </row>
    <row r="11" spans="1:43">
      <c r="A11" s="60" t="s">
        <v>490</v>
      </c>
      <c r="B11" s="60" t="s">
        <v>505</v>
      </c>
      <c r="C11" s="60">
        <v>3.8954158745987724</v>
      </c>
      <c r="E11" s="61" t="s">
        <v>128</v>
      </c>
      <c r="F11" s="62">
        <v>-0.31</v>
      </c>
      <c r="H11" s="61" t="s">
        <v>67</v>
      </c>
      <c r="I11" s="61" t="s">
        <v>68</v>
      </c>
      <c r="J11" s="64">
        <v>7.7137500000000014E-4</v>
      </c>
      <c r="K11" s="64" t="s">
        <v>293</v>
      </c>
      <c r="L11" s="64" t="s">
        <v>307</v>
      </c>
      <c r="M11" s="64" t="s">
        <v>7</v>
      </c>
      <c r="N11" s="61" t="s">
        <v>191</v>
      </c>
      <c r="O11" s="62">
        <v>1</v>
      </c>
      <c r="Q11" s="61" t="s">
        <v>429</v>
      </c>
      <c r="R11" s="64">
        <v>8.9999999999999998E-4</v>
      </c>
      <c r="S11" s="64">
        <v>9.7499999999999996E-4</v>
      </c>
      <c r="T11" s="64">
        <v>1.0499999999999999E-3</v>
      </c>
      <c r="U11" s="64">
        <v>1.1249999999999999E-3</v>
      </c>
      <c r="V11" s="61"/>
      <c r="W11" s="61"/>
      <c r="X11" s="70">
        <v>8.9999999999999998E-4</v>
      </c>
      <c r="Y11" s="79">
        <f t="shared" si="1"/>
        <v>0</v>
      </c>
      <c r="Z11" s="79">
        <f t="shared" si="2"/>
        <v>0.25</v>
      </c>
      <c r="AB11" s="85" t="s">
        <v>245</v>
      </c>
      <c r="AD11" s="85" t="s">
        <v>393</v>
      </c>
      <c r="AE11" s="85" t="s">
        <v>2</v>
      </c>
      <c r="AF11" s="85">
        <v>116</v>
      </c>
      <c r="AH11" s="61" t="s">
        <v>189</v>
      </c>
      <c r="AI11" s="61" t="s">
        <v>34</v>
      </c>
      <c r="AJ11" s="71" t="s">
        <v>209</v>
      </c>
      <c r="AK11" s="71">
        <v>2500000</v>
      </c>
      <c r="AL11" s="71">
        <f t="shared" si="3"/>
        <v>5000000</v>
      </c>
    </row>
    <row r="12" spans="1:43">
      <c r="A12" s="60" t="s">
        <v>492</v>
      </c>
      <c r="B12" s="60" t="s">
        <v>494</v>
      </c>
      <c r="C12" s="60">
        <v>808.40743734842363</v>
      </c>
      <c r="E12" s="61" t="s">
        <v>129</v>
      </c>
      <c r="F12" s="62">
        <v>0</v>
      </c>
      <c r="H12" s="61" t="s">
        <v>67</v>
      </c>
      <c r="I12" s="61" t="s">
        <v>69</v>
      </c>
      <c r="J12" s="64">
        <v>8.25E-4</v>
      </c>
      <c r="K12" s="64" t="s">
        <v>293</v>
      </c>
      <c r="L12" s="64" t="s">
        <v>308</v>
      </c>
      <c r="M12" s="64" t="s">
        <v>309</v>
      </c>
      <c r="N12" s="61" t="s">
        <v>188</v>
      </c>
      <c r="O12" s="62">
        <v>1</v>
      </c>
      <c r="Q12" s="61" t="s">
        <v>430</v>
      </c>
      <c r="R12" s="64">
        <v>6.8000000000000005E-4</v>
      </c>
      <c r="S12" s="64">
        <v>7.2000000000000005E-4</v>
      </c>
      <c r="T12" s="64">
        <v>7.6000000000000004E-4</v>
      </c>
      <c r="U12" s="64">
        <v>8.0000000000000004E-4</v>
      </c>
      <c r="V12" s="61"/>
      <c r="W12" s="61"/>
      <c r="X12" s="70">
        <v>8.0000000000000004E-4</v>
      </c>
      <c r="Y12" s="79">
        <f t="shared" si="1"/>
        <v>-0.15000000000000002</v>
      </c>
      <c r="Z12" s="79">
        <f t="shared" si="2"/>
        <v>0</v>
      </c>
      <c r="AB12" s="85" t="s">
        <v>246</v>
      </c>
      <c r="AD12" s="85" t="s">
        <v>394</v>
      </c>
      <c r="AE12" s="85" t="s">
        <v>395</v>
      </c>
      <c r="AF12" s="85">
        <v>152</v>
      </c>
      <c r="AH12" s="61" t="s">
        <v>189</v>
      </c>
      <c r="AI12" s="61" t="s">
        <v>36</v>
      </c>
      <c r="AJ12" s="71" t="s">
        <v>209</v>
      </c>
      <c r="AK12" s="71">
        <v>2500000</v>
      </c>
      <c r="AL12" s="71">
        <f t="shared" si="3"/>
        <v>5000000</v>
      </c>
    </row>
    <row r="13" spans="1:43">
      <c r="A13" s="60" t="s">
        <v>493</v>
      </c>
      <c r="B13" s="60" t="s">
        <v>495</v>
      </c>
      <c r="C13" s="60">
        <v>2.9289740202347581E-2</v>
      </c>
      <c r="E13" s="69"/>
      <c r="F13" s="69"/>
      <c r="H13" s="61" t="s">
        <v>67</v>
      </c>
      <c r="I13" s="61" t="s">
        <v>70</v>
      </c>
      <c r="J13" s="64">
        <v>4.125E-4</v>
      </c>
      <c r="K13" s="64" t="s">
        <v>293</v>
      </c>
      <c r="L13" s="64" t="s">
        <v>310</v>
      </c>
      <c r="M13" s="64" t="s">
        <v>311</v>
      </c>
      <c r="N13" s="61" t="s">
        <v>189</v>
      </c>
      <c r="O13" s="62">
        <v>1</v>
      </c>
      <c r="Q13" s="61" t="s">
        <v>431</v>
      </c>
      <c r="R13" s="64">
        <v>6.8000000000000005E-4</v>
      </c>
      <c r="S13" s="64">
        <v>7.2000000000000005E-4</v>
      </c>
      <c r="T13" s="64">
        <v>7.6000000000000004E-4</v>
      </c>
      <c r="U13" s="64">
        <v>8.0000000000000004E-4</v>
      </c>
      <c r="V13" s="61"/>
      <c r="W13" s="67"/>
      <c r="X13" s="70">
        <v>8.0000000000000004E-4</v>
      </c>
      <c r="Y13" s="79">
        <f t="shared" si="1"/>
        <v>-0.15000000000000002</v>
      </c>
      <c r="Z13" s="79">
        <f t="shared" si="2"/>
        <v>0</v>
      </c>
      <c r="AB13" s="85" t="s">
        <v>247</v>
      </c>
      <c r="AD13" s="85" t="s">
        <v>396</v>
      </c>
      <c r="AE13" s="85" t="s">
        <v>395</v>
      </c>
      <c r="AF13" s="85">
        <v>152</v>
      </c>
      <c r="AH13" s="61" t="s">
        <v>189</v>
      </c>
      <c r="AI13" s="61" t="s">
        <v>38</v>
      </c>
      <c r="AJ13" s="71" t="s">
        <v>209</v>
      </c>
      <c r="AK13" s="71">
        <v>2500000</v>
      </c>
      <c r="AL13" s="71">
        <f t="shared" si="3"/>
        <v>5000000</v>
      </c>
    </row>
    <row r="14" spans="1:43">
      <c r="A14" s="60" t="s">
        <v>491</v>
      </c>
      <c r="B14" s="60" t="s">
        <v>496</v>
      </c>
      <c r="C14" s="60">
        <v>97.522917885703151</v>
      </c>
      <c r="E14" s="65"/>
      <c r="F14" s="66"/>
      <c r="H14" s="61" t="s">
        <v>67</v>
      </c>
      <c r="I14" s="61" t="s">
        <v>71</v>
      </c>
      <c r="J14" s="64">
        <v>5.7750000000000011E-4</v>
      </c>
      <c r="K14" s="64" t="s">
        <v>293</v>
      </c>
      <c r="L14" s="64" t="s">
        <v>312</v>
      </c>
      <c r="M14" s="64" t="s">
        <v>313</v>
      </c>
      <c r="N14" s="61" t="s">
        <v>188</v>
      </c>
      <c r="O14" s="62">
        <v>1</v>
      </c>
      <c r="Q14" s="61" t="s">
        <v>432</v>
      </c>
      <c r="R14" s="64">
        <v>6.8000000000000005E-4</v>
      </c>
      <c r="S14" s="64">
        <v>7.2000000000000005E-4</v>
      </c>
      <c r="T14" s="64">
        <v>7.6000000000000004E-4</v>
      </c>
      <c r="U14" s="64">
        <v>8.0000000000000004E-4</v>
      </c>
      <c r="V14" s="67">
        <v>8.0000000000000004E-4</v>
      </c>
      <c r="W14" s="61"/>
      <c r="X14" s="70">
        <v>8.0000000000000004E-4</v>
      </c>
      <c r="Y14" s="79">
        <f t="shared" si="1"/>
        <v>-0.15000000000000002</v>
      </c>
      <c r="Z14" s="79">
        <f t="shared" si="2"/>
        <v>0</v>
      </c>
      <c r="AB14" s="85" t="s">
        <v>248</v>
      </c>
      <c r="AD14" s="85" t="s">
        <v>397</v>
      </c>
      <c r="AE14" s="85" t="s">
        <v>395</v>
      </c>
      <c r="AF14" s="85">
        <v>152</v>
      </c>
      <c r="AH14" s="87" t="s">
        <v>189</v>
      </c>
      <c r="AI14" s="87" t="s">
        <v>215</v>
      </c>
      <c r="AJ14" s="88" t="s">
        <v>209</v>
      </c>
      <c r="AK14" s="88">
        <v>2500000</v>
      </c>
      <c r="AL14" s="88">
        <f t="shared" si="3"/>
        <v>5000000</v>
      </c>
    </row>
    <row r="15" spans="1:43">
      <c r="A15" s="60" t="s">
        <v>500</v>
      </c>
      <c r="B15" s="60" t="s">
        <v>501</v>
      </c>
      <c r="C15" s="60">
        <v>6.6063288630508028</v>
      </c>
      <c r="E15" s="53" t="s">
        <v>48</v>
      </c>
      <c r="F15" s="54" t="s">
        <v>51</v>
      </c>
      <c r="H15" s="61" t="s">
        <v>67</v>
      </c>
      <c r="I15" s="61" t="s">
        <v>72</v>
      </c>
      <c r="J15" s="64">
        <v>4.908750000000001E-4</v>
      </c>
      <c r="K15" s="64" t="s">
        <v>293</v>
      </c>
      <c r="L15" s="64" t="s">
        <v>305</v>
      </c>
      <c r="M15" s="64" t="s">
        <v>314</v>
      </c>
      <c r="N15" s="61" t="s">
        <v>188</v>
      </c>
      <c r="O15" s="62">
        <v>1</v>
      </c>
      <c r="Q15" s="61" t="s">
        <v>433</v>
      </c>
      <c r="R15" s="70">
        <v>7.6499999999999995E-4</v>
      </c>
      <c r="S15" s="64">
        <v>8.0999999999999996E-4</v>
      </c>
      <c r="T15" s="64">
        <v>8.5499999999999997E-4</v>
      </c>
      <c r="U15" s="64">
        <v>8.9999999999999998E-4</v>
      </c>
      <c r="V15" s="61"/>
      <c r="W15" s="61"/>
      <c r="X15" s="70">
        <v>8.9999999999999998E-4</v>
      </c>
      <c r="Y15" s="79">
        <f t="shared" si="1"/>
        <v>-0.15000000000000002</v>
      </c>
      <c r="Z15" s="79">
        <f t="shared" si="2"/>
        <v>0</v>
      </c>
      <c r="AB15" s="85" t="s">
        <v>249</v>
      </c>
      <c r="AD15" s="85" t="s">
        <v>398</v>
      </c>
      <c r="AE15" s="85" t="s">
        <v>399</v>
      </c>
      <c r="AF15" s="85">
        <v>157</v>
      </c>
      <c r="AH15" s="61" t="s">
        <v>189</v>
      </c>
      <c r="AI15" s="61" t="s">
        <v>32</v>
      </c>
      <c r="AJ15" s="71" t="s">
        <v>210</v>
      </c>
      <c r="AK15" s="71">
        <v>5000000</v>
      </c>
      <c r="AL15" s="71">
        <f t="shared" si="3"/>
        <v>10000000</v>
      </c>
    </row>
    <row r="16" spans="1:43">
      <c r="A16" s="60" t="s">
        <v>503</v>
      </c>
      <c r="B16" s="60" t="s">
        <v>504</v>
      </c>
      <c r="C16" s="60">
        <v>6535.9477124183004</v>
      </c>
      <c r="E16" s="61" t="s">
        <v>179</v>
      </c>
      <c r="F16" s="62">
        <v>-0.1</v>
      </c>
      <c r="H16" s="61" t="s">
        <v>67</v>
      </c>
      <c r="I16" s="61" t="s">
        <v>73</v>
      </c>
      <c r="J16" s="64">
        <v>1.0518750000000003E-3</v>
      </c>
      <c r="K16" s="64" t="s">
        <v>293</v>
      </c>
      <c r="L16" s="64" t="s">
        <v>315</v>
      </c>
      <c r="M16" s="64" t="s">
        <v>316</v>
      </c>
      <c r="N16" s="61" t="s">
        <v>191</v>
      </c>
      <c r="O16" s="62">
        <v>1</v>
      </c>
      <c r="Q16" s="61" t="s">
        <v>434</v>
      </c>
      <c r="R16" s="64">
        <v>7.6499999999999995E-4</v>
      </c>
      <c r="S16" s="64">
        <v>8.0999999999999996E-4</v>
      </c>
      <c r="T16" s="64">
        <v>8.5499999999999997E-4</v>
      </c>
      <c r="U16" s="64">
        <v>8.9999999999999998E-4</v>
      </c>
      <c r="V16" s="61"/>
      <c r="W16" s="61"/>
      <c r="X16" s="70">
        <v>8.9999999999999998E-4</v>
      </c>
      <c r="Y16" s="79">
        <f t="shared" si="1"/>
        <v>-0.15000000000000002</v>
      </c>
      <c r="Z16" s="79">
        <f t="shared" si="2"/>
        <v>0</v>
      </c>
      <c r="AB16" s="85" t="s">
        <v>250</v>
      </c>
      <c r="AD16" s="85" t="s">
        <v>400</v>
      </c>
      <c r="AE16" s="85" t="s">
        <v>399</v>
      </c>
      <c r="AF16" s="85">
        <v>157</v>
      </c>
      <c r="AH16" s="61" t="s">
        <v>189</v>
      </c>
      <c r="AI16" s="61" t="s">
        <v>196</v>
      </c>
      <c r="AJ16" s="71" t="s">
        <v>210</v>
      </c>
      <c r="AK16" s="71">
        <v>5000000</v>
      </c>
      <c r="AL16" s="71">
        <f t="shared" si="3"/>
        <v>10000000</v>
      </c>
    </row>
    <row r="17" spans="1:38">
      <c r="A17" s="60" t="s">
        <v>506</v>
      </c>
      <c r="B17" s="60" t="s">
        <v>507</v>
      </c>
      <c r="C17" s="60">
        <v>42.459239130434781</v>
      </c>
      <c r="E17" s="61" t="s">
        <v>180</v>
      </c>
      <c r="F17" s="62">
        <v>-0.15</v>
      </c>
      <c r="H17" s="61" t="s">
        <v>74</v>
      </c>
      <c r="I17" s="61" t="s">
        <v>75</v>
      </c>
      <c r="J17" s="64">
        <v>1.0518750000000003E-3</v>
      </c>
      <c r="K17" s="64" t="s">
        <v>300</v>
      </c>
      <c r="L17" s="64" t="s">
        <v>318</v>
      </c>
      <c r="M17" s="64" t="s">
        <v>319</v>
      </c>
      <c r="N17" s="61" t="s">
        <v>190</v>
      </c>
      <c r="O17" s="62">
        <v>0.3</v>
      </c>
      <c r="Q17" s="61" t="s">
        <v>435</v>
      </c>
      <c r="R17" s="64">
        <v>6.8000000000000005E-4</v>
      </c>
      <c r="S17" s="64">
        <v>7.2000000000000005E-4</v>
      </c>
      <c r="T17" s="64">
        <v>7.6000000000000004E-4</v>
      </c>
      <c r="U17" s="64">
        <v>8.0000000000000004E-4</v>
      </c>
      <c r="V17" s="64"/>
      <c r="W17" s="64"/>
      <c r="X17" s="64">
        <v>8.0000000000000004E-4</v>
      </c>
      <c r="Y17" s="64">
        <f t="shared" si="1"/>
        <v>-0.15000000000000002</v>
      </c>
      <c r="Z17" s="64">
        <f t="shared" si="2"/>
        <v>0</v>
      </c>
      <c r="AB17" s="85" t="s">
        <v>251</v>
      </c>
      <c r="AD17" s="85" t="s">
        <v>401</v>
      </c>
      <c r="AE17" s="85" t="s">
        <v>399</v>
      </c>
      <c r="AF17" s="85">
        <v>157</v>
      </c>
      <c r="AH17" s="87" t="s">
        <v>191</v>
      </c>
      <c r="AI17" s="87" t="s">
        <v>208</v>
      </c>
      <c r="AJ17" s="88" t="s">
        <v>209</v>
      </c>
      <c r="AK17" s="88" t="s">
        <v>192</v>
      </c>
      <c r="AL17" s="88" t="s">
        <v>211</v>
      </c>
    </row>
    <row r="18" spans="1:38">
      <c r="A18" s="60" t="s">
        <v>497</v>
      </c>
      <c r="B18" s="60" t="s">
        <v>498</v>
      </c>
      <c r="C18" s="60">
        <v>5.4307095765132676</v>
      </c>
      <c r="E18" s="61" t="s">
        <v>181</v>
      </c>
      <c r="F18" s="62">
        <v>-0.2</v>
      </c>
      <c r="H18" s="61" t="s">
        <v>74</v>
      </c>
      <c r="I18" s="61" t="s">
        <v>76</v>
      </c>
      <c r="J18" s="64">
        <v>8.7656250000000006E-4</v>
      </c>
      <c r="K18" s="64" t="s">
        <v>293</v>
      </c>
      <c r="L18" s="64" t="s">
        <v>320</v>
      </c>
      <c r="M18" s="64" t="s">
        <v>321</v>
      </c>
      <c r="N18" s="61" t="s">
        <v>190</v>
      </c>
      <c r="O18" s="62">
        <v>0.3</v>
      </c>
      <c r="Q18" s="61" t="s">
        <v>436</v>
      </c>
      <c r="R18" s="64">
        <v>1.0449999999999999E-3</v>
      </c>
      <c r="S18" s="64">
        <v>1.1183333333333334E-3</v>
      </c>
      <c r="T18" s="64">
        <v>1.1916666666666668E-3</v>
      </c>
      <c r="U18" s="64">
        <v>1.2650000000000001E-3</v>
      </c>
      <c r="V18" s="64"/>
      <c r="W18" s="64"/>
      <c r="X18" s="64">
        <v>1.1000000000000001E-3</v>
      </c>
      <c r="Y18" s="64">
        <f t="shared" si="1"/>
        <v>-5.0000000000000155E-2</v>
      </c>
      <c r="Z18" s="64">
        <f t="shared" si="2"/>
        <v>0.14999999999999991</v>
      </c>
    </row>
    <row r="19" spans="1:38">
      <c r="E19" s="61" t="s">
        <v>182</v>
      </c>
      <c r="F19" s="62">
        <v>-0.25</v>
      </c>
      <c r="H19" s="61" t="s">
        <v>74</v>
      </c>
      <c r="I19" s="61" t="s">
        <v>77</v>
      </c>
      <c r="J19" s="64">
        <v>1.3749999999999999E-3</v>
      </c>
      <c r="K19" s="64" t="s">
        <v>300</v>
      </c>
      <c r="L19" s="64" t="s">
        <v>322</v>
      </c>
      <c r="M19" s="64" t="s">
        <v>317</v>
      </c>
      <c r="N19" s="61" t="s">
        <v>190</v>
      </c>
      <c r="O19" s="62">
        <v>0.3</v>
      </c>
      <c r="Q19" s="61" t="s">
        <v>437</v>
      </c>
      <c r="R19" s="64">
        <v>8.5499999999999997E-4</v>
      </c>
      <c r="S19" s="64">
        <v>9.1499999999999991E-4</v>
      </c>
      <c r="T19" s="64">
        <v>9.7499999999999985E-4</v>
      </c>
      <c r="U19" s="64">
        <v>1.0349999999999999E-3</v>
      </c>
      <c r="V19" s="64"/>
      <c r="W19" s="64"/>
      <c r="X19" s="64">
        <v>8.9999999999999998E-4</v>
      </c>
      <c r="Y19" s="64">
        <f t="shared" si="1"/>
        <v>-5.0000000000000044E-2</v>
      </c>
      <c r="Z19" s="64">
        <f t="shared" si="2"/>
        <v>0.14999999999999991</v>
      </c>
    </row>
    <row r="20" spans="1:38">
      <c r="E20" s="61" t="s">
        <v>52</v>
      </c>
      <c r="F20" s="62">
        <v>0</v>
      </c>
      <c r="H20" s="61" t="s">
        <v>74</v>
      </c>
      <c r="I20" s="61" t="s">
        <v>78</v>
      </c>
      <c r="J20" s="64">
        <v>4.908750000000001E-4</v>
      </c>
      <c r="K20" s="64" t="s">
        <v>300</v>
      </c>
      <c r="L20" s="64" t="s">
        <v>323</v>
      </c>
      <c r="M20" s="64" t="s">
        <v>324</v>
      </c>
      <c r="N20" s="61" t="s">
        <v>190</v>
      </c>
      <c r="O20" s="62">
        <v>0.3</v>
      </c>
      <c r="Q20" s="61" t="s">
        <v>438</v>
      </c>
      <c r="R20" s="64">
        <v>7.6499999999999995E-4</v>
      </c>
      <c r="S20" s="64">
        <v>8.0999999999999996E-4</v>
      </c>
      <c r="T20" s="64">
        <v>8.5499999999999997E-4</v>
      </c>
      <c r="U20" s="64">
        <v>8.9999999999999998E-4</v>
      </c>
      <c r="V20" s="64"/>
      <c r="W20" s="64"/>
      <c r="X20" s="64">
        <v>8.9999999999999998E-4</v>
      </c>
      <c r="Y20" s="64">
        <f t="shared" si="1"/>
        <v>-0.15000000000000002</v>
      </c>
      <c r="Z20" s="64">
        <f t="shared" si="2"/>
        <v>0</v>
      </c>
      <c r="AD20" s="53" t="s">
        <v>120</v>
      </c>
      <c r="AE20" s="53" t="s">
        <v>57</v>
      </c>
    </row>
    <row r="21" spans="1:38">
      <c r="E21" s="61" t="s">
        <v>55</v>
      </c>
      <c r="F21" s="62">
        <v>0.15</v>
      </c>
      <c r="H21" s="61" t="s">
        <v>74</v>
      </c>
      <c r="I21" s="61" t="s">
        <v>79</v>
      </c>
      <c r="J21" s="64">
        <v>6.3112499999999996E-4</v>
      </c>
      <c r="K21" s="64" t="s">
        <v>300</v>
      </c>
      <c r="L21" s="64" t="s">
        <v>325</v>
      </c>
      <c r="M21" s="64" t="s">
        <v>326</v>
      </c>
      <c r="N21" s="61" t="s">
        <v>190</v>
      </c>
      <c r="O21" s="62">
        <v>0.3</v>
      </c>
      <c r="Q21" s="61" t="s">
        <v>439</v>
      </c>
      <c r="R21" s="64">
        <v>8.4999999999999995E-4</v>
      </c>
      <c r="S21" s="64">
        <f>+R21*(1+3%)</f>
        <v>8.7549999999999998E-4</v>
      </c>
      <c r="T21" s="64">
        <f>+R21*(1+6%)</f>
        <v>9.01E-4</v>
      </c>
      <c r="U21" s="64">
        <f>+R21*(1+9%)</f>
        <v>9.2650000000000002E-4</v>
      </c>
      <c r="V21" s="64"/>
      <c r="W21" s="64"/>
      <c r="X21" s="64">
        <v>8.4999999999999995E-4</v>
      </c>
      <c r="Y21" s="64">
        <f t="shared" ref="Y21:Y47" si="4">+R21/X21-1</f>
        <v>0</v>
      </c>
      <c r="Z21" s="64">
        <f t="shared" ref="Z21:Z47" si="5">+U21/X21-1</f>
        <v>9.000000000000008E-2</v>
      </c>
      <c r="AD21" s="60">
        <v>1</v>
      </c>
      <c r="AE21" s="61" t="s">
        <v>59</v>
      </c>
    </row>
    <row r="22" spans="1:38">
      <c r="E22" s="61" t="s">
        <v>53</v>
      </c>
      <c r="F22" s="62">
        <v>0.3</v>
      </c>
      <c r="H22" s="61" t="s">
        <v>74</v>
      </c>
      <c r="I22" s="61" t="s">
        <v>80</v>
      </c>
      <c r="J22" s="64">
        <v>8.4150000000000013E-4</v>
      </c>
      <c r="K22" s="64" t="s">
        <v>300</v>
      </c>
      <c r="L22" s="64" t="s">
        <v>327</v>
      </c>
      <c r="M22" s="64" t="s">
        <v>328</v>
      </c>
      <c r="N22" s="61" t="s">
        <v>190</v>
      </c>
      <c r="O22" s="62">
        <v>0.3</v>
      </c>
      <c r="Q22" s="61" t="s">
        <v>440</v>
      </c>
      <c r="R22" s="64">
        <v>8.4999999999999995E-4</v>
      </c>
      <c r="S22" s="64">
        <f t="shared" ref="S22:S46" si="6">+R22*(1+3%)</f>
        <v>8.7549999999999998E-4</v>
      </c>
      <c r="T22" s="64">
        <f t="shared" ref="T22:T46" si="7">+R22*(1+6%)</f>
        <v>9.01E-4</v>
      </c>
      <c r="U22" s="64">
        <f t="shared" ref="U22:U46" si="8">+R22*(1+9%)</f>
        <v>9.2650000000000002E-4</v>
      </c>
      <c r="V22" s="64"/>
      <c r="W22" s="64"/>
      <c r="X22" s="64">
        <v>8.4999999999999995E-4</v>
      </c>
      <c r="Y22" s="64">
        <f t="shared" si="4"/>
        <v>0</v>
      </c>
      <c r="Z22" s="64">
        <f t="shared" si="5"/>
        <v>9.000000000000008E-2</v>
      </c>
      <c r="AD22" s="60">
        <v>2</v>
      </c>
      <c r="AE22" s="61" t="s">
        <v>4</v>
      </c>
    </row>
    <row r="23" spans="1:38">
      <c r="A23" s="53" t="s">
        <v>30</v>
      </c>
      <c r="B23" s="54" t="s">
        <v>29</v>
      </c>
      <c r="E23" s="61" t="s">
        <v>54</v>
      </c>
      <c r="F23" s="62" t="s">
        <v>56</v>
      </c>
      <c r="H23" s="61" t="s">
        <v>6</v>
      </c>
      <c r="I23" s="61" t="s">
        <v>6</v>
      </c>
      <c r="J23" s="64">
        <v>7.1775000000000007E-4</v>
      </c>
      <c r="K23" s="64" t="s">
        <v>293</v>
      </c>
      <c r="L23" s="64" t="s">
        <v>329</v>
      </c>
      <c r="M23" s="64" t="s">
        <v>330</v>
      </c>
      <c r="N23" s="61" t="s">
        <v>191</v>
      </c>
      <c r="O23" s="62">
        <v>1</v>
      </c>
      <c r="Q23" s="61" t="s">
        <v>441</v>
      </c>
      <c r="R23" s="64">
        <v>8.4999999999999995E-4</v>
      </c>
      <c r="S23" s="64">
        <f t="shared" si="6"/>
        <v>8.7549999999999998E-4</v>
      </c>
      <c r="T23" s="64">
        <f t="shared" si="7"/>
        <v>9.01E-4</v>
      </c>
      <c r="U23" s="64">
        <f t="shared" si="8"/>
        <v>9.2650000000000002E-4</v>
      </c>
      <c r="V23" s="64"/>
      <c r="W23" s="64"/>
      <c r="X23" s="64">
        <v>8.4999999999999995E-4</v>
      </c>
      <c r="Y23" s="64">
        <f t="shared" si="4"/>
        <v>0</v>
      </c>
      <c r="Z23" s="64">
        <f t="shared" si="5"/>
        <v>9.000000000000008E-2</v>
      </c>
      <c r="AD23" s="60">
        <v>3</v>
      </c>
      <c r="AE23" s="61" t="s">
        <v>63</v>
      </c>
    </row>
    <row r="24" spans="1:38">
      <c r="A24" s="68" t="s">
        <v>33</v>
      </c>
      <c r="B24" s="61" t="s">
        <v>34</v>
      </c>
      <c r="H24" s="61" t="s">
        <v>6</v>
      </c>
      <c r="I24" s="61" t="s">
        <v>81</v>
      </c>
      <c r="J24" s="64">
        <v>8.25E-4</v>
      </c>
      <c r="K24" s="64" t="s">
        <v>300</v>
      </c>
      <c r="L24" s="64" t="s">
        <v>331</v>
      </c>
      <c r="M24" s="64" t="s">
        <v>332</v>
      </c>
      <c r="N24" s="61" t="s">
        <v>191</v>
      </c>
      <c r="O24" s="62">
        <v>1</v>
      </c>
      <c r="Q24" s="61" t="s">
        <v>442</v>
      </c>
      <c r="R24" s="64">
        <v>1.1999999999999999E-3</v>
      </c>
      <c r="S24" s="64">
        <f t="shared" si="6"/>
        <v>1.2359999999999999E-3</v>
      </c>
      <c r="T24" s="64">
        <f t="shared" si="7"/>
        <v>1.2719999999999999E-3</v>
      </c>
      <c r="U24" s="64">
        <f t="shared" si="8"/>
        <v>1.3079999999999999E-3</v>
      </c>
      <c r="V24" s="64"/>
      <c r="W24" s="64"/>
      <c r="X24" s="64">
        <v>1.1999999999999999E-3</v>
      </c>
      <c r="Y24" s="64">
        <f t="shared" si="4"/>
        <v>0</v>
      </c>
      <c r="Z24" s="64">
        <f t="shared" si="5"/>
        <v>9.000000000000008E-2</v>
      </c>
      <c r="AD24" s="60">
        <v>4</v>
      </c>
      <c r="AE24" s="61" t="s">
        <v>67</v>
      </c>
    </row>
    <row r="25" spans="1:38">
      <c r="A25" s="68" t="s">
        <v>35</v>
      </c>
      <c r="B25" s="61" t="s">
        <v>36</v>
      </c>
      <c r="H25" s="61" t="s">
        <v>6</v>
      </c>
      <c r="I25" s="61" t="s">
        <v>200</v>
      </c>
      <c r="J25" s="64">
        <v>2.8050000000000004E-4</v>
      </c>
      <c r="K25" s="64" t="s">
        <v>293</v>
      </c>
      <c r="L25" s="64" t="s">
        <v>333</v>
      </c>
      <c r="M25" s="64" t="s">
        <v>334</v>
      </c>
      <c r="N25" s="61" t="s">
        <v>190</v>
      </c>
      <c r="O25" s="62">
        <v>1</v>
      </c>
      <c r="Q25" s="61" t="s">
        <v>443</v>
      </c>
      <c r="R25" s="64">
        <v>1.1999999999999999E-3</v>
      </c>
      <c r="S25" s="64">
        <f t="shared" si="6"/>
        <v>1.2359999999999999E-3</v>
      </c>
      <c r="T25" s="64">
        <f t="shared" si="7"/>
        <v>1.2719999999999999E-3</v>
      </c>
      <c r="U25" s="64">
        <f t="shared" si="8"/>
        <v>1.3079999999999999E-3</v>
      </c>
      <c r="V25" s="64"/>
      <c r="W25" s="64"/>
      <c r="X25" s="64">
        <v>1.1999999999999999E-3</v>
      </c>
      <c r="Y25" s="64">
        <f t="shared" si="4"/>
        <v>0</v>
      </c>
      <c r="Z25" s="64">
        <f t="shared" si="5"/>
        <v>9.000000000000008E-2</v>
      </c>
      <c r="AD25" s="60">
        <v>5</v>
      </c>
      <c r="AE25" s="61" t="s">
        <v>74</v>
      </c>
    </row>
    <row r="26" spans="1:38">
      <c r="A26" s="68" t="s">
        <v>40</v>
      </c>
      <c r="B26" s="61" t="s">
        <v>46</v>
      </c>
      <c r="E26" s="53" t="s">
        <v>133</v>
      </c>
      <c r="F26" s="54" t="s">
        <v>51</v>
      </c>
      <c r="H26" s="61" t="s">
        <v>6</v>
      </c>
      <c r="I26" s="61" t="s">
        <v>201</v>
      </c>
      <c r="J26" s="64">
        <v>2.8050000000000004E-4</v>
      </c>
      <c r="K26" s="64" t="s">
        <v>293</v>
      </c>
      <c r="L26" s="64" t="s">
        <v>374</v>
      </c>
      <c r="M26" s="64" t="s">
        <v>334</v>
      </c>
      <c r="N26" s="61" t="s">
        <v>191</v>
      </c>
      <c r="O26" s="62">
        <v>1</v>
      </c>
      <c r="Q26" s="61" t="s">
        <v>444</v>
      </c>
      <c r="R26" s="64">
        <v>5.0000000000000001E-4</v>
      </c>
      <c r="S26" s="64">
        <f t="shared" si="6"/>
        <v>5.1500000000000005E-4</v>
      </c>
      <c r="T26" s="64">
        <f t="shared" si="7"/>
        <v>5.3000000000000009E-4</v>
      </c>
      <c r="U26" s="64">
        <f t="shared" si="8"/>
        <v>5.4500000000000002E-4</v>
      </c>
      <c r="V26" s="64"/>
      <c r="W26" s="64"/>
      <c r="X26" s="64">
        <v>5.0000000000000001E-4</v>
      </c>
      <c r="Y26" s="64">
        <f t="shared" si="4"/>
        <v>0</v>
      </c>
      <c r="Z26" s="64">
        <f t="shared" si="5"/>
        <v>9.000000000000008E-2</v>
      </c>
      <c r="AD26" s="60">
        <v>6</v>
      </c>
      <c r="AE26" s="61" t="s">
        <v>6</v>
      </c>
    </row>
    <row r="27" spans="1:38">
      <c r="A27" s="68" t="s">
        <v>37</v>
      </c>
      <c r="B27" s="61" t="s">
        <v>38</v>
      </c>
      <c r="E27" s="61" t="s">
        <v>216</v>
      </c>
      <c r="F27" s="72">
        <v>0</v>
      </c>
      <c r="H27" s="61" t="s">
        <v>6</v>
      </c>
      <c r="I27" s="61" t="s">
        <v>82</v>
      </c>
      <c r="J27" s="64">
        <v>4.125E-4</v>
      </c>
      <c r="K27" s="64" t="s">
        <v>293</v>
      </c>
      <c r="L27" s="64" t="s">
        <v>335</v>
      </c>
      <c r="M27" s="64" t="s">
        <v>336</v>
      </c>
      <c r="N27" s="61" t="s">
        <v>191</v>
      </c>
      <c r="O27" s="62">
        <v>1</v>
      </c>
      <c r="Q27" s="61" t="s">
        <v>445</v>
      </c>
      <c r="R27" s="64">
        <v>1.1999999999999999E-3</v>
      </c>
      <c r="S27" s="64">
        <f t="shared" si="6"/>
        <v>1.2359999999999999E-3</v>
      </c>
      <c r="T27" s="64">
        <f t="shared" si="7"/>
        <v>1.2719999999999999E-3</v>
      </c>
      <c r="U27" s="64">
        <f t="shared" si="8"/>
        <v>1.3079999999999999E-3</v>
      </c>
      <c r="V27" s="64"/>
      <c r="W27" s="64"/>
      <c r="X27" s="64">
        <v>1.1999999999999999E-3</v>
      </c>
      <c r="Y27" s="64">
        <f t="shared" si="4"/>
        <v>0</v>
      </c>
      <c r="Z27" s="64">
        <f t="shared" si="5"/>
        <v>9.000000000000008E-2</v>
      </c>
      <c r="AD27" s="60">
        <v>7</v>
      </c>
      <c r="AE27" s="61" t="s">
        <v>83</v>
      </c>
    </row>
    <row r="28" spans="1:38">
      <c r="A28" s="68" t="s">
        <v>31</v>
      </c>
      <c r="B28" s="61" t="s">
        <v>32</v>
      </c>
      <c r="E28" s="61" t="s">
        <v>217</v>
      </c>
      <c r="F28" s="72">
        <v>-0.01</v>
      </c>
      <c r="H28" s="61" t="s">
        <v>83</v>
      </c>
      <c r="I28" s="61" t="s">
        <v>84</v>
      </c>
      <c r="J28" s="64">
        <v>3.3000000000000005E-4</v>
      </c>
      <c r="K28" s="64" t="s">
        <v>293</v>
      </c>
      <c r="L28" s="64" t="s">
        <v>337</v>
      </c>
      <c r="M28" s="64" t="s">
        <v>338</v>
      </c>
      <c r="N28" s="61" t="s">
        <v>188</v>
      </c>
      <c r="O28" s="62">
        <v>1</v>
      </c>
      <c r="Q28" s="61" t="s">
        <v>446</v>
      </c>
      <c r="R28" s="64">
        <v>5.0000000000000001E-4</v>
      </c>
      <c r="S28" s="64">
        <f t="shared" si="6"/>
        <v>5.1500000000000005E-4</v>
      </c>
      <c r="T28" s="64">
        <f t="shared" si="7"/>
        <v>5.3000000000000009E-4</v>
      </c>
      <c r="U28" s="64">
        <f t="shared" si="8"/>
        <v>5.4500000000000002E-4</v>
      </c>
      <c r="V28" s="64"/>
      <c r="W28" s="64"/>
      <c r="X28" s="64">
        <v>5.0000000000000001E-4</v>
      </c>
      <c r="Y28" s="64">
        <f t="shared" si="4"/>
        <v>0</v>
      </c>
      <c r="Z28" s="64">
        <f t="shared" si="5"/>
        <v>9.000000000000008E-2</v>
      </c>
      <c r="AD28" s="60">
        <v>8</v>
      </c>
      <c r="AE28" s="61" t="s">
        <v>87</v>
      </c>
    </row>
    <row r="29" spans="1:38">
      <c r="A29" s="68" t="s">
        <v>39</v>
      </c>
      <c r="B29" s="61" t="s">
        <v>438</v>
      </c>
      <c r="E29" s="61" t="s">
        <v>218</v>
      </c>
      <c r="F29" s="72">
        <v>-0.02</v>
      </c>
      <c r="H29" s="61" t="s">
        <v>83</v>
      </c>
      <c r="I29" s="61" t="s">
        <v>85</v>
      </c>
      <c r="J29" s="64">
        <v>4.2075000000000006E-4</v>
      </c>
      <c r="K29" s="64" t="s">
        <v>293</v>
      </c>
      <c r="L29" s="64" t="s">
        <v>339</v>
      </c>
      <c r="M29" s="64" t="s">
        <v>340</v>
      </c>
      <c r="N29" s="61" t="s">
        <v>188</v>
      </c>
      <c r="O29" s="62">
        <v>1</v>
      </c>
      <c r="Q29" s="61" t="s">
        <v>447</v>
      </c>
      <c r="R29" s="64">
        <v>8.0000000000000004E-4</v>
      </c>
      <c r="S29" s="64">
        <f t="shared" si="6"/>
        <v>8.2400000000000008E-4</v>
      </c>
      <c r="T29" s="64">
        <f t="shared" si="7"/>
        <v>8.4800000000000012E-4</v>
      </c>
      <c r="U29" s="64">
        <f t="shared" si="8"/>
        <v>8.7200000000000005E-4</v>
      </c>
      <c r="V29" s="64"/>
      <c r="W29" s="64"/>
      <c r="X29" s="64">
        <v>8.0000000000000004E-4</v>
      </c>
      <c r="Y29" s="64">
        <f t="shared" si="4"/>
        <v>0</v>
      </c>
      <c r="Z29" s="64">
        <f t="shared" si="5"/>
        <v>9.000000000000008E-2</v>
      </c>
      <c r="AD29" s="60">
        <v>9</v>
      </c>
      <c r="AE29" s="61" t="s">
        <v>92</v>
      </c>
    </row>
    <row r="30" spans="1:38">
      <c r="A30" s="68" t="s">
        <v>408</v>
      </c>
      <c r="B30" s="61" t="s">
        <v>409</v>
      </c>
      <c r="E30" s="73" t="s">
        <v>219</v>
      </c>
      <c r="F30" s="72">
        <v>0</v>
      </c>
      <c r="H30" s="61" t="s">
        <v>83</v>
      </c>
      <c r="I30" s="61" t="s">
        <v>86</v>
      </c>
      <c r="J30" s="64">
        <v>7.0125000000000005E-4</v>
      </c>
      <c r="K30" s="64" t="s">
        <v>293</v>
      </c>
      <c r="L30" s="64" t="s">
        <v>341</v>
      </c>
      <c r="M30" s="64" t="s">
        <v>340</v>
      </c>
      <c r="N30" s="61" t="s">
        <v>188</v>
      </c>
      <c r="O30" s="62">
        <v>1</v>
      </c>
      <c r="Q30" s="61" t="s">
        <v>453</v>
      </c>
      <c r="R30" s="64">
        <v>1.6000000000000001E-3</v>
      </c>
      <c r="S30" s="64">
        <f t="shared" si="6"/>
        <v>1.6480000000000002E-3</v>
      </c>
      <c r="T30" s="64">
        <f t="shared" si="7"/>
        <v>1.6960000000000002E-3</v>
      </c>
      <c r="U30" s="64">
        <f t="shared" si="8"/>
        <v>1.7440000000000001E-3</v>
      </c>
      <c r="V30" s="64"/>
      <c r="W30" s="64"/>
      <c r="X30" s="64">
        <v>1.6000000000000001E-3</v>
      </c>
      <c r="Y30" s="64">
        <f t="shared" si="4"/>
        <v>0</v>
      </c>
      <c r="Z30" s="64">
        <f t="shared" si="5"/>
        <v>9.000000000000008E-2</v>
      </c>
      <c r="AD30" s="60">
        <v>10</v>
      </c>
      <c r="AE30" s="61" t="s">
        <v>97</v>
      </c>
    </row>
    <row r="31" spans="1:38">
      <c r="A31" s="68" t="s">
        <v>402</v>
      </c>
      <c r="B31" s="61" t="s">
        <v>404</v>
      </c>
      <c r="E31" s="73" t="s">
        <v>220</v>
      </c>
      <c r="F31" s="72">
        <v>-0.01</v>
      </c>
      <c r="H31" s="61" t="s">
        <v>87</v>
      </c>
      <c r="I31" s="61" t="s">
        <v>88</v>
      </c>
      <c r="J31" s="64">
        <v>1.4272500000000001E-3</v>
      </c>
      <c r="K31" s="64" t="s">
        <v>300</v>
      </c>
      <c r="L31" s="64" t="s">
        <v>343</v>
      </c>
      <c r="M31" s="64" t="s">
        <v>344</v>
      </c>
      <c r="N31" s="61" t="s">
        <v>190</v>
      </c>
      <c r="O31" s="62">
        <v>0.3</v>
      </c>
      <c r="Q31" s="61" t="s">
        <v>454</v>
      </c>
      <c r="R31" s="64">
        <v>1.6000000000000001E-3</v>
      </c>
      <c r="S31" s="64">
        <f t="shared" si="6"/>
        <v>1.6480000000000002E-3</v>
      </c>
      <c r="T31" s="64">
        <f t="shared" si="7"/>
        <v>1.6960000000000002E-3</v>
      </c>
      <c r="U31" s="64">
        <f t="shared" si="8"/>
        <v>1.7440000000000001E-3</v>
      </c>
      <c r="V31" s="64"/>
      <c r="W31" s="64"/>
      <c r="X31" s="64">
        <v>1.6000000000000001E-3</v>
      </c>
      <c r="Y31" s="64">
        <f t="shared" si="4"/>
        <v>0</v>
      </c>
      <c r="Z31" s="64">
        <f t="shared" si="5"/>
        <v>9.000000000000008E-2</v>
      </c>
      <c r="AD31" s="60">
        <v>11</v>
      </c>
      <c r="AE31" s="61" t="s">
        <v>99</v>
      </c>
    </row>
    <row r="32" spans="1:38">
      <c r="A32" s="68" t="s">
        <v>232</v>
      </c>
      <c r="B32" s="61" t="s">
        <v>215</v>
      </c>
      <c r="E32" s="61" t="s">
        <v>470</v>
      </c>
      <c r="F32" s="72">
        <v>0</v>
      </c>
      <c r="H32" s="61" t="s">
        <v>87</v>
      </c>
      <c r="I32" s="61" t="s">
        <v>89</v>
      </c>
      <c r="J32" s="64">
        <v>5.6100000000000008E-4</v>
      </c>
      <c r="K32" s="64" t="s">
        <v>300</v>
      </c>
      <c r="L32" s="64" t="s">
        <v>345</v>
      </c>
      <c r="M32" s="64" t="s">
        <v>346</v>
      </c>
      <c r="N32" s="61" t="s">
        <v>190</v>
      </c>
      <c r="O32" s="62">
        <v>0.3</v>
      </c>
      <c r="Q32" s="61" t="s">
        <v>455</v>
      </c>
      <c r="R32" s="64">
        <v>1.6000000000000001E-3</v>
      </c>
      <c r="S32" s="64">
        <f t="shared" si="6"/>
        <v>1.6480000000000002E-3</v>
      </c>
      <c r="T32" s="64">
        <f t="shared" si="7"/>
        <v>1.6960000000000002E-3</v>
      </c>
      <c r="U32" s="64">
        <f t="shared" si="8"/>
        <v>1.7440000000000001E-3</v>
      </c>
      <c r="V32" s="64"/>
      <c r="W32" s="64"/>
      <c r="X32" s="64">
        <v>1.6000000000000001E-3</v>
      </c>
      <c r="Y32" s="64">
        <f t="shared" si="4"/>
        <v>0</v>
      </c>
      <c r="Z32" s="64">
        <f t="shared" si="5"/>
        <v>9.000000000000008E-2</v>
      </c>
      <c r="AD32" s="60">
        <v>12</v>
      </c>
      <c r="AE32" s="61" t="s">
        <v>102</v>
      </c>
    </row>
    <row r="33" spans="1:32">
      <c r="A33" s="68" t="s">
        <v>403</v>
      </c>
      <c r="B33" s="61" t="s">
        <v>405</v>
      </c>
      <c r="E33" s="61" t="s">
        <v>471</v>
      </c>
      <c r="F33" s="72">
        <v>-0.01</v>
      </c>
      <c r="H33" s="61" t="s">
        <v>87</v>
      </c>
      <c r="I33" s="61" t="s">
        <v>90</v>
      </c>
      <c r="J33" s="64">
        <v>9.1666666666666676E-4</v>
      </c>
      <c r="K33" s="64" t="s">
        <v>300</v>
      </c>
      <c r="L33" s="64" t="s">
        <v>347</v>
      </c>
      <c r="M33" s="64" t="s">
        <v>348</v>
      </c>
      <c r="N33" s="61" t="s">
        <v>190</v>
      </c>
      <c r="O33" s="62">
        <v>0.3</v>
      </c>
      <c r="Q33" s="61" t="s">
        <v>456</v>
      </c>
      <c r="R33" s="64">
        <v>8.0000000000000004E-4</v>
      </c>
      <c r="S33" s="64">
        <f t="shared" si="6"/>
        <v>8.2400000000000008E-4</v>
      </c>
      <c r="T33" s="64">
        <f t="shared" si="7"/>
        <v>8.4800000000000012E-4</v>
      </c>
      <c r="U33" s="64">
        <f t="shared" si="8"/>
        <v>8.7200000000000005E-4</v>
      </c>
      <c r="V33" s="64"/>
      <c r="W33" s="64"/>
      <c r="X33" s="64">
        <v>8.0000000000000004E-4</v>
      </c>
      <c r="Y33" s="64">
        <f t="shared" si="4"/>
        <v>0</v>
      </c>
      <c r="Z33" s="64">
        <f t="shared" si="5"/>
        <v>9.000000000000008E-2</v>
      </c>
      <c r="AD33" s="60">
        <v>13</v>
      </c>
      <c r="AE33" s="61" t="s">
        <v>103</v>
      </c>
    </row>
    <row r="34" spans="1:32">
      <c r="A34" s="68" t="s">
        <v>406</v>
      </c>
      <c r="B34" s="61" t="s">
        <v>407</v>
      </c>
      <c r="E34" s="61" t="s">
        <v>472</v>
      </c>
      <c r="F34" s="72">
        <v>-0.02</v>
      </c>
      <c r="H34" s="61" t="s">
        <v>87</v>
      </c>
      <c r="I34" s="61" t="s">
        <v>91</v>
      </c>
      <c r="J34" s="64">
        <v>5.6100000000000008E-4</v>
      </c>
      <c r="K34" s="64" t="s">
        <v>300</v>
      </c>
      <c r="L34" s="64" t="s">
        <v>349</v>
      </c>
      <c r="M34" s="64" t="s">
        <v>350</v>
      </c>
      <c r="N34" s="61" t="s">
        <v>190</v>
      </c>
      <c r="O34" s="62">
        <v>0.3</v>
      </c>
      <c r="Q34" s="61" t="s">
        <v>457</v>
      </c>
      <c r="R34" s="64">
        <v>1.6000000000000001E-3</v>
      </c>
      <c r="S34" s="64">
        <f t="shared" si="6"/>
        <v>1.6480000000000002E-3</v>
      </c>
      <c r="T34" s="64">
        <f t="shared" si="7"/>
        <v>1.6960000000000002E-3</v>
      </c>
      <c r="U34" s="64">
        <f t="shared" si="8"/>
        <v>1.7440000000000001E-3</v>
      </c>
      <c r="V34" s="64"/>
      <c r="W34" s="64"/>
      <c r="X34" s="64">
        <v>1.6000000000000001E-3</v>
      </c>
      <c r="Y34" s="64">
        <f t="shared" si="4"/>
        <v>0</v>
      </c>
      <c r="Z34" s="64">
        <f t="shared" si="5"/>
        <v>9.000000000000008E-2</v>
      </c>
      <c r="AD34" s="60">
        <v>14</v>
      </c>
      <c r="AE34" s="61" t="s">
        <v>108</v>
      </c>
    </row>
    <row r="35" spans="1:32">
      <c r="A35" s="68" t="s">
        <v>466</v>
      </c>
      <c r="B35" s="61" t="s">
        <v>449</v>
      </c>
      <c r="H35" s="61" t="s">
        <v>92</v>
      </c>
      <c r="I35" s="61" t="s">
        <v>93</v>
      </c>
      <c r="J35" s="64">
        <v>5.6100000000000008E-4</v>
      </c>
      <c r="K35" s="64" t="s">
        <v>300</v>
      </c>
      <c r="L35" s="64" t="s">
        <v>352</v>
      </c>
      <c r="M35" s="64">
        <v>0</v>
      </c>
      <c r="N35" s="61" t="s">
        <v>191</v>
      </c>
      <c r="O35" s="62">
        <v>1</v>
      </c>
      <c r="Q35" s="61" t="s">
        <v>458</v>
      </c>
      <c r="R35" s="64">
        <v>8.0000000000000004E-4</v>
      </c>
      <c r="S35" s="64">
        <f t="shared" si="6"/>
        <v>8.2400000000000008E-4</v>
      </c>
      <c r="T35" s="64">
        <f t="shared" si="7"/>
        <v>8.4800000000000012E-4</v>
      </c>
      <c r="U35" s="64">
        <f t="shared" si="8"/>
        <v>8.7200000000000005E-4</v>
      </c>
      <c r="V35" s="64"/>
      <c r="W35" s="64"/>
      <c r="X35" s="64">
        <v>8.0000000000000004E-4</v>
      </c>
      <c r="Y35" s="64">
        <f t="shared" si="4"/>
        <v>0</v>
      </c>
      <c r="Z35" s="64">
        <f t="shared" si="5"/>
        <v>9.000000000000008E-2</v>
      </c>
      <c r="AD35" s="60">
        <v>15</v>
      </c>
      <c r="AE35" s="61" t="s">
        <v>111</v>
      </c>
    </row>
    <row r="36" spans="1:32">
      <c r="A36" s="68" t="s">
        <v>467</v>
      </c>
      <c r="B36" s="61" t="s">
        <v>450</v>
      </c>
      <c r="H36" s="61" t="s">
        <v>92</v>
      </c>
      <c r="I36" s="61" t="s">
        <v>94</v>
      </c>
      <c r="J36" s="64">
        <v>6.6825000000000001E-4</v>
      </c>
      <c r="K36" s="64" t="s">
        <v>293</v>
      </c>
      <c r="L36" s="64" t="s">
        <v>295</v>
      </c>
      <c r="M36" s="64" t="s">
        <v>353</v>
      </c>
      <c r="N36" s="61" t="s">
        <v>189</v>
      </c>
      <c r="O36" s="62">
        <v>1</v>
      </c>
      <c r="Q36" s="61" t="s">
        <v>459</v>
      </c>
      <c r="R36" s="64">
        <v>1.6000000000000001E-3</v>
      </c>
      <c r="S36" s="64">
        <f t="shared" si="6"/>
        <v>1.6480000000000002E-3</v>
      </c>
      <c r="T36" s="64">
        <f t="shared" si="7"/>
        <v>1.6960000000000002E-3</v>
      </c>
      <c r="U36" s="64">
        <f t="shared" si="8"/>
        <v>1.7440000000000001E-3</v>
      </c>
      <c r="V36" s="64"/>
      <c r="W36" s="64"/>
      <c r="X36" s="64">
        <v>1.6000000000000001E-3</v>
      </c>
      <c r="Y36" s="64">
        <f t="shared" si="4"/>
        <v>0</v>
      </c>
      <c r="Z36" s="64">
        <f t="shared" si="5"/>
        <v>9.000000000000008E-2</v>
      </c>
      <c r="AD36" s="60">
        <v>16</v>
      </c>
      <c r="AE36" s="61" t="s">
        <v>113</v>
      </c>
    </row>
    <row r="37" spans="1:32">
      <c r="A37" s="68" t="s">
        <v>468</v>
      </c>
      <c r="B37" s="61" t="s">
        <v>451</v>
      </c>
      <c r="E37" s="53" t="s">
        <v>173</v>
      </c>
      <c r="F37" s="75" t="s">
        <v>172</v>
      </c>
      <c r="H37" s="61" t="s">
        <v>92</v>
      </c>
      <c r="I37" s="61" t="s">
        <v>95</v>
      </c>
      <c r="J37" s="64">
        <v>4.908750000000001E-4</v>
      </c>
      <c r="K37" s="64" t="s">
        <v>300</v>
      </c>
      <c r="L37" s="64" t="s">
        <v>354</v>
      </c>
      <c r="M37" s="64" t="s">
        <v>355</v>
      </c>
      <c r="N37" s="61" t="s">
        <v>188</v>
      </c>
      <c r="O37" s="62">
        <v>1</v>
      </c>
      <c r="Q37" s="61" t="s">
        <v>460</v>
      </c>
      <c r="R37" s="64">
        <v>1.6000000000000001E-3</v>
      </c>
      <c r="S37" s="64">
        <f t="shared" si="6"/>
        <v>1.6480000000000002E-3</v>
      </c>
      <c r="T37" s="64">
        <f t="shared" si="7"/>
        <v>1.6960000000000002E-3</v>
      </c>
      <c r="U37" s="64">
        <f t="shared" si="8"/>
        <v>1.7440000000000001E-3</v>
      </c>
      <c r="V37" s="64"/>
      <c r="W37" s="64"/>
      <c r="X37" s="64">
        <v>1.6000000000000001E-3</v>
      </c>
      <c r="Y37" s="64">
        <f t="shared" si="4"/>
        <v>0</v>
      </c>
      <c r="Z37" s="64">
        <f t="shared" si="5"/>
        <v>9.000000000000008E-2</v>
      </c>
      <c r="AD37" s="60">
        <v>17</v>
      </c>
      <c r="AE37" s="61" t="s">
        <v>114</v>
      </c>
    </row>
    <row r="38" spans="1:32">
      <c r="A38" s="68" t="s">
        <v>469</v>
      </c>
      <c r="B38" s="61" t="s">
        <v>452</v>
      </c>
      <c r="E38" s="61" t="s">
        <v>170</v>
      </c>
      <c r="F38" s="71">
        <v>20000000</v>
      </c>
      <c r="H38" s="61" t="s">
        <v>92</v>
      </c>
      <c r="I38" s="61" t="s">
        <v>96</v>
      </c>
      <c r="J38" s="64">
        <v>4.2075000000000006E-4</v>
      </c>
      <c r="K38" s="64" t="s">
        <v>293</v>
      </c>
      <c r="L38" s="64" t="s">
        <v>356</v>
      </c>
      <c r="M38" s="64" t="s">
        <v>357</v>
      </c>
      <c r="N38" s="61" t="s">
        <v>191</v>
      </c>
      <c r="O38" s="62">
        <v>1</v>
      </c>
      <c r="Q38" s="61" t="s">
        <v>461</v>
      </c>
      <c r="R38" s="64">
        <v>1.6000000000000001E-3</v>
      </c>
      <c r="S38" s="64">
        <f t="shared" si="6"/>
        <v>1.6480000000000002E-3</v>
      </c>
      <c r="T38" s="64">
        <f t="shared" si="7"/>
        <v>1.6960000000000002E-3</v>
      </c>
      <c r="U38" s="64">
        <f t="shared" si="8"/>
        <v>1.7440000000000001E-3</v>
      </c>
      <c r="V38" s="64"/>
      <c r="W38" s="64"/>
      <c r="X38" s="64">
        <v>1.6000000000000001E-3</v>
      </c>
      <c r="Y38" s="64">
        <f t="shared" si="4"/>
        <v>0</v>
      </c>
      <c r="Z38" s="64">
        <f t="shared" si="5"/>
        <v>9.000000000000008E-2</v>
      </c>
    </row>
    <row r="39" spans="1:32">
      <c r="A39" s="68"/>
      <c r="B39" s="61"/>
      <c r="E39" s="61" t="s">
        <v>171</v>
      </c>
      <c r="F39" s="62">
        <v>0.05</v>
      </c>
      <c r="H39" s="61" t="s">
        <v>97</v>
      </c>
      <c r="I39" s="61" t="s">
        <v>98</v>
      </c>
      <c r="J39" s="64">
        <v>6.8749999999999996E-4</v>
      </c>
      <c r="K39" s="64" t="s">
        <v>300</v>
      </c>
      <c r="L39" s="64" t="s">
        <v>358</v>
      </c>
      <c r="M39" s="64" t="s">
        <v>359</v>
      </c>
      <c r="N39" s="61" t="s">
        <v>190</v>
      </c>
      <c r="O39" s="62">
        <v>0.3</v>
      </c>
      <c r="Q39" s="61" t="s">
        <v>462</v>
      </c>
      <c r="R39" s="64">
        <v>2E-3</v>
      </c>
      <c r="S39" s="64">
        <f t="shared" si="6"/>
        <v>2.0600000000000002E-3</v>
      </c>
      <c r="T39" s="64">
        <f t="shared" si="7"/>
        <v>2.1200000000000004E-3</v>
      </c>
      <c r="U39" s="64">
        <f t="shared" si="8"/>
        <v>2.1800000000000001E-3</v>
      </c>
      <c r="V39" s="64"/>
      <c r="W39" s="64"/>
      <c r="X39" s="64">
        <v>2E-3</v>
      </c>
      <c r="Y39" s="64">
        <f t="shared" si="4"/>
        <v>0</v>
      </c>
      <c r="Z39" s="64">
        <f t="shared" si="5"/>
        <v>9.000000000000008E-2</v>
      </c>
    </row>
    <row r="40" spans="1:32">
      <c r="E40" s="61" t="s">
        <v>174</v>
      </c>
      <c r="F40" s="62">
        <v>0.9</v>
      </c>
      <c r="H40" s="61" t="s">
        <v>99</v>
      </c>
      <c r="I40" s="61" t="s">
        <v>100</v>
      </c>
      <c r="J40" s="64">
        <v>7.0640625000000011E-4</v>
      </c>
      <c r="K40" s="64" t="s">
        <v>293</v>
      </c>
      <c r="L40" s="64" t="s">
        <v>360</v>
      </c>
      <c r="M40" s="64" t="s">
        <v>361</v>
      </c>
      <c r="N40" s="61" t="s">
        <v>191</v>
      </c>
      <c r="O40" s="62">
        <v>1</v>
      </c>
      <c r="Q40" s="61" t="s">
        <v>463</v>
      </c>
      <c r="R40" s="64">
        <v>2E-3</v>
      </c>
      <c r="S40" s="64">
        <f t="shared" si="6"/>
        <v>2.0600000000000002E-3</v>
      </c>
      <c r="T40" s="64">
        <f t="shared" si="7"/>
        <v>2.1200000000000004E-3</v>
      </c>
      <c r="U40" s="64">
        <f t="shared" si="8"/>
        <v>2.1800000000000001E-3</v>
      </c>
      <c r="V40" s="64"/>
      <c r="W40" s="64"/>
      <c r="X40" s="64">
        <v>2E-3</v>
      </c>
      <c r="Y40" s="64">
        <f t="shared" si="4"/>
        <v>0</v>
      </c>
      <c r="Z40" s="64">
        <f t="shared" si="5"/>
        <v>9.000000000000008E-2</v>
      </c>
      <c r="AD40" s="53" t="s">
        <v>168</v>
      </c>
      <c r="AE40" s="54" t="s">
        <v>169</v>
      </c>
      <c r="AF40" s="54" t="s">
        <v>204</v>
      </c>
    </row>
    <row r="41" spans="1:32">
      <c r="E41" s="61" t="s">
        <v>509</v>
      </c>
      <c r="F41" s="67">
        <v>0</v>
      </c>
      <c r="H41" s="61" t="s">
        <v>99</v>
      </c>
      <c r="I41" s="61" t="s">
        <v>101</v>
      </c>
      <c r="J41" s="64">
        <v>8.4150000000000013E-4</v>
      </c>
      <c r="K41" s="64" t="s">
        <v>293</v>
      </c>
      <c r="L41" s="64" t="s">
        <v>342</v>
      </c>
      <c r="M41" s="64" t="s">
        <v>362</v>
      </c>
      <c r="N41" s="61" t="s">
        <v>191</v>
      </c>
      <c r="O41" s="62">
        <v>1</v>
      </c>
      <c r="Q41" s="61" t="s">
        <v>464</v>
      </c>
      <c r="R41" s="64">
        <v>2.4000000000000002E-3</v>
      </c>
      <c r="S41" s="64">
        <f t="shared" si="6"/>
        <v>2.4720000000000002E-3</v>
      </c>
      <c r="T41" s="64">
        <f t="shared" si="7"/>
        <v>2.5440000000000003E-3</v>
      </c>
      <c r="U41" s="64">
        <f t="shared" si="8"/>
        <v>2.6160000000000003E-3</v>
      </c>
      <c r="V41" s="64"/>
      <c r="W41" s="64"/>
      <c r="X41" s="64">
        <v>2.4000000000000002E-3</v>
      </c>
      <c r="Y41" s="64">
        <f t="shared" si="4"/>
        <v>0</v>
      </c>
      <c r="Z41" s="64">
        <f t="shared" si="5"/>
        <v>9.000000000000008E-2</v>
      </c>
      <c r="AD41" s="61" t="s">
        <v>32</v>
      </c>
      <c r="AE41" s="72">
        <f>5.5%+4.5%</f>
        <v>0.1</v>
      </c>
      <c r="AF41" s="72">
        <f>20%+AE41</f>
        <v>0.30000000000000004</v>
      </c>
    </row>
    <row r="42" spans="1:32">
      <c r="H42" s="61" t="s">
        <v>102</v>
      </c>
      <c r="I42" s="61" t="s">
        <v>365</v>
      </c>
      <c r="J42" s="64">
        <v>2.7500000000000002E-4</v>
      </c>
      <c r="K42" s="64" t="s">
        <v>5</v>
      </c>
      <c r="L42" s="64" t="s">
        <v>363</v>
      </c>
      <c r="M42" s="64" t="s">
        <v>364</v>
      </c>
      <c r="N42" s="61" t="s">
        <v>191</v>
      </c>
      <c r="O42" s="62">
        <v>1</v>
      </c>
      <c r="Q42" s="61" t="s">
        <v>465</v>
      </c>
      <c r="R42" s="64">
        <v>1.6000000000000001E-3</v>
      </c>
      <c r="S42" s="64">
        <f t="shared" si="6"/>
        <v>1.6480000000000002E-3</v>
      </c>
      <c r="T42" s="64">
        <f t="shared" si="7"/>
        <v>1.6960000000000002E-3</v>
      </c>
      <c r="U42" s="64">
        <f t="shared" si="8"/>
        <v>1.7440000000000001E-3</v>
      </c>
      <c r="V42" s="64"/>
      <c r="W42" s="64"/>
      <c r="X42" s="64">
        <v>1.6000000000000001E-3</v>
      </c>
      <c r="Y42" s="64">
        <f t="shared" si="4"/>
        <v>0</v>
      </c>
      <c r="Z42" s="64">
        <f t="shared" si="5"/>
        <v>9.000000000000008E-2</v>
      </c>
      <c r="AD42" s="61" t="s">
        <v>46</v>
      </c>
      <c r="AE42" s="72">
        <v>0.05</v>
      </c>
      <c r="AF42" s="72">
        <f>20%+AE42</f>
        <v>0.25</v>
      </c>
    </row>
    <row r="43" spans="1:32">
      <c r="H43" s="61" t="s">
        <v>103</v>
      </c>
      <c r="I43" s="61" t="s">
        <v>104</v>
      </c>
      <c r="J43" s="64">
        <v>3.5062500000000003E-4</v>
      </c>
      <c r="K43" s="64" t="s">
        <v>293</v>
      </c>
      <c r="L43" s="64" t="s">
        <v>366</v>
      </c>
      <c r="M43" s="64" t="s">
        <v>103</v>
      </c>
      <c r="N43" s="61" t="s">
        <v>190</v>
      </c>
      <c r="O43" s="62">
        <v>1</v>
      </c>
      <c r="Q43" s="61" t="s">
        <v>449</v>
      </c>
      <c r="R43" s="64">
        <v>0</v>
      </c>
      <c r="S43" s="64">
        <f t="shared" si="6"/>
        <v>0</v>
      </c>
      <c r="T43" s="64">
        <f t="shared" si="7"/>
        <v>0</v>
      </c>
      <c r="U43" s="64">
        <f t="shared" si="8"/>
        <v>0</v>
      </c>
      <c r="V43" s="64"/>
      <c r="W43" s="64"/>
      <c r="X43" s="64">
        <v>0</v>
      </c>
      <c r="Y43" s="64" t="e">
        <f t="shared" si="4"/>
        <v>#DIV/0!</v>
      </c>
      <c r="Z43" s="64" t="e">
        <f t="shared" si="5"/>
        <v>#DIV/0!</v>
      </c>
      <c r="AD43" s="61" t="s">
        <v>34</v>
      </c>
      <c r="AE43" s="72">
        <v>0.05</v>
      </c>
      <c r="AF43" s="72">
        <f>20%+AE43</f>
        <v>0.25</v>
      </c>
    </row>
    <row r="44" spans="1:32">
      <c r="E44" s="53" t="s">
        <v>134</v>
      </c>
      <c r="F44" s="54" t="s">
        <v>51</v>
      </c>
      <c r="H44" s="61" t="s">
        <v>103</v>
      </c>
      <c r="I44" s="61" t="s">
        <v>105</v>
      </c>
      <c r="J44" s="64">
        <v>4.95E-4</v>
      </c>
      <c r="K44" s="64" t="s">
        <v>293</v>
      </c>
      <c r="L44" s="64" t="s">
        <v>367</v>
      </c>
      <c r="M44" s="64" t="s">
        <v>103</v>
      </c>
      <c r="N44" s="61" t="s">
        <v>190</v>
      </c>
      <c r="O44" s="62">
        <v>1</v>
      </c>
      <c r="Q44" s="61" t="s">
        <v>450</v>
      </c>
      <c r="R44" s="64">
        <v>4.0000000000000002E-4</v>
      </c>
      <c r="S44" s="64">
        <f t="shared" si="6"/>
        <v>4.1200000000000004E-4</v>
      </c>
      <c r="T44" s="64">
        <f t="shared" si="7"/>
        <v>4.2400000000000006E-4</v>
      </c>
      <c r="U44" s="64">
        <f t="shared" si="8"/>
        <v>4.3600000000000003E-4</v>
      </c>
      <c r="V44" s="64"/>
      <c r="W44" s="64"/>
      <c r="X44" s="64">
        <v>4.0000000000000002E-4</v>
      </c>
      <c r="Y44" s="64">
        <f t="shared" si="4"/>
        <v>0</v>
      </c>
      <c r="Z44" s="64">
        <f t="shared" si="5"/>
        <v>9.000000000000008E-2</v>
      </c>
      <c r="AD44" s="61" t="s">
        <v>36</v>
      </c>
      <c r="AE44" s="72">
        <v>0</v>
      </c>
      <c r="AF44" s="72">
        <f>25%+AE44</f>
        <v>0.25</v>
      </c>
    </row>
    <row r="45" spans="1:32">
      <c r="E45" s="61" t="s">
        <v>199</v>
      </c>
      <c r="F45" s="62">
        <v>0</v>
      </c>
      <c r="H45" s="61" t="s">
        <v>103</v>
      </c>
      <c r="I45" s="61" t="s">
        <v>106</v>
      </c>
      <c r="J45" s="64">
        <v>7.0125000000000005E-4</v>
      </c>
      <c r="K45" s="64" t="s">
        <v>293</v>
      </c>
      <c r="L45" s="64" t="s">
        <v>366</v>
      </c>
      <c r="M45" s="64" t="s">
        <v>103</v>
      </c>
      <c r="N45" s="61" t="s">
        <v>190</v>
      </c>
      <c r="O45" s="62">
        <v>1</v>
      </c>
      <c r="Q45" s="61" t="s">
        <v>451</v>
      </c>
      <c r="R45" s="64">
        <v>0</v>
      </c>
      <c r="S45" s="64">
        <f t="shared" si="6"/>
        <v>0</v>
      </c>
      <c r="T45" s="64">
        <f t="shared" si="7"/>
        <v>0</v>
      </c>
      <c r="U45" s="64">
        <f t="shared" si="8"/>
        <v>0</v>
      </c>
      <c r="V45" s="64"/>
      <c r="W45" s="64"/>
      <c r="X45" s="64">
        <v>0</v>
      </c>
      <c r="Y45" s="64" t="e">
        <f t="shared" si="4"/>
        <v>#DIV/0!</v>
      </c>
      <c r="Z45" s="64" t="e">
        <f t="shared" si="5"/>
        <v>#DIV/0!</v>
      </c>
      <c r="AD45" s="61" t="s">
        <v>38</v>
      </c>
      <c r="AE45" s="72">
        <v>1.4999999999999999E-2</v>
      </c>
      <c r="AF45" s="72">
        <f>25%+AE45</f>
        <v>0.26500000000000001</v>
      </c>
    </row>
    <row r="46" spans="1:32">
      <c r="E46" s="61" t="s">
        <v>130</v>
      </c>
      <c r="F46" s="72">
        <v>0</v>
      </c>
      <c r="H46" s="61" t="s">
        <v>103</v>
      </c>
      <c r="I46" s="61" t="s">
        <v>107</v>
      </c>
      <c r="J46" s="64">
        <v>5.6100000000000008E-4</v>
      </c>
      <c r="K46" s="64" t="s">
        <v>293</v>
      </c>
      <c r="L46" s="64" t="s">
        <v>366</v>
      </c>
      <c r="M46" s="64" t="s">
        <v>103</v>
      </c>
      <c r="N46" s="61" t="s">
        <v>190</v>
      </c>
      <c r="O46" s="62">
        <v>1</v>
      </c>
      <c r="Q46" s="61" t="s">
        <v>452</v>
      </c>
      <c r="R46" s="64">
        <v>2.5000000000000001E-4</v>
      </c>
      <c r="S46" s="64">
        <f t="shared" si="6"/>
        <v>2.5750000000000002E-4</v>
      </c>
      <c r="T46" s="64">
        <f t="shared" si="7"/>
        <v>2.6500000000000004E-4</v>
      </c>
      <c r="U46" s="64">
        <f t="shared" si="8"/>
        <v>2.7250000000000001E-4</v>
      </c>
      <c r="V46" s="64"/>
      <c r="W46" s="64"/>
      <c r="X46" s="64">
        <v>2.5000000000000001E-4</v>
      </c>
      <c r="Y46" s="64">
        <f t="shared" si="4"/>
        <v>0</v>
      </c>
      <c r="Z46" s="64">
        <f t="shared" si="5"/>
        <v>9.000000000000008E-2</v>
      </c>
      <c r="AD46" s="73" t="s">
        <v>196</v>
      </c>
      <c r="AE46" s="74">
        <v>2.1000000000000001E-2</v>
      </c>
      <c r="AF46" s="72">
        <f>27%+AE46</f>
        <v>0.29100000000000004</v>
      </c>
    </row>
    <row r="47" spans="1:32">
      <c r="E47" s="73" t="s">
        <v>131</v>
      </c>
      <c r="F47" s="74">
        <v>-0.01</v>
      </c>
      <c r="H47" s="61" t="s">
        <v>108</v>
      </c>
      <c r="I47" s="61" t="s">
        <v>109</v>
      </c>
      <c r="J47" s="64">
        <v>6.3112499999999996E-4</v>
      </c>
      <c r="K47" s="64" t="s">
        <v>300</v>
      </c>
      <c r="L47" s="64" t="s">
        <v>351</v>
      </c>
      <c r="M47" s="64" t="s">
        <v>108</v>
      </c>
      <c r="N47" s="61" t="s">
        <v>188</v>
      </c>
      <c r="O47" s="62">
        <v>0.5</v>
      </c>
      <c r="Q47" s="61" t="s">
        <v>409</v>
      </c>
      <c r="R47" s="64">
        <v>8.0000000000000004E-4</v>
      </c>
      <c r="S47" s="64">
        <v>8.9999999999999998E-4</v>
      </c>
      <c r="T47" s="64">
        <v>1E-3</v>
      </c>
      <c r="U47" s="64">
        <v>1.1999999999999999E-3</v>
      </c>
      <c r="V47" s="64">
        <v>4.0000000000000001E-3</v>
      </c>
      <c r="W47" s="64"/>
      <c r="X47" s="64"/>
      <c r="Y47" s="64" t="e">
        <f t="shared" si="4"/>
        <v>#DIV/0!</v>
      </c>
      <c r="Z47" s="64" t="e">
        <f t="shared" si="5"/>
        <v>#DIV/0!</v>
      </c>
      <c r="AD47" s="73" t="s">
        <v>215</v>
      </c>
      <c r="AE47" s="83">
        <v>0.10249999999999999</v>
      </c>
      <c r="AF47" s="84">
        <f>20%+AE47</f>
        <v>0.30249999999999999</v>
      </c>
    </row>
    <row r="48" spans="1:32">
      <c r="E48" s="73" t="s">
        <v>132</v>
      </c>
      <c r="F48" s="74">
        <v>-0.02</v>
      </c>
      <c r="H48" s="61" t="s">
        <v>108</v>
      </c>
      <c r="I48" s="61" t="s">
        <v>110</v>
      </c>
      <c r="J48" s="64">
        <v>9.0475000000000299E-4</v>
      </c>
      <c r="K48" s="64" t="s">
        <v>293</v>
      </c>
      <c r="L48" s="64" t="s">
        <v>369</v>
      </c>
      <c r="M48" s="64" t="s">
        <v>370</v>
      </c>
      <c r="N48" s="61" t="s">
        <v>191</v>
      </c>
      <c r="O48" s="62">
        <v>0.5</v>
      </c>
      <c r="AD48" s="73" t="s">
        <v>404</v>
      </c>
      <c r="AE48" s="83">
        <v>0.01</v>
      </c>
      <c r="AF48" s="84">
        <f t="shared" ref="AF48:AF54" si="9">20%+AE48</f>
        <v>0.21000000000000002</v>
      </c>
    </row>
    <row r="49" spans="1:32">
      <c r="H49" s="61" t="s">
        <v>111</v>
      </c>
      <c r="I49" s="61" t="s">
        <v>112</v>
      </c>
      <c r="J49" s="64">
        <v>3.5062500000000003E-4</v>
      </c>
      <c r="K49" s="64" t="s">
        <v>293</v>
      </c>
      <c r="L49" s="64" t="s">
        <v>371</v>
      </c>
      <c r="M49" s="64" t="s">
        <v>372</v>
      </c>
      <c r="N49" s="61" t="s">
        <v>189</v>
      </c>
      <c r="O49" s="62">
        <v>1</v>
      </c>
      <c r="Q49" s="61" t="s">
        <v>474</v>
      </c>
      <c r="R49" s="62">
        <v>-0.2</v>
      </c>
      <c r="AD49" s="73" t="s">
        <v>448</v>
      </c>
      <c r="AE49" s="83">
        <v>2.1000000000000001E-2</v>
      </c>
      <c r="AF49" s="84">
        <f t="shared" si="9"/>
        <v>0.221</v>
      </c>
    </row>
    <row r="50" spans="1:32">
      <c r="A50" s="66"/>
      <c r="B50" s="76"/>
      <c r="C50" s="76"/>
      <c r="G50" s="55"/>
      <c r="H50" s="61" t="s">
        <v>113</v>
      </c>
      <c r="I50" s="61" t="s">
        <v>95</v>
      </c>
      <c r="J50" s="64">
        <v>4.908750000000001E-4</v>
      </c>
      <c r="K50" s="64" t="s">
        <v>300</v>
      </c>
      <c r="L50" s="64" t="s">
        <v>354</v>
      </c>
      <c r="M50" s="64" t="s">
        <v>355</v>
      </c>
      <c r="N50" s="61" t="s">
        <v>188</v>
      </c>
      <c r="O50" s="62">
        <v>0.5</v>
      </c>
      <c r="AD50" s="73" t="s">
        <v>407</v>
      </c>
      <c r="AE50" s="83">
        <v>0.02</v>
      </c>
      <c r="AF50" s="84">
        <f t="shared" si="9"/>
        <v>0.22</v>
      </c>
    </row>
    <row r="51" spans="1:32">
      <c r="A51" s="66"/>
      <c r="B51" s="76"/>
      <c r="C51" s="76"/>
      <c r="E51" s="53" t="s">
        <v>159</v>
      </c>
      <c r="F51" s="54" t="s">
        <v>193</v>
      </c>
      <c r="G51" s="55">
        <v>1.5</v>
      </c>
      <c r="H51" s="61" t="s">
        <v>114</v>
      </c>
      <c r="I51" s="61" t="s">
        <v>115</v>
      </c>
      <c r="J51" s="64">
        <v>1.1458333333333333E-3</v>
      </c>
      <c r="K51" s="64" t="s">
        <v>114</v>
      </c>
      <c r="L51" s="64" t="s">
        <v>368</v>
      </c>
      <c r="M51" s="64" t="s">
        <v>373</v>
      </c>
      <c r="N51" s="61" t="s">
        <v>189</v>
      </c>
      <c r="O51" s="62">
        <v>0.3</v>
      </c>
      <c r="AD51" s="73" t="s">
        <v>449</v>
      </c>
      <c r="AE51" s="83">
        <v>3.5000000000000003E-2</v>
      </c>
      <c r="AF51" s="84">
        <f t="shared" si="9"/>
        <v>0.23500000000000001</v>
      </c>
    </row>
    <row r="52" spans="1:32">
      <c r="A52" s="66"/>
      <c r="B52" s="76"/>
      <c r="C52" s="76"/>
      <c r="E52" s="71">
        <v>2000000</v>
      </c>
      <c r="F52" s="72">
        <v>5.0000000000000001E-3</v>
      </c>
      <c r="G52" s="55">
        <v>2.5</v>
      </c>
      <c r="AD52" s="73" t="s">
        <v>451</v>
      </c>
      <c r="AE52" s="83">
        <v>4.4999999999999998E-2</v>
      </c>
      <c r="AF52" s="84">
        <f t="shared" si="9"/>
        <v>0.245</v>
      </c>
    </row>
    <row r="53" spans="1:32">
      <c r="A53" s="69"/>
      <c r="B53" s="77"/>
      <c r="C53" s="77"/>
      <c r="E53" s="71">
        <v>5000000</v>
      </c>
      <c r="F53" s="72">
        <v>0.01</v>
      </c>
      <c r="AD53" s="73" t="s">
        <v>452</v>
      </c>
      <c r="AE53" s="83">
        <v>0</v>
      </c>
      <c r="AF53" s="84">
        <f t="shared" si="9"/>
        <v>0.2</v>
      </c>
    </row>
    <row r="54" spans="1:32">
      <c r="E54" s="69"/>
      <c r="F54" s="69"/>
      <c r="AD54" s="73" t="s">
        <v>409</v>
      </c>
      <c r="AE54" s="83">
        <v>0</v>
      </c>
      <c r="AF54" s="84">
        <f t="shared" si="9"/>
        <v>0.2</v>
      </c>
    </row>
    <row r="55" spans="1:32">
      <c r="E55" s="147"/>
      <c r="F55" s="148"/>
    </row>
    <row r="56" spans="1:32">
      <c r="E56" s="149"/>
      <c r="F56" s="69"/>
    </row>
    <row r="57" spans="1:32">
      <c r="E57" s="65"/>
      <c r="F57" s="66"/>
    </row>
    <row r="58" spans="1:32">
      <c r="E58" s="150"/>
      <c r="F58" s="150"/>
    </row>
    <row r="63" spans="1:32">
      <c r="G63" s="133"/>
    </row>
    <row r="64" spans="1:32">
      <c r="G64" s="66"/>
    </row>
    <row r="65" spans="5:7">
      <c r="G65" s="66"/>
    </row>
    <row r="66" spans="5:7">
      <c r="G66" s="66"/>
    </row>
    <row r="67" spans="5:7">
      <c r="G67" s="66"/>
    </row>
    <row r="68" spans="5:7">
      <c r="G68" s="66"/>
    </row>
    <row r="69" spans="5:7">
      <c r="G69" s="66"/>
    </row>
    <row r="70" spans="5:7">
      <c r="G70" s="66"/>
    </row>
    <row r="71" spans="5:7">
      <c r="G71" s="66"/>
    </row>
    <row r="72" spans="5:7">
      <c r="G72" s="66"/>
    </row>
    <row r="73" spans="5:7">
      <c r="G73" s="66"/>
    </row>
    <row r="74" spans="5:7">
      <c r="G74" s="66"/>
    </row>
    <row r="75" spans="5:7">
      <c r="G75" s="66"/>
    </row>
    <row r="76" spans="5:7">
      <c r="G76" s="66"/>
    </row>
    <row r="77" spans="5:7">
      <c r="G77" s="66"/>
    </row>
    <row r="78" spans="5:7">
      <c r="G78" s="66"/>
    </row>
    <row r="79" spans="5:7">
      <c r="G79" s="66"/>
    </row>
    <row r="80" spans="5:7">
      <c r="E80" s="65"/>
      <c r="F80" s="66"/>
    </row>
    <row r="81" spans="5:6">
      <c r="E81" s="65"/>
      <c r="F81" s="66"/>
    </row>
    <row r="82" spans="5:6">
      <c r="E82" s="69"/>
      <c r="F82" s="69"/>
    </row>
    <row r="83" spans="5:6">
      <c r="E83" s="65"/>
      <c r="F83" s="66"/>
    </row>
    <row r="84" spans="5:6">
      <c r="E84" s="69"/>
      <c r="F84" s="69"/>
    </row>
    <row r="85" spans="5:6">
      <c r="E85" s="69"/>
      <c r="F85" s="69"/>
    </row>
    <row r="86" spans="5:6">
      <c r="E86" s="65"/>
      <c r="F86" s="66"/>
    </row>
    <row r="87" spans="5:6">
      <c r="E87" s="65"/>
      <c r="F87" s="66"/>
    </row>
    <row r="88" spans="5:6">
      <c r="E88" s="65"/>
      <c r="F88" s="66"/>
    </row>
  </sheetData>
  <autoFilter ref="H1:N49" xr:uid="{B11F8B1B-A44D-466A-8B57-EAB9FA2D9BD1}"/>
  <phoneticPr fontId="10" type="noConversion"/>
  <pageMargins left="0.7" right="0.7" top="0.75" bottom="0.75" header="0.3" footer="0.3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D7863A3EF3F44B041405B197875BB" ma:contentTypeVersion="13" ma:contentTypeDescription="Create a new document." ma:contentTypeScope="" ma:versionID="12a04218a7a82550771b0025f67009e8">
  <xsd:schema xmlns:xsd="http://www.w3.org/2001/XMLSchema" xmlns:xs="http://www.w3.org/2001/XMLSchema" xmlns:p="http://schemas.microsoft.com/office/2006/metadata/properties" xmlns:ns3="f4eb572f-3979-49d6-91c8-ba3aa6ecb423" xmlns:ns4="1a389ce9-2b50-4e0e-bbc7-742979b731c3" targetNamespace="http://schemas.microsoft.com/office/2006/metadata/properties" ma:root="true" ma:fieldsID="c83854bda38862e2b8b21377500e16d2" ns3:_="" ns4:_="">
    <xsd:import namespace="f4eb572f-3979-49d6-91c8-ba3aa6ecb423"/>
    <xsd:import namespace="1a389ce9-2b50-4e0e-bbc7-742979b731c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b572f-3979-49d6-91c8-ba3aa6ecb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389ce9-2b50-4e0e-bbc7-742979b731c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04291F-B7D3-4CA3-A929-DAB1CA4BD0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eb572f-3979-49d6-91c8-ba3aa6ecb423"/>
    <ds:schemaRef ds:uri="1a389ce9-2b50-4e0e-bbc7-742979b731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BDE4C5E-8F88-4FDC-A24D-480F40715FD9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f4eb572f-3979-49d6-91c8-ba3aa6ecb42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1a389ce9-2b50-4e0e-bbc7-742979b731c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447FD63-818C-49FD-A1B0-4C7ED5734E3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44</vt:i4>
      </vt:variant>
    </vt:vector>
  </HeadingPairs>
  <TitlesOfParts>
    <vt:vector size="50" baseType="lpstr">
      <vt:lpstr>Buttons</vt:lpstr>
      <vt:lpstr>SOV</vt:lpstr>
      <vt:lpstr>Pricing</vt:lpstr>
      <vt:lpstr>Rate Monitoring</vt:lpstr>
      <vt:lpstr>Genius</vt:lpstr>
      <vt:lpstr>DATA</vt:lpstr>
      <vt:lpstr>Alto_Grupo_A</vt:lpstr>
      <vt:lpstr>Alto_Grupo_B</vt:lpstr>
      <vt:lpstr>Bajo_Grupo_A</vt:lpstr>
      <vt:lpstr>CATArgentina</vt:lpstr>
      <vt:lpstr>CATBolivia</vt:lpstr>
      <vt:lpstr>CATChile</vt:lpstr>
      <vt:lpstr>CATColombia</vt:lpstr>
      <vt:lpstr>CATCosta_Rica</vt:lpstr>
      <vt:lpstr>CATEcuador</vt:lpstr>
      <vt:lpstr>CATEl_Salvador</vt:lpstr>
      <vt:lpstr>CATGuatemala</vt:lpstr>
      <vt:lpstr>CATHonduras</vt:lpstr>
      <vt:lpstr>CATNicaragua</vt:lpstr>
      <vt:lpstr>CATPanama</vt:lpstr>
      <vt:lpstr>CATParaguay</vt:lpstr>
      <vt:lpstr>CATPeru</vt:lpstr>
      <vt:lpstr>CATPuerto_Rico</vt:lpstr>
      <vt:lpstr>CATUruguay</vt:lpstr>
      <vt:lpstr>Churches</vt:lpstr>
      <vt:lpstr>Education</vt:lpstr>
      <vt:lpstr>Electronics</vt:lpstr>
      <vt:lpstr>Entertainment</vt:lpstr>
      <vt:lpstr>Food__Drink</vt:lpstr>
      <vt:lpstr>General_Commercial</vt:lpstr>
      <vt:lpstr>GROUP</vt:lpstr>
      <vt:lpstr>Healthcare</vt:lpstr>
      <vt:lpstr>Industrial_Light__Manufacturing</vt:lpstr>
      <vt:lpstr>Medio_Grupo_A</vt:lpstr>
      <vt:lpstr>Medio_Grupo_B</vt:lpstr>
      <vt:lpstr>Municipalities</vt:lpstr>
      <vt:lpstr>Pharmaceuticals</vt:lpstr>
      <vt:lpstr>Ports__Terminals</vt:lpstr>
      <vt:lpstr>PRIMARY</vt:lpstr>
      <vt:lpstr>Buttons!Print_Area</vt:lpstr>
      <vt:lpstr>Pricing!Print_Area</vt:lpstr>
      <vt:lpstr>'Rate Monitoring'!Print_Area</vt:lpstr>
      <vt:lpstr>Rail__Roads</vt:lpstr>
      <vt:lpstr>Residential</vt:lpstr>
      <vt:lpstr>SECUNDARY</vt:lpstr>
      <vt:lpstr>Severo_Grupo_A</vt:lpstr>
      <vt:lpstr>Telecommunications</vt:lpstr>
      <vt:lpstr>Temporary_Accomodation</vt:lpstr>
      <vt:lpstr>Utilities</vt:lpstr>
      <vt:lpstr>Warehouse</vt:lpstr>
    </vt:vector>
  </TitlesOfParts>
  <Manager/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Paternina</dc:creator>
  <cp:keywords/>
  <dc:description/>
  <cp:lastModifiedBy>Ramo, Wikin</cp:lastModifiedBy>
  <cp:lastPrinted>2022-12-22T16:34:26Z</cp:lastPrinted>
  <dcterms:created xsi:type="dcterms:W3CDTF">2017-11-08T21:42:03Z</dcterms:created>
  <dcterms:modified xsi:type="dcterms:W3CDTF">2023-01-03T14:29:09Z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0x010100A99D7863A3EF3F44B041405B197875BB</vt:lpwstr>
  </property>
</Properties>
</file>