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libertymutual-my.sharepoint.com/personal/wikin_ramo_libertymutual_com/Documents/Desktop/MARLIN/"/>
    </mc:Choice>
  </mc:AlternateContent>
  <xr:revisionPtr revIDLastSave="0" documentId="13_ncr:1_{0E938A9E-A95B-42B2-AFA3-787A0519491D}" xr6:coauthVersionLast="47" xr6:coauthVersionMax="47" xr10:uidLastSave="{00000000-0000-0000-0000-000000000000}"/>
  <bookViews>
    <workbookView xWindow="-120" yWindow="-120" windowWidth="29040" windowHeight="15720" firstSheet="1" activeTab="1" xr2:uid="{2F801655-3F65-4D1D-90AA-6942D7D42C6B}"/>
  </bookViews>
  <sheets>
    <sheet name="DATA" sheetId="1" state="veryHidden" r:id="rId1"/>
    <sheet name="SEND MAIL" sheetId="2" r:id="rId2"/>
    <sheet name="DATA HISTORY" sheetId="3" state="veryHidden" r:id="rId3"/>
    <sheet name="REPORT" sheetId="4" state="veryHidden" r:id="rId4"/>
    <sheet name="TEMPLATE" sheetId="5" state="veryHidden" r:id="rId5"/>
  </sheets>
  <functionGroups builtInGroupCount="19"/>
  <definedNames>
    <definedName name="OLE_LINK3" localSheetId="1">'SEND MAIL'!#REF!</definedName>
    <definedName name="OLE_LINK4" localSheetId="1">'SEND MAIL'!#REF!</definedName>
    <definedName name="POLIZA">'SEND MAIL'!$L$6:$L$39</definedName>
    <definedName name="PRODUCTOS">DATA!#REF!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9" i="2" l="1"/>
  <c r="F53" i="2"/>
  <c r="D65" i="2" s="1"/>
  <c r="B16" i="5" s="1"/>
  <c r="D54" i="2"/>
  <c r="B5" i="5" s="1"/>
  <c r="F80" i="2"/>
  <c r="D31" i="5" s="1"/>
  <c r="E78" i="2"/>
  <c r="C29" i="5" s="1"/>
  <c r="E77" i="2"/>
  <c r="C28" i="5" s="1"/>
  <c r="D79" i="2"/>
  <c r="B30" i="5" s="1"/>
  <c r="D78" i="2"/>
  <c r="B29" i="5" s="1"/>
  <c r="D77" i="2"/>
  <c r="B28" i="5" s="1"/>
  <c r="D67" i="2"/>
  <c r="B18" i="5" s="1"/>
  <c r="D66" i="2"/>
  <c r="B17" i="5" s="1"/>
  <c r="D56" i="2" l="1"/>
  <c r="D4" i="5"/>
  <c r="C30" i="5"/>
  <c r="D61" i="2"/>
  <c r="D59" i="2"/>
  <c r="D58" i="2"/>
  <c r="E54" i="2"/>
  <c r="E53" i="2"/>
  <c r="F55" i="2"/>
  <c r="C52" i="2"/>
  <c r="C51" i="2"/>
  <c r="D52" i="2"/>
  <c r="B3" i="5" s="1"/>
  <c r="D60" i="2"/>
  <c r="B11" i="5" s="1"/>
  <c r="D72" i="2"/>
  <c r="D63" i="2" s="1"/>
  <c r="B14" i="5" s="1"/>
  <c r="D70" i="2"/>
  <c r="D64" i="2"/>
  <c r="B15" i="5" s="1"/>
  <c r="D55" i="2"/>
  <c r="B6" i="5" s="1"/>
  <c r="D53" i="2"/>
  <c r="B21" i="5" l="1"/>
  <c r="F54" i="2"/>
  <c r="D5" i="5" s="1"/>
  <c r="D68" i="2"/>
  <c r="B7" i="5"/>
  <c r="B23" i="5"/>
  <c r="B4" i="5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2" i="1"/>
  <c r="B1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Ramo, Wikin</author>
  </authors>
  <commentList>
    <comment ref="E2" authorId="0" shapeId="0" xr:uid="{87E950B4-6E15-44BC-B43A-0966C539C438}">
      <text>
        <r>
          <rPr>
            <b/>
            <sz val="12"/>
            <color indexed="10"/>
            <rFont val="Tahoma"/>
            <family val="2"/>
          </rPr>
          <t>Ramo, Wikin:
AGREGAR CONSECUTIVO QUE GENERA GENIUS A SALESFORCE
 EJEMPLO EN IMAGEN</t>
        </r>
      </text>
    </comment>
  </commentList>
</comments>
</file>

<file path=xl/sharedStrings.xml><?xml version="1.0" encoding="utf-8"?>
<sst xmlns="http://schemas.openxmlformats.org/spreadsheetml/2006/main" count="611" uniqueCount="153">
  <si>
    <t>Section D</t>
  </si>
  <si>
    <t>MRLN19AONBCON-1</t>
  </si>
  <si>
    <t>CONSTRUCTION</t>
  </si>
  <si>
    <t>Section B</t>
  </si>
  <si>
    <t>MRLN19AONBENE-1</t>
  </si>
  <si>
    <t>ENERGY</t>
  </si>
  <si>
    <t>MRLN19AONBMAR-1</t>
  </si>
  <si>
    <t>MARINE</t>
  </si>
  <si>
    <t>Section C</t>
  </si>
  <si>
    <t>MRLN19AONBPOW-1</t>
  </si>
  <si>
    <t>POWER GENERATION</t>
  </si>
  <si>
    <t>MRLN19AONBPRO-1</t>
  </si>
  <si>
    <t>PROPERTY</t>
  </si>
  <si>
    <t>MRLN19AONBCON-2</t>
  </si>
  <si>
    <t>MRLN19AONBENE-2</t>
  </si>
  <si>
    <t>MRLN19AONBMAR-2</t>
  </si>
  <si>
    <t>MRLN19AONBPOW-2</t>
  </si>
  <si>
    <t>MRLN19AONBPRO-2</t>
  </si>
  <si>
    <t>MRLN19AONBCON-3</t>
  </si>
  <si>
    <t>MRLN19AONBENE-3</t>
  </si>
  <si>
    <t>MRLN19AONBMAR-3</t>
  </si>
  <si>
    <t>MRLN19AONBPOW-3</t>
  </si>
  <si>
    <t>MRLN19AONBPRO-3</t>
  </si>
  <si>
    <t>Section T</t>
  </si>
  <si>
    <t>MRLN21AONBTER-3</t>
  </si>
  <si>
    <t>TERRORISMO</t>
  </si>
  <si>
    <t>MRLN19AONBCON-4</t>
  </si>
  <si>
    <t>MRLN19AONBENE-4</t>
  </si>
  <si>
    <t>MRLN19AONBMAR-4</t>
  </si>
  <si>
    <t>MRLN19AONBPOW-4</t>
  </si>
  <si>
    <t>MRLN19AONBPRO-4</t>
  </si>
  <si>
    <t>MRLN19AONBCON-5</t>
  </si>
  <si>
    <t>MRLN19AONBENE-5</t>
  </si>
  <si>
    <t>MRLN19AONBMAR-5</t>
  </si>
  <si>
    <t>MRLN19AONBPOW-5</t>
  </si>
  <si>
    <t>MRLN19AONBPRO-5</t>
  </si>
  <si>
    <t>MRLN21AONBTER-4</t>
  </si>
  <si>
    <t>MRLN21AONBTER-5</t>
  </si>
  <si>
    <t>MRLN19AONBCON-6</t>
  </si>
  <si>
    <t>MRLN19AONBENE-6</t>
  </si>
  <si>
    <t>MRLN19AONBMAR-6</t>
  </si>
  <si>
    <t>MRLN19AONBPOW-6</t>
  </si>
  <si>
    <t>MRLN19AONBPRO-6</t>
  </si>
  <si>
    <t>MRLN21AONBTER-6</t>
  </si>
  <si>
    <t>MRLN19AONBCON-7</t>
  </si>
  <si>
    <t>MRLN19AONBENE-7</t>
  </si>
  <si>
    <t>MRLN19AONBMAR-7</t>
  </si>
  <si>
    <t>MRLN19AONBPOW-7</t>
  </si>
  <si>
    <t>MRLN19AONBPRO-7</t>
  </si>
  <si>
    <t>MRLN21AONBTER-7</t>
  </si>
  <si>
    <t>MRLN19AONBCON-8</t>
  </si>
  <si>
    <t>MRLN19AONBENE-8</t>
  </si>
  <si>
    <t>MRLN19AONBMAR-8</t>
  </si>
  <si>
    <t>MRLN19AONBPOW-8</t>
  </si>
  <si>
    <t>MRLN19AONBPRO-8</t>
  </si>
  <si>
    <t>MRLN21AONBTER-8</t>
  </si>
  <si>
    <t>Section</t>
  </si>
  <si>
    <t>Poliza</t>
  </si>
  <si>
    <t>Producto</t>
  </si>
  <si>
    <t>Start</t>
  </si>
  <si>
    <t>End</t>
  </si>
  <si>
    <t>year</t>
  </si>
  <si>
    <t>Endorsement Start Date</t>
  </si>
  <si>
    <t>SECTION</t>
  </si>
  <si>
    <t>MONTH</t>
  </si>
  <si>
    <t>YEAR</t>
  </si>
  <si>
    <t>PRODUCT</t>
  </si>
  <si>
    <t>Max. LMIC Current Year Limit USD</t>
  </si>
  <si>
    <t>LMIC Gross Written Premium USD</t>
  </si>
  <si>
    <t>Original Slip Discounts Amount USD</t>
  </si>
  <si>
    <t xml:space="preserve"> Marlin Fee Amount USD</t>
  </si>
  <si>
    <t>Net Premium Amount USD</t>
  </si>
  <si>
    <t>Tax Amount USD</t>
  </si>
  <si>
    <t>Total Comission</t>
  </si>
  <si>
    <t>Comision %</t>
  </si>
  <si>
    <t>Tx %</t>
  </si>
  <si>
    <t xml:space="preserve"> Gennius Reference</t>
  </si>
  <si>
    <t>LSM PRM DEBIT</t>
  </si>
  <si>
    <t>COMISION DEBIT</t>
  </si>
  <si>
    <t>IMPUESTO DEBIT</t>
  </si>
  <si>
    <t>LSM PRM CREDIT</t>
  </si>
  <si>
    <t>COMISION CREDIT</t>
  </si>
  <si>
    <t>IMPUESTO CREDIT</t>
  </si>
  <si>
    <t>PPW</t>
  </si>
  <si>
    <t>Net Premium Amount USD5</t>
  </si>
  <si>
    <t>Sent Date</t>
  </si>
  <si>
    <t>Net Premium Amount USD2</t>
  </si>
  <si>
    <t>Campo Salesforce</t>
  </si>
  <si>
    <t>Descripcion</t>
  </si>
  <si>
    <t>Campos Salesforce</t>
  </si>
  <si>
    <t>Endorsement Type</t>
  </si>
  <si>
    <t>Add Coverage</t>
  </si>
  <si>
    <t>Endorsement Stage</t>
  </si>
  <si>
    <t>Bound</t>
  </si>
  <si>
    <t>Currency</t>
  </si>
  <si>
    <t>USD</t>
  </si>
  <si>
    <t>New PPW</t>
  </si>
  <si>
    <t>Premium For Endorsement</t>
  </si>
  <si>
    <t>New Deductions (Comissions)</t>
  </si>
  <si>
    <t>Endorsement End Date (Expiry)</t>
  </si>
  <si>
    <t>Policy New Limit</t>
  </si>
  <si>
    <t>Summary</t>
  </si>
  <si>
    <t>Issuance - Endorsement</t>
  </si>
  <si>
    <t>New Surcharges/Taxes</t>
  </si>
  <si>
    <t>Option</t>
  </si>
  <si>
    <t>Transaction</t>
  </si>
  <si>
    <t>Start Date</t>
  </si>
  <si>
    <t>Type</t>
  </si>
  <si>
    <t>ADD</t>
  </si>
  <si>
    <t>Limite</t>
  </si>
  <si>
    <t>Prima</t>
  </si>
  <si>
    <t>COM</t>
  </si>
  <si>
    <t>RWT</t>
  </si>
  <si>
    <t>Fecha de Pago</t>
  </si>
  <si>
    <t>Policy</t>
  </si>
  <si>
    <t>Coverage</t>
  </si>
  <si>
    <t xml:space="preserve">Signed Line % </t>
  </si>
  <si>
    <t>Signed Order %</t>
  </si>
  <si>
    <t xml:space="preserve">Share % </t>
  </si>
  <si>
    <t xml:space="preserve">Calculation % </t>
  </si>
  <si>
    <t>Decimal Places</t>
  </si>
  <si>
    <t>Rev Description</t>
  </si>
  <si>
    <t>Debit</t>
  </si>
  <si>
    <t>Credit</t>
  </si>
  <si>
    <t>Total</t>
  </si>
  <si>
    <t xml:space="preserve">PRM </t>
  </si>
  <si>
    <t xml:space="preserve">COM </t>
  </si>
  <si>
    <t xml:space="preserve"> </t>
  </si>
  <si>
    <t>Net</t>
  </si>
  <si>
    <t xml:space="preserve">  </t>
  </si>
  <si>
    <t>12/31/2019</t>
  </si>
  <si>
    <t>12/31/2020</t>
  </si>
  <si>
    <t>12/31/2021</t>
  </si>
  <si>
    <t>12/31/2022</t>
  </si>
  <si>
    <t>12/31/2023</t>
  </si>
  <si>
    <t>12/31/2024</t>
  </si>
  <si>
    <t>12/31/2025</t>
  </si>
  <si>
    <t>12/31/2026</t>
  </si>
  <si>
    <t>FEBRUARY</t>
  </si>
  <si>
    <t>11/30/2022</t>
  </si>
  <si>
    <t>Renewal</t>
  </si>
  <si>
    <t>Renewal Stage</t>
  </si>
  <si>
    <t>Renewal Type</t>
  </si>
  <si>
    <t>Policy Start Date</t>
  </si>
  <si>
    <t xml:space="preserve">Issuance </t>
  </si>
  <si>
    <t xml:space="preserve">Premium </t>
  </si>
  <si>
    <t>End Date (Expiry)</t>
  </si>
  <si>
    <t xml:space="preserve">Section T </t>
  </si>
  <si>
    <t>05/30/2023</t>
  </si>
  <si>
    <t>MARCH</t>
  </si>
  <si>
    <t>TERROR</t>
  </si>
  <si>
    <t>Genius Endorsement Number</t>
  </si>
  <si>
    <t>JANUARY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</si>
</sst>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_-* #,##0_-;\-* #,##0_-;_-* &quot;-&quot;??_-;_-@_-"/>
    <numFmt numFmtId="166" formatCode="&quot;$&quot;#,##0.00"/>
    <numFmt numFmtId="167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2"/>
      <color indexed="1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44546A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wrapText="1"/>
    </xf>
    <xf numFmtId="0" fontId="2" fillId="2" borderId="0" xfId="0" quotePrefix="1" applyFont="1" applyFill="1" applyAlignment="1">
      <alignment wrapText="1"/>
    </xf>
    <xf numFmtId="0" fontId="0" fillId="0" borderId="0" xfId="0" applyAlignment="1">
      <alignment horizontal="left" vertical="center" indent="5"/>
    </xf>
    <xf numFmtId="0" fontId="0" fillId="0" borderId="0" xfId="0" applyAlignment="1">
      <alignment horizontal="left" vertical="center"/>
    </xf>
    <xf numFmtId="10" fontId="2" fillId="0" borderId="0" xfId="1" applyNumberFormat="1" applyFont="1" applyFill="1" applyBorder="1" applyAlignment="1" applyProtection="1">
      <alignment horizontal="center" vertical="top"/>
      <protection locked="0"/>
    </xf>
    <xf numFmtId="14" fontId="4" fillId="2" borderId="0" xfId="0" applyNumberFormat="1" applyFont="1" applyFill="1" applyProtection="1">
      <protection locked="0"/>
    </xf>
    <xf numFmtId="0" fontId="4" fillId="2" borderId="0" xfId="0" applyFont="1" applyFill="1" applyProtection="1">
      <protection locked="0"/>
    </xf>
    <xf numFmtId="0" fontId="8" fillId="0" borderId="3" xfId="0" applyFont="1" applyBorder="1" applyAlignment="1">
      <alignment horizontal="center" vertical="center"/>
    </xf>
    <xf numFmtId="2" fontId="8" fillId="0" borderId="3" xfId="2" applyNumberFormat="1" applyFont="1" applyFill="1" applyBorder="1" applyAlignment="1">
      <alignment horizontal="center" vertical="center" wrapText="1"/>
    </xf>
    <xf numFmtId="2" fontId="8" fillId="0" borderId="4" xfId="2" applyNumberFormat="1" applyFont="1" applyFill="1" applyBorder="1" applyAlignment="1">
      <alignment horizontal="center" vertical="center" wrapText="1"/>
    </xf>
    <xf numFmtId="9" fontId="8" fillId="0" borderId="4" xfId="1" applyFont="1" applyFill="1" applyBorder="1" applyAlignment="1">
      <alignment horizontal="center" vertical="center" wrapText="1"/>
    </xf>
    <xf numFmtId="2" fontId="8" fillId="0" borderId="4" xfId="0" applyNumberFormat="1" applyFont="1" applyBorder="1" applyAlignment="1">
      <alignment horizontal="center" vertical="center" wrapText="1"/>
    </xf>
    <xf numFmtId="14" fontId="8" fillId="0" borderId="4" xfId="0" applyNumberFormat="1" applyFont="1" applyBorder="1" applyAlignment="1">
      <alignment horizontal="center" vertical="center" wrapText="1"/>
    </xf>
    <xf numFmtId="14" fontId="8" fillId="0" borderId="5" xfId="0" applyNumberFormat="1" applyFont="1" applyBorder="1" applyAlignment="1">
      <alignment horizontal="center" vertical="center" wrapText="1"/>
    </xf>
    <xf numFmtId="166" fontId="8" fillId="0" borderId="0" xfId="2" applyNumberFormat="1" applyFont="1" applyFill="1" applyBorder="1" applyAlignment="1" applyProtection="1">
      <alignment horizontal="center" vertical="top"/>
      <protection locked="0"/>
    </xf>
    <xf numFmtId="10" fontId="8" fillId="0" borderId="0" xfId="1" applyNumberFormat="1" applyFont="1" applyFill="1" applyBorder="1" applyAlignment="1" applyProtection="1">
      <alignment horizontal="center" vertical="top"/>
      <protection locked="0"/>
    </xf>
    <xf numFmtId="166" fontId="8" fillId="0" borderId="0" xfId="0" applyNumberFormat="1" applyFont="1" applyAlignment="1" applyProtection="1">
      <alignment horizontal="center" vertical="top"/>
      <protection locked="0"/>
    </xf>
    <xf numFmtId="166" fontId="8" fillId="0" borderId="0" xfId="0" applyNumberFormat="1" applyFont="1" applyAlignment="1" applyProtection="1">
      <alignment horizontal="center"/>
      <protection locked="0"/>
    </xf>
    <xf numFmtId="0" fontId="8" fillId="0" borderId="0" xfId="0" applyFont="1"/>
    <xf numFmtId="2" fontId="8" fillId="0" borderId="0" xfId="2" applyNumberFormat="1" applyFont="1" applyFill="1"/>
    <xf numFmtId="9" fontId="8" fillId="0" borderId="0" xfId="1" applyFont="1" applyFill="1"/>
    <xf numFmtId="2" fontId="8" fillId="0" borderId="0" xfId="0" applyNumberFormat="1" applyFont="1"/>
    <xf numFmtId="14" fontId="8" fillId="0" borderId="0" xfId="0" applyNumberFormat="1" applyFont="1"/>
    <xf numFmtId="0" fontId="0" fillId="0" borderId="0" xfId="0" applyAlignment="1">
      <alignment horizontal="center" vertical="center" wrapText="1"/>
    </xf>
    <xf numFmtId="0" fontId="8" fillId="0" borderId="0" xfId="0" applyFont="1" applyAlignment="1" applyProtection="1">
      <alignment horizontal="center"/>
      <protection locked="0"/>
    </xf>
    <xf numFmtId="165" fontId="8" fillId="0" borderId="0" xfId="2" applyNumberFormat="1" applyFont="1" applyFill="1" applyBorder="1" applyAlignment="1">
      <alignment horizontal="center" vertical="top"/>
    </xf>
    <xf numFmtId="164" fontId="8" fillId="0" borderId="0" xfId="2" applyNumberFormat="1" applyFont="1" applyFill="1" applyBorder="1" applyAlignment="1">
      <alignment horizontal="center" vertical="top"/>
    </xf>
    <xf numFmtId="0" fontId="5" fillId="3" borderId="6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14" fontId="0" fillId="0" borderId="6" xfId="0" applyNumberFormat="1" applyBorder="1" applyAlignment="1">
      <alignment horizontal="left" vertical="center" wrapText="1"/>
    </xf>
    <xf numFmtId="166" fontId="0" fillId="0" borderId="6" xfId="0" applyNumberFormat="1" applyBorder="1" applyAlignment="1">
      <alignment horizontal="left" vertical="center" wrapText="1"/>
    </xf>
    <xf numFmtId="0" fontId="6" fillId="4" borderId="6" xfId="0" applyFont="1" applyFill="1" applyBorder="1" applyAlignment="1">
      <alignment horizontal="left" vertical="center" wrapText="1"/>
    </xf>
    <xf numFmtId="0" fontId="5" fillId="5" borderId="6" xfId="0" applyFont="1" applyFill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9" fontId="6" fillId="0" borderId="6" xfId="0" applyNumberFormat="1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166" fontId="6" fillId="0" borderId="6" xfId="0" applyNumberFormat="1" applyFont="1" applyBorder="1" applyAlignment="1">
      <alignment horizontal="left" vertical="center"/>
    </xf>
    <xf numFmtId="166" fontId="0" fillId="0" borderId="6" xfId="0" applyNumberFormat="1" applyBorder="1" applyAlignment="1">
      <alignment horizontal="left" vertical="center"/>
    </xf>
    <xf numFmtId="2" fontId="6" fillId="0" borderId="6" xfId="0" applyNumberFormat="1" applyFont="1" applyBorder="1" applyAlignment="1">
      <alignment horizontal="left" vertical="center"/>
    </xf>
    <xf numFmtId="2" fontId="0" fillId="0" borderId="6" xfId="0" applyNumberFormat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6" fillId="0" borderId="12" xfId="0" applyFont="1" applyBorder="1" applyAlignment="1">
      <alignment horizontal="left" vertical="center" wrapText="1"/>
    </xf>
    <xf numFmtId="9" fontId="6" fillId="0" borderId="12" xfId="0" applyNumberFormat="1" applyFont="1" applyBorder="1" applyAlignment="1">
      <alignment horizontal="left" vertical="center" wrapText="1"/>
    </xf>
    <xf numFmtId="14" fontId="0" fillId="0" borderId="0" xfId="0" applyNumberFormat="1" applyAlignment="1">
      <alignment horizontal="center"/>
    </xf>
    <xf numFmtId="0" fontId="2" fillId="2" borderId="18" xfId="0" quotePrefix="1" applyFont="1" applyFill="1" applyBorder="1" applyAlignment="1">
      <alignment horizontal="center" vertical="center" wrapText="1"/>
    </xf>
    <xf numFmtId="0" fontId="2" fillId="2" borderId="19" xfId="0" quotePrefix="1" applyFont="1" applyFill="1" applyBorder="1" applyAlignment="1">
      <alignment horizontal="center" vertical="center" wrapText="1"/>
    </xf>
    <xf numFmtId="10" fontId="2" fillId="0" borderId="0" xfId="1" applyNumberFormat="1" applyFont="1" applyFill="1" applyBorder="1" applyAlignment="1" applyProtection="1">
      <alignment horizontal="center"/>
      <protection locked="0"/>
    </xf>
    <xf numFmtId="9" fontId="2" fillId="0" borderId="0" xfId="1" applyFont="1" applyFill="1" applyBorder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6" xfId="0" applyBorder="1" applyAlignment="1" applyProtection="1">
      <alignment horizontal="left" vertical="center" wrapText="1"/>
      <protection locked="0"/>
    </xf>
    <xf numFmtId="14" fontId="8" fillId="0" borderId="0" xfId="0" applyNumberFormat="1" applyFont="1" applyAlignment="1" applyProtection="1">
      <alignment horizontal="center" vertical="top"/>
      <protection locked="0"/>
    </xf>
    <xf numFmtId="14" fontId="8" fillId="0" borderId="0" xfId="0" applyNumberFormat="1" applyFont="1" applyProtection="1">
      <protection locked="0"/>
    </xf>
    <xf numFmtId="4" fontId="0" fillId="0" borderId="0" xfId="0" applyNumberFormat="1" applyAlignment="1">
      <alignment horizontal="center"/>
    </xf>
    <xf numFmtId="0" fontId="0" fillId="0" borderId="6" xfId="0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3" borderId="16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0" fillId="0" borderId="6" xfId="0" applyNumberFormat="1" applyBorder="1" applyAlignment="1">
      <alignment horizontal="center" vertical="center" wrapText="1"/>
    </xf>
    <xf numFmtId="9" fontId="0" fillId="0" borderId="6" xfId="0" applyNumberFormat="1" applyBorder="1" applyAlignment="1">
      <alignment horizontal="center" vertical="center" wrapText="1"/>
    </xf>
    <xf numFmtId="166" fontId="0" fillId="0" borderId="6" xfId="0" applyNumberForma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6" fontId="0" fillId="0" borderId="14" xfId="0" applyNumberForma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14" fontId="0" fillId="0" borderId="1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9" fontId="0" fillId="0" borderId="12" xfId="1" applyFont="1" applyBorder="1" applyAlignment="1">
      <alignment horizontal="center" vertical="center" wrapText="1"/>
    </xf>
    <xf numFmtId="167" fontId="0" fillId="0" borderId="12" xfId="1" applyNumberFormat="1" applyFont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14" fontId="0" fillId="0" borderId="15" xfId="0" applyNumberFormat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9" fontId="6" fillId="0" borderId="6" xfId="0" applyNumberFormat="1" applyFont="1" applyBorder="1" applyAlignment="1">
      <alignment horizontal="center" vertical="center" wrapText="1"/>
    </xf>
    <xf numFmtId="0" fontId="5" fillId="5" borderId="6" xfId="0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166" fontId="6" fillId="0" borderId="6" xfId="0" applyNumberFormat="1" applyFont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 wrapText="1"/>
    </xf>
    <xf numFmtId="2" fontId="0" fillId="0" borderId="14" xfId="0" applyNumberFormat="1" applyBorder="1" applyAlignment="1">
      <alignment horizontal="center" vertical="center" wrapText="1"/>
    </xf>
    <xf numFmtId="2" fontId="6" fillId="0" borderId="14" xfId="0" applyNumberFormat="1" applyFont="1" applyBorder="1" applyAlignment="1">
      <alignment horizontal="center" vertical="center" wrapText="1"/>
    </xf>
    <xf numFmtId="166" fontId="6" fillId="0" borderId="14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10" fontId="0" fillId="0" borderId="6" xfId="1" applyNumberFormat="1" applyFont="1" applyBorder="1" applyAlignment="1">
      <alignment horizontal="left" vertical="center" wrapText="1"/>
    </xf>
    <xf numFmtId="0" fontId="2" fillId="2" borderId="20" xfId="0" quotePrefix="1" applyFont="1" applyFill="1" applyBorder="1" applyAlignment="1">
      <alignment horizontal="center" vertical="center" wrapText="1"/>
    </xf>
    <xf numFmtId="14" fontId="0" fillId="0" borderId="0" xfId="0" pivotButton="1" applyNumberFormat="1"/>
    <xf numFmtId="0" fontId="2" fillId="2" borderId="21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166" fontId="2" fillId="0" borderId="0" xfId="0" applyNumberFormat="1" applyFont="1" applyAlignment="1" applyProtection="1">
      <alignment horizontal="center" vertical="top"/>
      <protection locked="0"/>
    </xf>
    <xf numFmtId="166" fontId="2" fillId="0" borderId="0" xfId="0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4" fontId="2" fillId="0" borderId="0" xfId="0" applyNumberFormat="1" applyFont="1" applyAlignment="1" applyProtection="1">
      <alignment horizontal="center"/>
      <protection locked="0"/>
    </xf>
    <xf numFmtId="10" fontId="2" fillId="0" borderId="0" xfId="0" applyNumberFormat="1" applyFont="1" applyAlignment="1" applyProtection="1">
      <alignment horizontal="center"/>
      <protection locked="0"/>
    </xf>
    <xf numFmtId="0" fontId="6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6" fillId="0" borderId="6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3">
    <cellStyle name="Currency" xfId="2" builtinId="4"/>
    <cellStyle name="Normal" xfId="0" builtinId="0"/>
    <cellStyle name="Percent" xfId="1" builtinId="5"/>
  </cellStyles>
  <dxfs count="99"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9" formatCode="m/d/yyyy"/>
    </dxf>
  </dxfs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149039</xdr:colOff>
      <xdr:row>47</xdr:row>
      <xdr:rowOff>70737</xdr:rowOff>
    </xdr:from>
    <xdr:to>
      <xdr:col>1</xdr:col>
      <xdr:colOff>463364</xdr:colOff>
      <xdr:row>49</xdr:row>
      <xdr:rowOff>51687</xdr:rowOff>
    </xdr:to>
    <xdr:sp macro="[0]!envi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49039" y="9440956"/>
          <a:ext cx="1314450" cy="361950"/>
        </a:xfrm>
        <a:prstGeom prst="rect">
          <a:avLst/>
        </a:prstGeom>
        <a:solidFill>
          <a:srgbClr val="66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SEND MAIL</a:t>
          </a:r>
        </a:p>
        <a:p>
          <a:pPr algn="ctr"/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159544</xdr:colOff>
      <xdr:row>42</xdr:row>
      <xdr:rowOff>11907</xdr:rowOff>
    </xdr:from>
    <xdr:to>
      <xdr:col>1</xdr:col>
      <xdr:colOff>473869</xdr:colOff>
      <xdr:row>44</xdr:row>
      <xdr:rowOff>14288</xdr:rowOff>
    </xdr:to>
    <xdr:sp macro="[0]!OPEN_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9544" y="8429626"/>
          <a:ext cx="1314450" cy="383381"/>
        </a:xfrm>
        <a:prstGeom prst="rect">
          <a:avLst/>
        </a:prstGeom>
        <a:solidFill>
          <a:srgbClr val="00206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GET</a:t>
          </a:r>
          <a:r>
            <a:rPr lang="en-US" sz="1100" b="1" baseline="0"/>
            <a:t>  FILE</a:t>
          </a:r>
        </a:p>
        <a:p>
          <a:pPr algn="ctr"/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47625</xdr:rowOff>
        </xdr:from>
        <xdr:to>
          <xdr:col>3</xdr:col>
          <xdr:colOff>581025</xdr:colOff>
          <xdr:row>43</xdr:row>
          <xdr:rowOff>95250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149039</xdr:colOff>
      <xdr:row>49</xdr:row>
      <xdr:rowOff>175092</xdr:rowOff>
    </xdr:from>
    <xdr:to>
      <xdr:col>1</xdr:col>
      <xdr:colOff>463364</xdr:colOff>
      <xdr:row>49</xdr:row>
      <xdr:rowOff>561695</xdr:rowOff>
    </xdr:to>
    <xdr:sp macro="[0]!HISTORICA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149039" y="9900397"/>
          <a:ext cx="1311649" cy="386603"/>
        </a:xfrm>
        <a:prstGeom prst="rect">
          <a:avLst/>
        </a:prstGeom>
        <a:solidFill>
          <a:srgbClr val="00206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/>
            <a:t>HISTORICAL</a:t>
          </a:r>
        </a:p>
        <a:p>
          <a:pPr algn="ctr"/>
          <a:endParaRPr lang="en-US" sz="1100" b="1"/>
        </a:p>
      </xdr:txBody>
    </xdr:sp>
    <xdr:clientData/>
  </xdr:twoCellAnchor>
  <xdr:twoCellAnchor editAs="oneCell">
    <xdr:from>
      <xdr:col>0</xdr:col>
      <xdr:colOff>57150</xdr:colOff>
      <xdr:row>0</xdr:row>
      <xdr:rowOff>15219</xdr:rowOff>
    </xdr:from>
    <xdr:to>
      <xdr:col>1</xdr:col>
      <xdr:colOff>225296</xdr:colOff>
      <xdr:row>3</xdr:row>
      <xdr:rowOff>87085</xdr:rowOff>
    </xdr:to>
    <xdr:pic>
      <xdr:nvPicPr>
        <xdr:cNvPr id="7" name="Picture 6" descr="Liberty Mutual logo and symbol, meaning, history, 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16" t="7619" r="1305" b="6666"/>
        <a:stretch/>
      </xdr:blipFill>
      <xdr:spPr bwMode="auto">
        <a:xfrm>
          <a:off x="57150" y="15219"/>
          <a:ext cx="1168271" cy="643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149039</xdr:colOff>
      <xdr:row>50</xdr:row>
      <xdr:rowOff>119063</xdr:rowOff>
    </xdr:from>
    <xdr:to>
      <xdr:col>1</xdr:col>
      <xdr:colOff>463364</xdr:colOff>
      <xdr:row>51</xdr:row>
      <xdr:rowOff>2801</xdr:rowOff>
    </xdr:to>
    <xdr:sp macro="[0]!FORMUARIO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49039" y="4319868"/>
          <a:ext cx="1311649" cy="361950"/>
        </a:xfrm>
        <a:prstGeom prst="rect">
          <a:avLst/>
        </a:prstGeom>
        <a:solidFill>
          <a:srgbClr val="FFC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SEND REPORT</a:t>
          </a:r>
        </a:p>
        <a:p>
          <a:pPr algn="ctr"/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149039</xdr:colOff>
      <xdr:row>44</xdr:row>
      <xdr:rowOff>137972</xdr:rowOff>
    </xdr:from>
    <xdr:to>
      <xdr:col>1</xdr:col>
      <xdr:colOff>463364</xdr:colOff>
      <xdr:row>46</xdr:row>
      <xdr:rowOff>118922</xdr:rowOff>
    </xdr:to>
    <xdr:sp macro="[0]!LIMPI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9039" y="8936691"/>
          <a:ext cx="1314450" cy="361950"/>
        </a:xfrm>
        <a:prstGeom prst="rect">
          <a:avLst/>
        </a:prstGeom>
        <a:solidFill>
          <a:srgbClr val="FFC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CLEAR</a:t>
          </a:r>
        </a:p>
        <a:p>
          <a:pPr algn="ctr"/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76201</xdr:colOff>
      <xdr:row>5</xdr:row>
      <xdr:rowOff>85725</xdr:rowOff>
    </xdr:from>
    <xdr:to>
      <xdr:col>9</xdr:col>
      <xdr:colOff>571500</xdr:colOff>
      <xdr:row>16</xdr:row>
      <xdr:rowOff>139758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6" y="1885950"/>
          <a:ext cx="3648074" cy="2549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o, Wikin" refreshedDate="45112.510266203702" createdVersion="8" refreshedVersion="8" minRefreshableVersion="3" recordCount="82" xr:uid="{0711A2B7-B2C8-4CC1-B23F-2E9A29BC5C32}">
  <cacheSource type="worksheet">
    <worksheetSource name="Table1"/>
  </cacheSource>
  <cacheFields count="24">
    <cacheField name="SECTION" numFmtId="0">
      <sharedItems containsBlank="1" count="6">
        <m/>
        <s v="Section T"/>
        <s v="Section C"/>
        <s v="Section D"/>
        <s v="Section B"/>
        <s v="Section T "/>
      </sharedItems>
    </cacheField>
    <cacheField name="MONTH" numFmtId="0">
      <sharedItems containsBlank="1" count="5">
        <m/>
        <s v="FEBRUARY"/>
        <s v="MARCH"/>
        <s v="JANUARY" u="1"/>
        <s v="APRIL" u="1"/>
      </sharedItems>
    </cacheField>
    <cacheField name="YEAR" numFmtId="0">
      <sharedItems containsString="0" containsBlank="1" containsNumber="1" containsInteger="1" minValue="2019" maxValue="2023" count="6">
        <m/>
        <n v="2021"/>
        <n v="2023"/>
        <n v="2022"/>
        <n v="2020"/>
        <n v="2019"/>
      </sharedItems>
    </cacheField>
    <cacheField name="PRODUCT" numFmtId="0">
      <sharedItems containsBlank="1" count="7">
        <m/>
        <s v="TERROR"/>
        <s v="POWER GENERATION"/>
        <s v="PROPERTY"/>
        <s v="CONSTRUCTION"/>
        <s v="ENERGY"/>
        <s v="MARINE" u="1"/>
      </sharedItems>
    </cacheField>
    <cacheField name="Max. LMIC Current Year Limit USD" numFmtId="165">
      <sharedItems containsString="0" containsBlank="1" containsNumber="1" minValue="200000" maxValue="4999814.9468647027" count="28">
        <m/>
        <n v="1504862.2097998634"/>
        <n v="2156862.745098039"/>
        <n v="4839675.2890792293"/>
        <n v="2439945.317857143"/>
        <n v="3445664.5210147672"/>
        <n v="1856565.3608336044"/>
        <n v="4327868.8524590163"/>
        <n v="4806959.7714285711"/>
        <n v="4875000"/>
        <n v="1976562.5"/>
        <n v="4980475.729979584"/>
        <n v="3780000"/>
        <n v="1393107.8696976567"/>
        <n v="2267579.4094285714"/>
        <n v="4979729.26771654"/>
        <n v="3758224.5409456994"/>
        <n v="4545384.7453202493"/>
        <n v="3000000"/>
        <n v="200000"/>
        <n v="4800000"/>
        <n v="4999814.9468647027"/>
        <n v="589285.95000000007"/>
        <n v="1642857.1428571427"/>
        <n v="1841887.6355294117"/>
        <n v="3295419.3512355364" u="1"/>
        <n v="3589788.1620533327" u="1"/>
        <n v="629061.37751860451" u="1"/>
      </sharedItems>
    </cacheField>
    <cacheField name="LMIC Gross Written Premium USD" numFmtId="164">
      <sharedItems containsString="0" containsBlank="1" containsNumber="1" minValue="-94628.034330813956" maxValue="677231.75183740025" count="28">
        <m/>
        <n v="187.52542464703458"/>
        <n v="28937.292644474495"/>
        <n v="677231.75183740025"/>
        <n v="-492.22029017857136"/>
        <n v="-44303.761992370964"/>
        <n v="65.11987392458451"/>
        <n v="-2.7219520152334553"/>
        <n v="-308.9760280612245"/>
        <n v="3604.4316510045046"/>
        <n v="189273.83908630384"/>
        <n v="318203.94402186404"/>
        <n v="-2195.4270000000001"/>
        <n v="-8357.1205245976325"/>
        <n v="93835.201461877368"/>
        <n v="-94628.034330813956"/>
        <n v="29005.643404415463"/>
        <n v="12284.429007646324"/>
        <n v="-1172.3629999999998"/>
        <n v="-34.298000000000002"/>
        <n v="-1.8189894035458565E-12"/>
        <n v="285.6115623030833"/>
        <n v="-376.49699999999996"/>
        <n v="-457.56970000000001"/>
        <n v="0"/>
        <n v="-27.935294117647057"/>
        <n v="2891.2314161347181" u="1"/>
        <n v="140163.83629780597" u="1"/>
      </sharedItems>
    </cacheField>
    <cacheField name="Original Slip Discounts Amount USD" numFmtId="164">
      <sharedItems containsString="0" containsBlank="1" containsNumber="1" minValue="-16754.373244539227" maxValue="117010.09832953668" count="28">
        <m/>
        <n v="37.50508492940692"/>
        <n v="2686.1515787598"/>
        <n v="117010.09832953668"/>
        <n v="-123.05507254464284"/>
        <n v="-7488.8837898151241"/>
        <n v="6.5119873924584519"/>
        <n v="103.07693670591169"/>
        <n v="-44.811286862244899"/>
        <n v="822.3284135342343"/>
        <n v="37719.092556923271"/>
        <n v="55368.986296135328"/>
        <n v="-33.399450000000002"/>
        <n v="-2164.205448210505"/>
        <n v="20196.649707163993"/>
        <n v="-16754.373244539227"/>
        <n v="6957.6527820597112"/>
        <n v="2270.0339963606366"/>
        <n v="-410.32704999999993"/>
        <n v="-5.1447000000000003"/>
        <n v="5249.2140320000008"/>
        <n v="148.63377232037107"/>
        <n v="-86.594309999999993"/>
        <n v="-81.298538000000008"/>
        <n v="-1.4976949235294117"/>
        <n v="34965.723853751631" u="1"/>
        <n v="1159.7027622085079" u="1"/>
        <n v="648.91128235626456" u="1"/>
      </sharedItems>
    </cacheField>
    <cacheField name=" Marlin Fee Amount USD" numFmtId="164">
      <sharedItems containsString="0" containsBlank="1" containsNumber="1" minValue="-8516.523089773269" maxValue="60950.857665366013" count="27">
        <m/>
        <n v="18.75254246470346"/>
        <n v="2604.3563380027049"/>
        <n v="60950.857665366013"/>
        <n v="-44.299826116071422"/>
        <n v="-3987.3385793133866"/>
        <n v="5.8607886532126061"/>
        <n v="-0.24497568137101666"/>
        <n v="-30.89760280612245"/>
        <n v="324.39884859040546"/>
        <n v="17034.645517767349"/>
        <n v="28638.354961967769"/>
        <n v="-197.58842999999999"/>
        <n v="-752.14084721378686"/>
        <n v="8445.1681315689639"/>
        <n v="-8516.523089773269"/>
        <n v="2610.5079063973917"/>
        <n v="1105.5986106881692"/>
        <n v="-105.51266999999999"/>
        <n v="-3.4298000000000002"/>
        <n v="0"/>
        <n v="28.561156230308335"/>
        <n v="-47.062124999999995"/>
        <n v="-57.196212500000001"/>
        <n v="-3.4919117647058822"/>
        <n v="12614.745266802538" u="1"/>
        <n v="289.12314161347177" u="1"/>
      </sharedItems>
    </cacheField>
    <cacheField name="Tax Amount USD" numFmtId="164">
      <sharedItems containsString="0" containsBlank="1" containsNumber="1" minValue="-83.571205421213136" maxValue="11618.768698565038" count="28">
        <m/>
        <n v="6.5633898626462104"/>
        <n v="1447.4799999999996"/>
        <n v="11618.768698565038"/>
        <n v="-17.23"/>
        <n v="59.415940852064139"/>
        <n v="1.5206958091918887"/>
        <n v="14.33"/>
        <n v="-15.88"/>
        <n v="40.14712225292574"/>
        <n v="5421.7"/>
        <n v="5154.627381489965"/>
        <n v="-1.3"/>
        <n v="-83.571205421213136"/>
        <n v="3330.073059350982"/>
        <n v="2015.0787369079278"/>
        <n v="290.68102466494685"/>
        <n v="287.7141078167823"/>
        <n v="-16"/>
        <n v="-0.61221930000000002"/>
        <n v="918.61"/>
        <n v="11.00158154742865"/>
        <n v="-7.5299399999999999"/>
        <n v="-13.010409500000002"/>
        <n v="0"/>
        <n v="29.30340363429098" u="1"/>
        <n v="-8.0711674156040267" u="1"/>
        <n v="-4.4077282287098569" u="1"/>
      </sharedItems>
    </cacheField>
    <cacheField name="Net Premium Amount USD" numFmtId="164">
      <sharedItems containsString="0" containsBlank="1" containsNumber="1" minValue="-71372.21673340947" maxValue="487652.02714393259" count="28">
        <m/>
        <n v="124.70440739027796"/>
        <n v="22199.304727711995"/>
        <n v="487652.02714393259"/>
        <n v="-307.6353915178571"/>
        <n v="-32886.955564094511"/>
        <n v="51.226402069721559"/>
        <n v="-119.88391303977414"/>
        <n v="-217.38717436160712"/>
        <n v="2417.5616737342652"/>
        <n v="129098.40101161326"/>
        <n v="229041.97538227099"/>
        <n v="-1963.14"/>
        <n v="-5357.2030239273645"/>
        <n v="61863.310563793442"/>
        <n v="-71372.21673340947"/>
        <n v="19146.807669414207"/>
        <n v="8621.0822927807367"/>
        <n v="-640.52052504999995"/>
        <n v="-25.111280700000002"/>
        <n v="-6167.8240320000004"/>
        <n v="97.415052204976149"/>
        <n v="-235.31062500000002"/>
        <n v="-306.06453999999997"/>
        <n v="-22.945687429411763"/>
        <n v="92591.438344667404" u="1"/>
        <n v="1923.893588530691" u="1"/>
        <n v="-1155.2950339797826" u="1"/>
      </sharedItems>
    </cacheField>
    <cacheField name=" Gennius Reference" numFmtId="166">
      <sharedItems containsBlank="1" count="22">
        <m/>
        <s v="MRLN21AONBTER-4"/>
        <s v="MRLN19AONBPOW-5"/>
        <s v="MRLN19AONBPRO-5"/>
        <s v="MRLN19AONBPOW-4"/>
        <s v="MRLN19AONBPRO-4"/>
        <s v="MRLN19AONBPOW-3"/>
        <s v="MRLN19AONBPRO-3"/>
        <s v="MRLN19AONBPRO-2"/>
        <s v="MRLN19AONBCON-5"/>
        <s v="MRLN19AONBENE-5"/>
        <s v="MRLN19AONBCON-4"/>
        <s v="MRLN19AONBENE-4"/>
        <s v="MRLN19AONBCON-3"/>
        <s v="MRLN19AONBENE-3"/>
        <s v="MRLN19AONBCON-2"/>
        <s v="MRLN19AONBPOW-2"/>
        <s v="MRLN19AONBPRO-1"/>
        <s v="MRLN19AONBENE-1"/>
        <s v="MRLN19AONBCON-1"/>
        <s v="MRLN19AONBMAR-1" u="1"/>
        <s v="MRLN19AONBPOW-1" u="1"/>
      </sharedItems>
    </cacheField>
    <cacheField name="Total Comission" numFmtId="166">
      <sharedItems containsString="0" containsBlank="1" containsNumber="1" minValue="-25270.896334312496" maxValue="177960.9559949027" count="28">
        <m/>
        <n v="56.257627394110379"/>
        <n v="5290.5079167625045"/>
        <n v="177960.9559949027"/>
        <n v="-167.35489866071427"/>
        <n v="-11476.222369128511"/>
        <n v="12.372776045671058"/>
        <n v="102.83196102454067"/>
        <n v="-75.708889668367348"/>
        <n v="1146.7272621246398"/>
        <n v="54753.73807469062"/>
        <n v="84007.341258103101"/>
        <n v="-230.98787999999999"/>
        <n v="-2916.3462954242918"/>
        <n v="28641.817838732957"/>
        <n v="-25270.896334312496"/>
        <n v="9568.1606884571029"/>
        <n v="3375.6326070488058"/>
        <n v="-515.83971999999994"/>
        <n v="-8.5745000000000005"/>
        <n v="5249.2140320000008"/>
        <n v="177.19492855067941"/>
        <n v="-133.65643499999999"/>
        <n v="-138.49475050000001"/>
        <n v="-4.9896066882352939"/>
        <n v="938.03442396973628" u="1"/>
        <n v="1159.7027622085079" u="1"/>
        <n v="47580.469120554168" u="1"/>
      </sharedItems>
    </cacheField>
    <cacheField name="Comision %" numFmtId="10">
      <sharedItems containsString="0" containsBlank="1" containsNumber="1" minValue="-2885785932434470.5" maxValue="0.62040530544994155" count="28">
        <m/>
        <n v="0.30000000000000004"/>
        <n v="0.18282663764582394"/>
        <n v="0.26277704125962215"/>
        <n v="0.34"/>
        <n v="0.25903494089519302"/>
        <n v="0.19000000000000003"/>
        <n v="-37.778755999018237"/>
        <n v="0.2450315972518276"/>
        <n v="0.31814371117428819"/>
        <n v="0.28928318006866427"/>
        <n v="0.26400471407208859"/>
        <n v="0.10521319087357492"/>
        <n v="0.34896544651241634"/>
        <n v="0.30523532099378858"/>
        <n v="0.26705507002255752"/>
        <n v="0.32987238224822701"/>
        <n v="0.2747895408852683"/>
        <n v="0.44"/>
        <n v="0.25"/>
        <n v="-2885785932434470.5"/>
        <n v="0.62040530544994155"/>
        <n v="0.35499999999999998"/>
        <n v="0.30267465371942243"/>
        <n v="0"/>
        <n v="0.17861299999999999"/>
        <n v="0.33946323372214204" u="1"/>
        <n v="0.32444114253012396" u="1"/>
      </sharedItems>
    </cacheField>
    <cacheField name="Tx %" numFmtId="10">
      <sharedItems containsString="0" containsBlank="1" containsNumber="1" minValue="-505011188195655.69" maxValue="5.1395572982294059E-2" count="27">
        <m/>
        <n v="3.4999999999999996E-2"/>
        <n v="5.0021265561496553E-2"/>
        <n v="1.7156266916077263E-2"/>
        <n v="3.5004652071025294E-2"/>
        <n v="-1.3411037388268623E-3"/>
        <n v="2.3352253583184303E-2"/>
        <n v="-5.2646041957396337"/>
        <n v="5.1395572982294059E-2"/>
        <n v="1.1138267039059348E-2"/>
        <n v="2.8644740478518265E-2"/>
        <n v="1.619913102376816E-2"/>
        <n v="5.9213993450932321E-4"/>
        <n v="1.0000000020968564E-2"/>
        <n v="3.5488526773226975E-2"/>
        <n v="-2.1294733121723027E-2"/>
        <n v="1.0021533417207257E-2"/>
        <n v="2.3421040378653127E-2"/>
        <n v="1.3647650087899399E-2"/>
        <n v="1.7850000000000001E-2"/>
        <n v="-505011188195655.69"/>
        <n v="3.8519384364958123E-2"/>
        <n v="0.02"/>
        <n v="2.8433721682183066E-2"/>
        <n v="0"/>
        <n v="-5.7583807840812983E-5" u="1"/>
        <n v="1.0135267440289039E-2" u="1"/>
      </sharedItems>
    </cacheField>
    <cacheField name="LSM PRM DEBIT" numFmtId="166">
      <sharedItems containsString="0" containsBlank="1" containsNumber="1" minValue="-94628.034330813956" maxValue="0" count="15">
        <m/>
        <n v="0"/>
        <n v="-492.22029017857136"/>
        <n v="-44303.761992370964"/>
        <n v="-2.7219520152334553"/>
        <n v="-308.9760280612245"/>
        <n v="-2195.4270000000001"/>
        <n v="-8357.1205245976325"/>
        <n v="-94628.034330813956"/>
        <n v="-1172.3629999999998"/>
        <n v="-34.298000000000002"/>
        <n v="-1.8189894035458565E-12"/>
        <n v="-376.49699999999996"/>
        <n v="-457.56970000000001"/>
        <n v="-27.935294117647057"/>
      </sharedItems>
    </cacheField>
    <cacheField name="COMISION DEBIT" numFmtId="166">
      <sharedItems containsString="0" containsBlank="1" containsNumber="1" minValue="0" maxValue="177960.9559949027" count="18">
        <m/>
        <n v="56.257627394110379"/>
        <n v="5290.5079167625045"/>
        <n v="177960.9559949027"/>
        <n v="0"/>
        <n v="12.372776045671058"/>
        <n v="102.83196102454067"/>
        <n v="1146.7272621246398"/>
        <n v="54753.73807469062"/>
        <n v="84007.341258103101"/>
        <n v="28641.817838732957"/>
        <n v="9568.1606884571029"/>
        <n v="3375.6326070488058"/>
        <n v="5249.2140320000008"/>
        <n v="177.19492855067941"/>
        <n v="938.03442396973628" u="1"/>
        <n v="1159.7027622085079" u="1"/>
        <n v="47580.469120554168" u="1"/>
      </sharedItems>
    </cacheField>
    <cacheField name="IMPUESTO DEBIT" numFmtId="166">
      <sharedItems containsString="0" containsBlank="1" containsNumber="1" minValue="0" maxValue="11618.768698565038" count="18">
        <m/>
        <n v="6.5633898626462104"/>
        <n v="1447.4799999999996"/>
        <n v="11618.768698565038"/>
        <n v="0"/>
        <n v="59.415940852064139"/>
        <n v="1.5206958091918887"/>
        <n v="14.33"/>
        <n v="40.14712225292574"/>
        <n v="5421.7"/>
        <n v="5154.627381489965"/>
        <n v="3330.073059350982"/>
        <n v="2015.0787369079278"/>
        <n v="290.68102466494685"/>
        <n v="287.7141078167823"/>
        <n v="918.61"/>
        <n v="11.00158154742865"/>
        <n v="29.30340363429098" u="1"/>
      </sharedItems>
    </cacheField>
    <cacheField name="LSM PRM CREDIT" numFmtId="166">
      <sharedItems containsString="0" containsBlank="1" containsNumber="1" minValue="0" maxValue="677231.75183740025" count="15">
        <m/>
        <n v="187.52542464703458"/>
        <n v="28937.292644474495"/>
        <n v="677231.75183740025"/>
        <n v="0"/>
        <n v="65.11987392458451"/>
        <n v="3604.4316510045046"/>
        <n v="189273.83908630384"/>
        <n v="318203.94402186404"/>
        <n v="93835.201461877368"/>
        <n v="29005.643404415463"/>
        <n v="12284.429007646324"/>
        <n v="285.6115623030833"/>
        <n v="2891.2314161347181" u="1"/>
        <n v="140163.83629780597" u="1"/>
      </sharedItems>
    </cacheField>
    <cacheField name="COMISION CREDIT" numFmtId="166">
      <sharedItems containsString="0" containsBlank="1" containsNumber="1" minValue="-25270.896334312496" maxValue="0" count="13">
        <m/>
        <n v="0"/>
        <n v="-167.35489866071427"/>
        <n v="-11476.222369128511"/>
        <n v="-75.708889668367348"/>
        <n v="-230.98787999999999"/>
        <n v="-2916.3462954242918"/>
        <n v="-25270.896334312496"/>
        <n v="-515.83971999999994"/>
        <n v="-8.5745000000000005"/>
        <n v="-133.65643499999999"/>
        <n v="-138.49475050000001"/>
        <n v="-4.9896066882352939"/>
      </sharedItems>
    </cacheField>
    <cacheField name="IMPUESTO CREDIT" numFmtId="166">
      <sharedItems containsString="0" containsBlank="1" containsNumber="1" minValue="-83.571205421213136" maxValue="0" count="12">
        <m/>
        <n v="0"/>
        <n v="-17.23"/>
        <n v="-15.88"/>
        <n v="-1.3"/>
        <n v="-83.571205421213136"/>
        <n v="-16"/>
        <n v="-0.61221930000000002"/>
        <n v="-7.5299399999999999"/>
        <n v="-13.010409500000002"/>
        <n v="-8.0711674156040267" u="1"/>
        <n v="-4.4077282287098569" u="1"/>
      </sharedItems>
    </cacheField>
    <cacheField name="Net Premium Amount USD5" numFmtId="166">
      <sharedItems containsString="0" containsBlank="1" containsNumber="1" minValue="-71372.216733409383" maxValue="487652.02714393253" count="29">
        <m/>
        <n v="124.70440739027799"/>
        <n v="22199.304727711991"/>
        <n v="487652.02714393253"/>
        <n v="-307.6353915178571"/>
        <n v="-32886.955564094518"/>
        <n v="51.226402069721566"/>
        <n v="-119.88391303977413"/>
        <n v="-217.38713839285714"/>
        <n v="2417.5572666269391"/>
        <n v="129098.40101161323"/>
        <n v="229041.97538227099"/>
        <n v="-1963.13912"/>
        <n v="-5357.2030237521276"/>
        <n v="61863.310563793428"/>
        <n v="-71372.216733409383"/>
        <n v="19146.801691293411"/>
        <n v="8621.0822927807349"/>
        <n v="-640.52327999999989"/>
        <n v="-25.111280700000002"/>
        <n v="-6167.8240320000023"/>
        <n v="97.41505220497524"/>
        <n v="-235.31062499999996"/>
        <n v="-306.06453999999997"/>
        <n v="-6167.8240320000004"/>
        <n v="-22.945687429411763"/>
        <n v="92591.438344667404" u="1"/>
        <n v="1923.893588530691" u="1"/>
        <n v="-1155.2950339797981" u="1"/>
      </sharedItems>
    </cacheField>
    <cacheField name="Endorsement Start Date" numFmtId="14">
      <sharedItems containsDate="1" containsBlank="1" containsMixedTypes="1" minDate="2019-04-18T00:00:00" maxDate="2023-09-06T00:00:00" count="21">
        <m/>
        <s v="05/30/2023"/>
        <s v="12/31/2022"/>
        <s v="12/31/2021"/>
        <s v="12/31/2020"/>
        <s v="12/31/2019"/>
        <s v="11/30/2022"/>
        <d v="2023-09-05T00:00:00"/>
        <b v="0" u="1"/>
        <d v="2023-04-26T00:00:00" u="1"/>
        <d v="2023-04-19T00:00:00" u="1"/>
        <d v="2023-04-24T00:00:00" u="1"/>
        <d v="2023-04-20T00:00:00" u="1"/>
        <d v="2019-04-18T00:00:00" u="1"/>
        <d v="2023-04-25T00:00:00" u="1"/>
        <d v="2022-04-18T00:00:00" u="1"/>
        <d v="2023-04-18T00:00:00" u="1"/>
        <d v="2023-03-25T00:00:00" u="1"/>
        <d v="2023-04-23T00:00:00" u="1"/>
        <d v="2023-05-02T00:00:00" u="1"/>
        <d v="2023-04-28T00:00:00" u="1"/>
      </sharedItems>
    </cacheField>
    <cacheField name="PPW" numFmtId="14">
      <sharedItems containsNonDate="0" containsDate="1" containsString="0" containsBlank="1" minDate="2023-07-17T00:00:00" maxDate="2023-08-30T00:00:00" count="11">
        <m/>
        <d v="2023-08-29T00:00:00"/>
        <d v="2023-08-07T00:00:00"/>
        <d v="2023-07-27T00:00:00" u="1"/>
        <d v="2023-07-20T00:00:00" u="1"/>
        <d v="2023-07-25T00:00:00" u="1"/>
        <d v="2023-07-18T00:00:00" u="1"/>
        <d v="2023-07-19T00:00:00" u="1"/>
        <d v="2023-07-31T00:00:00" u="1"/>
        <d v="2023-07-24T00:00:00" u="1"/>
        <d v="2023-07-17T00:00:00" u="1"/>
      </sharedItems>
    </cacheField>
    <cacheField name="Sent Date" numFmtId="14">
      <sharedItems containsNonDate="0" containsDate="1" containsString="0" containsBlank="1" minDate="2023-04-15T00:00:00" maxDate="2023-06-01T00:00:00" count="13">
        <m/>
        <d v="2023-05-31T00:00:00"/>
        <d v="2023-05-09T00:00:00"/>
        <d v="2023-04-26T00:00:00" u="1"/>
        <d v="2023-04-19T00:00:00" u="1"/>
        <d v="2023-04-15T00:00:00" u="1"/>
        <d v="2023-04-20T00:00:00" u="1"/>
        <d v="2023-04-25T00:00:00" u="1"/>
        <d v="2023-04-18T00:00:00" u="1"/>
        <d v="2023-05-02T00:00:00" u="1"/>
        <d v="2023-04-16T00:00:00" u="1"/>
        <d v="2023-04-28T00:00:00" u="1"/>
        <d v="2023-04-21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o, Wikin" refreshedDate="45112.510266435187" createdVersion="8" refreshedVersion="8" minRefreshableVersion="3" recordCount="46" xr:uid="{CF1460C5-B9C8-468C-89D1-D3929538252F}">
  <cacheSource type="worksheet">
    <worksheetSource ref="A1:F47" sheet="DATA"/>
  </cacheSource>
  <cacheFields count="8">
    <cacheField name="Section" numFmtId="0">
      <sharedItems count="4">
        <s v="Section D"/>
        <s v="Section B"/>
        <s v="Section C"/>
        <s v="Section T"/>
      </sharedItems>
    </cacheField>
    <cacheField name="Poliza" numFmtId="0">
      <sharedItems count="46">
        <s v="MRLN19AONBCON-1"/>
        <s v="MRLN19AONBENE-1"/>
        <s v="MRLN19AONBMAR-1"/>
        <s v="MRLN19AONBPOW-1"/>
        <s v="MRLN19AONBPRO-1"/>
        <s v="MRLN19AONBCON-2"/>
        <s v="MRLN19AONBENE-2"/>
        <s v="MRLN19AONBMAR-2"/>
        <s v="MRLN19AONBPOW-2"/>
        <s v="MRLN19AONBPRO-2"/>
        <s v="MRLN19AONBCON-3"/>
        <s v="MRLN19AONBENE-3"/>
        <s v="MRLN19AONBMAR-3"/>
        <s v="MRLN19AONBPOW-3"/>
        <s v="MRLN19AONBPRO-3"/>
        <s v="MRLN21AONBTER-3"/>
        <s v="MRLN19AONBCON-4"/>
        <s v="MRLN19AONBENE-4"/>
        <s v="MRLN19AONBMAR-4"/>
        <s v="MRLN19AONBPOW-4"/>
        <s v="MRLN19AONBPRO-4"/>
        <s v="MRLN21AONBTER-4"/>
        <s v="MRLN19AONBCON-5"/>
        <s v="MRLN19AONBENE-5"/>
        <s v="MRLN19AONBMAR-5"/>
        <s v="MRLN19AONBPOW-5"/>
        <s v="MRLN19AONBPRO-5"/>
        <s v="MRLN21AONBTER-5"/>
        <s v="MRLN19AONBCON-6"/>
        <s v="MRLN19AONBENE-6"/>
        <s v="MRLN19AONBMAR-6"/>
        <s v="MRLN19AONBPOW-6"/>
        <s v="MRLN19AONBPRO-6"/>
        <s v="MRLN21AONBTER-6"/>
        <s v="MRLN19AONBCON-7"/>
        <s v="MRLN19AONBENE-7"/>
        <s v="MRLN19AONBMAR-7"/>
        <s v="MRLN19AONBPOW-7"/>
        <s v="MRLN19AONBPRO-7"/>
        <s v="MRLN21AONBTER-7"/>
        <s v="MRLN19AONBCON-8"/>
        <s v="MRLN19AONBENE-8"/>
        <s v="MRLN19AONBMAR-8"/>
        <s v="MRLN19AONBPOW-8"/>
        <s v="MRLN19AONBPRO-8"/>
        <s v="MRLN21AONBTER-8"/>
      </sharedItems>
    </cacheField>
    <cacheField name="Producto" numFmtId="0">
      <sharedItems count="6">
        <s v="CONSTRUCTION"/>
        <s v="ENERGY"/>
        <s v="MARINE"/>
        <s v="POWER GENERATION"/>
        <s v="PROPERTY"/>
        <s v="TERRORISMO"/>
      </sharedItems>
    </cacheField>
    <cacheField name="Start" numFmtId="14">
      <sharedItems containsSemiMixedTypes="0" containsNonDate="0" containsDate="1" containsString="0" minDate="2019-01-01T00:00:00" maxDate="2026-01-02T00:00:00" count="8">
        <d v="2019-01-01T00:00:00"/>
        <d v="2020-01-01T00:00:00"/>
        <d v="2021-01-01T00:00:00"/>
        <d v="2022-01-01T00:00:00"/>
        <d v="2023-01-01T00:00:00"/>
        <d v="2024-01-01T00:00:00"/>
        <d v="2025-01-01T00:00:00"/>
        <d v="2026-01-01T00:00:00"/>
      </sharedItems>
      <fieldGroup par="7" base="3">
        <rangePr groupBy="months" startDate="2019-01-01T00:00:00" endDate="2026-01-02T00:00:00"/>
        <groupItems count="14">
          <s v="&lt;1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/2026"/>
        </groupItems>
      </fieldGroup>
    </cacheField>
    <cacheField name="End" numFmtId="49">
      <sharedItems count="8">
        <s v="12/31/2019"/>
        <s v="12/31/2020"/>
        <s v="12/31/2021"/>
        <s v="12/31/2022"/>
        <s v="12/31/2023"/>
        <s v="12/31/2024"/>
        <s v="12/31/2025"/>
        <s v="12/31/2026"/>
      </sharedItems>
    </cacheField>
    <cacheField name="year" numFmtId="0">
      <sharedItems containsSemiMixedTypes="0" containsString="0" containsNumber="1" containsInteger="1" minValue="2019" maxValue="2026" count="8">
        <n v="2019"/>
        <n v="2020"/>
        <n v="2021"/>
        <n v="2022"/>
        <n v="2023"/>
        <n v="2024"/>
        <n v="2025"/>
        <n v="2026"/>
      </sharedItems>
    </cacheField>
    <cacheField name="Quarters" numFmtId="0" databaseField="0">
      <fieldGroup base="3">
        <rangePr groupBy="quarters" startDate="2019-01-01T00:00:00" endDate="2026-01-02T00:00:00"/>
        <groupItems count="6">
          <s v="&lt;1/1/2019"/>
          <s v="Qtr1"/>
          <s v="Qtr2"/>
          <s v="Qtr3"/>
          <s v="Qtr4"/>
          <s v="&gt;1/2/2026"/>
        </groupItems>
      </fieldGroup>
    </cacheField>
    <cacheField name="Years" numFmtId="0" databaseField="0">
      <fieldGroup base="3">
        <rangePr groupBy="years" startDate="2019-01-01T00:00:00" endDate="2026-01-02T00:00:00"/>
        <groupItems count="10">
          <s v="&lt;1/1/2019"/>
          <s v="2019"/>
          <s v="2020"/>
          <s v="2021"/>
          <s v="2022"/>
          <s v="2023"/>
          <s v="2024"/>
          <s v="2025"/>
          <s v="2026"/>
          <s v="&gt;1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o, Wikin" refreshedDate="45224.337627777779" createdVersion="8" refreshedVersion="8" minRefreshableVersion="3" recordCount="36" xr:uid="{4D206141-FABB-4013-86B7-CDBBB55E9D59}">
  <cacheSource type="worksheet">
    <worksheetSource ref="B5:X41" sheet="SEND MAIL"/>
  </cacheSource>
  <cacheFields count="23">
    <cacheField name="SECTION" numFmtId="0">
      <sharedItems containsBlank="1" count="7">
        <s v="Section B"/>
        <s v="Section C"/>
        <s v="Section T"/>
        <s v="Section D"/>
        <m/>
        <s v="Section T2" u="1"/>
        <s v="Section T " u="1"/>
      </sharedItems>
    </cacheField>
    <cacheField name="MONTH" numFmtId="0">
      <sharedItems containsBlank="1"/>
    </cacheField>
    <cacheField name="YEAR" numFmtId="0">
      <sharedItems containsString="0" containsBlank="1" containsNumber="1" containsInteger="1" minValue="2020" maxValue="2023"/>
    </cacheField>
    <cacheField name="PRODUCT" numFmtId="0">
      <sharedItems containsBlank="1"/>
    </cacheField>
    <cacheField name="Max. LMIC Current Year Limit USD" numFmtId="0">
      <sharedItems containsString="0" containsBlank="1" containsNumber="1" minValue="200000" maxValue="19766111.632944442" count="59">
        <n v="4275000"/>
        <n v="4375000"/>
        <n v="2622950.8199999998"/>
        <n v="200000"/>
        <n v="4951350.46"/>
        <n v="2105544.9700000002"/>
        <n v="1546714.06"/>
        <n v="5351940.58"/>
        <n v="4900000"/>
        <n v="4804347.83"/>
        <n v="2063455.92"/>
        <n v="1814295.27"/>
        <n v="2843137.25"/>
        <m/>
        <n v="3688524.59" u="1"/>
        <n v="2500000" u="1"/>
        <n v="4788934.43" u="1"/>
        <n v="4283137.34" u="1"/>
        <n v="4792027.03" u="1"/>
        <n v="2321078.31" u="1"/>
        <n v="4875000" u="1"/>
        <n v="454545.45" u="1"/>
        <n v="363000" u="1"/>
        <n v="4970064.92" u="1"/>
        <n v="3758224.54" u="1"/>
        <n v="4950143.5999999996" u="1"/>
        <n v="1105158.5" u="1"/>
        <n v="4717500" u="1"/>
        <n v="4902173.91" u="1"/>
        <n v="2789305.56" u="1"/>
        <n v="1642857.1428571427" u="1"/>
        <n v="1375000" u="1"/>
        <n v="2425616.3473543571" u="1"/>
        <n v="1976562.5" u="1"/>
        <n v="1856565.3608336044" u="1"/>
        <n v="19766111.632944442" u="1"/>
        <n v="3295419.3512355364" u="1"/>
        <n v="4800000" u="1"/>
        <n v="1504862.2097998634" u="1"/>
        <n v="4980475.729979584" u="1"/>
        <n v="4327868.8524590163" u="1"/>
        <n v="4545384.7453202493" u="1"/>
        <n v="3445664.5210147672" u="1"/>
        <n v="1393107.8696976567" u="1"/>
        <n v="2439945.317857143" u="1"/>
        <n v="3758224.5409456994" u="1"/>
        <n v="4806959.7714285711" u="1"/>
        <n v="1841887.6355294117" u="1"/>
        <n v="589285.95000000007" u="1"/>
        <n v="4839675.2890792293" u="1"/>
        <n v="2760000" u="1"/>
        <n v="2156862.745098039" u="1"/>
        <n v="3780000" u="1"/>
        <n v="4979729.26771654" u="1"/>
        <n v="2267579.4094285714" u="1"/>
        <n v="3000000" u="1"/>
        <n v="4772031.5064596003" u="1"/>
        <n v="4999814.9468647027" u="1"/>
        <n v="3943920.3450000002" u="1"/>
      </sharedItems>
    </cacheField>
    <cacheField name="LMIC Gross Written Premium USD" numFmtId="0">
      <sharedItems containsString="0" containsBlank="1" containsNumber="1" minValue="-94628.034330813956" maxValue="3953323.7686722223" count="66">
        <n v="12025.89"/>
        <n v="26.25"/>
        <n v="167.48999999999998"/>
        <n v="986.37"/>
        <n v="8152.4099999999989"/>
        <n v="5742.12"/>
        <n v="256.05"/>
        <n v="13977.739999999998"/>
        <n v="77031.88"/>
        <n v="221567.58999999991"/>
        <n v="29.279999999999745"/>
        <n v="6894.32"/>
        <n v="67.39"/>
        <m/>
        <n v="6439.34" u="1"/>
        <n v="41.01" u="1"/>
        <n v="11159.9" u="1"/>
        <n v="58664.239999999991" u="1"/>
        <n v="-24743.989999999998" u="1"/>
        <n v="499466.93000000005" u="1"/>
        <n v="71779.070000000007" u="1"/>
        <n v="-177.84999999999997" u="1"/>
        <n v="211.41999999999996" u="1"/>
        <n v="5.84" u="1"/>
        <n v="-34378.29" u="1"/>
        <n v="-26004.339999999997" u="1"/>
        <n v="-69502.3" u="1"/>
        <n v="502.58" u="1"/>
        <n v="1313.27" u="1"/>
        <n v="37196.68" u="1"/>
        <n v="632035.34" u="1"/>
        <n v="70790.100000000006" u="1"/>
        <n v="18645.169999999998" u="1"/>
        <n v="-457.56970000000001" u="1"/>
        <n v="8868.75" u="1"/>
        <n v="5429.742178414047" u="1"/>
        <n v="189273.83908630384" u="1"/>
        <n v="0" u="1"/>
        <n v="677231.75183740025" u="1"/>
        <n v="318203.94402186404" u="1"/>
        <n v="-308.9760280612245" u="1"/>
        <n v="-492.22029017857136" u="1"/>
        <n v="-44303.761992370964" u="1"/>
        <n v="-2.0000000004074536E-2" u="1"/>
        <n v="12284.429007646324" u="1"/>
        <n v="29005.643404415463" u="1"/>
        <n v="-94628.034330813956" u="1"/>
        <n v="2891.2314161347181" u="1"/>
        <n v="-1172.3629999999998" u="1"/>
        <n v="-34.298000000000002" u="1"/>
        <n v="28937.292644474495" u="1"/>
        <n v="3604.4316510045046" u="1"/>
        <n v="1" u="1"/>
        <n v="-27.935294117647057" u="1"/>
        <n v="-8357.1205245976325" u="1"/>
        <n v="-1271.1906800000004" u="1"/>
        <n v="-1.8189894035458565E-12" u="1"/>
        <n v="950651.05616839649" u="1"/>
        <n v="-2195.4270000000001" u="1"/>
        <n v="-2.7219520152334553" u="1"/>
        <n v="-376.49699999999996" u="1"/>
        <n v="285.6115623030833" u="1"/>
        <n v="93835.201461877368" u="1"/>
        <n v="65.11987392458451" u="1"/>
        <n v="3953323.7686722223" u="1"/>
        <n v="187.52542464703458" u="1"/>
      </sharedItems>
    </cacheField>
    <cacheField name="Original Slip Discounts Amount USD" numFmtId="0">
      <sharedItems containsString="0" containsBlank="1" containsNumber="1" minValue="4.46" maxValue="40142.320000000007"/>
    </cacheField>
    <cacheField name=" Marlin Fee Amount USD" numFmtId="0">
      <sharedItems containsString="0" containsBlank="1" containsNumber="1" minValue="2.36" maxValue="19941.09"/>
    </cacheField>
    <cacheField name="Tax Amount USD" numFmtId="0">
      <sharedItems containsString="0" containsBlank="1" containsNumber="1" minValue="-116.24000000000001" maxValue="2570.6999999999998"/>
    </cacheField>
    <cacheField name="Net Premium Amount USD" numFmtId="0">
      <sharedItems containsString="0" containsBlank="1" containsNumber="1" minValue="19.43" maxValue="152475.82"/>
    </cacheField>
    <cacheField name=" Gennius Reference" numFmtId="0">
      <sharedItems containsBlank="1" count="22">
        <s v="MRLN19AONBENE-3"/>
        <s v="MRLN19AONBPRO-3"/>
        <s v="MRLN19AONBPOW-3"/>
        <s v="MRLN21AONBTER-3"/>
        <s v="MRLN19AONBPRO-4"/>
        <s v="MRLN19AONBPOW-4"/>
        <s v="MRLN19AONBCON-4"/>
        <s v="MRLN19AONBENE-5"/>
        <s v="MRLN19AONBPRO-5"/>
        <s v="MRLN19AONBPOW-5"/>
        <s v="MRLN19AONBCON-5"/>
        <s v="MRLN19AONBPRO-2"/>
        <m/>
        <s v="MRLN19AONBENE-4" u="1"/>
        <s v="MRLN19AONBPOW-2" u="1"/>
        <s v="MRLN19AONBPRO-1" u="1"/>
        <s v="MRLN19AONBCON-3" u="1"/>
        <s v="MRLN19AONBENE-1" u="1"/>
        <s v="MRLN19AONBCON-2" u="1"/>
        <s v="MRLN19AONBENE-2" u="1"/>
        <s v="MRLN21AONBTER-4" u="1"/>
        <s v="MRLN19AONBCON-1" u="1"/>
      </sharedItems>
    </cacheField>
    <cacheField name="Total Comission" numFmtId="0">
      <sharedItems containsString="0" containsBlank="1" containsNumber="1" minValue="6.82" maxValue="60083.41"/>
    </cacheField>
    <cacheField name="Comision %" numFmtId="10">
      <sharedItems containsString="0" containsBlank="1" containsNumber="1" minValue="-2885785932434470.5" maxValue="2" count="66">
        <n v="0.53999995010764279"/>
        <n v="0.25980952380952382"/>
        <n v="0.28037494775807514"/>
        <n v="0.29999898618165599"/>
        <n v="0.29689870848006911"/>
        <n v="0.28999916407180626"/>
        <n v="0.28002343292325715"/>
        <n v="0.27500010731348562"/>
        <n v="0.45813824094647576"/>
        <n v="0.27117418210849353"/>
        <n v="0.29030054644808945"/>
        <n v="0.2749988396245025"/>
        <n v="0.25003709749220954"/>
        <m/>
        <n v="0.26835514198660104" u="1"/>
        <n v="0.29992684711046086" u="1"/>
        <n v="8.9999910393462307E-2" u="1"/>
        <n v="0.26142535895802971" u="1"/>
        <n v="0.29241726980975985" u="1"/>
        <n v="0.27478339757148679" u="1"/>
        <n v="0.20957529820322271" u="1"/>
        <n v="1.2988473432667954E-2" u="1"/>
        <n v="0.29997162047110021" u="1"/>
        <n v="0.2910958904109589" u="1"/>
        <n v="0.25444575631888611" u="1"/>
        <n v="0.32999991539873735" u="1"/>
        <n v="0.29509829171120955" u="1"/>
        <n v="0.33998567392255963" u="1"/>
        <n v="0.26966275023414832" u="1"/>
        <n v="0.19000002150729581" u="1"/>
        <n v="0.28071604350478246" u="1"/>
        <n v="0.21138054614981475" u="1"/>
        <n v="0.27000021989609108" u="1"/>
        <n v="0.30267465371942243" u="1"/>
        <n v="0.34" u="1"/>
        <n v="0.24000000000000002" u="1"/>
        <n v="0.28928318006866427" u="1"/>
        <n v="0" u="1"/>
        <n v="0.26803628934040213" u="1"/>
        <n v="-37.778755999018237" u="1"/>
        <n v="0.18282663764582394" u="1"/>
        <n v="0.10521319087357492" u="1"/>
        <n v="0.62040530544994155" u="1"/>
        <n v="0.55000000000000004" u="1"/>
        <n v="-240096.7724510858" u="1"/>
        <n v="0.34896544651241634" u="1"/>
        <n v="0.44" u="1"/>
        <n v="0.25903494089519302" u="1"/>
        <n v="0.31814371117428819" u="1"/>
        <n v="-1.4919117647058822" u="1"/>
        <n v="0.25" u="1"/>
        <n v="0.2450315972518276" u="1"/>
        <n v="2" u="1"/>
        <n v="0.35499999999999998" u="1"/>
        <n v="0.17861299999999999" u="1"/>
        <n v="0.26400471407208859" u="1"/>
        <n v="0.30000000000000004" u="1"/>
        <n v="0.30523532099378858" u="1"/>
        <n v="0.32987238224822701" u="1"/>
        <n v="0.2747895408852683" u="1"/>
        <n v="0.26277704125962215" u="1"/>
        <n v="0.4999882080563498" u="1"/>
        <n v="0.26705507002255752" u="1"/>
        <n v="0.19000000000000003" u="1"/>
        <n v="0.32444114253012396" u="1"/>
        <n v="-2885785932434470.5" u="1"/>
      </sharedItems>
    </cacheField>
    <cacheField name="Tx %" numFmtId="0">
      <sharedItems containsString="0" containsBlank="1" containsNumber="1" minValue="-505011188195655.69" maxValue="3.4998834922023829" count="60">
        <n v="1.0000091469321607E-2"/>
        <n v="0"/>
        <n v="2.4180548092423426E-2"/>
        <n v="2.5000760363758021E-2"/>
        <n v="9.4781788452739744E-3"/>
        <n v="2.4999477544878898E-2"/>
        <n v="9.9980472563952344E-3"/>
        <n v="2.356604143445221E-2"/>
        <n v="3.3371897453366058E-2"/>
        <n v="1.1403788794200459E-2"/>
        <n v="-3.9699453551912915"/>
        <n v="3.5020032645793141E-2"/>
        <m/>
        <n v="2.7224839812775847E-2" u="1"/>
        <n v="2.511582540843697E-2" u="1"/>
        <n v="2.1000188173729156E-2" u="1"/>
        <n v="2.1492479916214717E-2" u="1"/>
        <n v="9.8298617159156658E-3" u="1"/>
        <n v="2.3875214320996183E-2" u="1"/>
        <n v="1.3633082735677681E-2" u="1"/>
        <n v="-1.6811920157436044E-2" u="1"/>
        <n v="3.5001418976445008E-2" u="1"/>
        <n v="3.5958904109589039E-2" u="1"/>
        <n v="1.2993665478998515E-3" u="1"/>
        <n v="9.9998692525939924E-3" u="1"/>
        <n v="2.4775295206057927E-2" u="1"/>
        <n v="1.0008356878506906E-2" u="1"/>
        <n v="1.7460232853868586E-2" u="1"/>
        <n v="3.4999897840344893E-2" u="1"/>
        <n v="2.7135238988376817E-2" u="1"/>
        <n v="2.7235870552520761E-2" u="1"/>
        <n v="1.7220009257089101E-2" u="1"/>
        <n v="2.8433721682183066E-2" u="1"/>
        <n v="2.3153979393115243E-2" u="1"/>
        <n v="2.8644740478518265E-2" u="1"/>
        <n v="3.5488526773226975E-2" u="1"/>
        <n v="2.3421040378653127E-2" u="1"/>
        <n v="3.4999999999999996E-2" u="1"/>
        <n v="3.5004652071025294E-2" u="1"/>
        <n v="1.7156266916077263E-2" u="1"/>
        <n v="1.1138267039059348E-2" u="1"/>
        <n v="0.01" u="1"/>
        <n v="3.8519384364958123E-2" u="1"/>
        <n v="-505011188195655.69" u="1"/>
        <n v="-5.2646041957396337" u="1"/>
        <n v="5.0021265561496553E-2" u="1"/>
        <n v="1.0000000020968564E-2" u="1"/>
        <n v="3.4998834922023829" u="1"/>
        <n v="2.3352253583184303E-2" u="1"/>
        <n v="1.0135267440289039E-2" u="1"/>
        <n v="-1.3411037388268623E-3" u="1"/>
        <n v="1.3647650087899399E-2" u="1"/>
        <n v="5.1395572982294059E-2" u="1"/>
        <n v="3.0282151242050233E-3" u="1"/>
        <n v="5.9213993450932321E-4" u="1"/>
        <n v="1.619913102376816E-2" u="1"/>
        <n v="1.0021533417207257E-2" u="1"/>
        <n v="1.7850000000000001E-2" u="1"/>
        <n v="0.02" u="1"/>
        <n v="-2.1294733121723027E-2" u="1"/>
      </sharedItems>
    </cacheField>
    <cacheField name="LSM PRM DEBIT" numFmtId="0">
      <sharedItems containsString="0" containsBlank="1" containsNumber="1" minValue="-94628.034330813956" maxValue="0" count="22">
        <n v="0"/>
        <m/>
        <n v="-24743.989999999998" u="1"/>
        <n v="-177.84999999999997" u="1"/>
        <n v="-34378.29" u="1"/>
        <n v="-26004.339999999997" u="1"/>
        <n v="-69502.3" u="1"/>
        <n v="-457.56970000000001" u="1"/>
        <n v="-308.9760280612245" u="1"/>
        <n v="-492.22029017857136" u="1"/>
        <n v="-44303.761992370964" u="1"/>
        <n v="-2.0000000004074536E-2" u="1"/>
        <n v="-94628.034330813956" u="1"/>
        <n v="-1172.3629999999998" u="1"/>
        <n v="-34.298000000000002" u="1"/>
        <n v="-27.935294117647057" u="1"/>
        <n v="-8357.1205245976325" u="1"/>
        <n v="-1271.1906800000004" u="1"/>
        <n v="-1.8189894035458565E-12" u="1"/>
        <n v="-2195.4270000000001" u="1"/>
        <n v="-2.7219520152334553" u="1"/>
        <n v="-376.49699999999996" u="1"/>
      </sharedItems>
    </cacheField>
    <cacheField name="COMISION DEBIT" numFmtId="0">
      <sharedItems containsString="0" containsBlank="1" containsNumber="1" minValue="0" maxValue="1976615.266965" count="49">
        <n v="6493.98"/>
        <n v="6.82"/>
        <n v="46.96"/>
        <n v="295.91000000000003"/>
        <n v="2420.44"/>
        <n v="1665.21"/>
        <n v="71.7"/>
        <n v="3843.88"/>
        <n v="35291.250000000007"/>
        <n v="60083.41"/>
        <n v="8.4999999999999858"/>
        <n v="1895.9299999999998"/>
        <n v="16.850000000000001"/>
        <m/>
        <n v="1728.0299999999997" u="1"/>
        <n v="12.299999999999999" u="1"/>
        <n v="1004.39" u="1"/>
        <n v="15336.320000000003" u="1"/>
        <n v="0" u="1"/>
        <n v="137245.21999999997" u="1"/>
        <n v="15043.119999999999" u="1"/>
        <n v="63.419999999999995" u="1"/>
        <n v="1.7" u="1"/>
        <n v="170.87" u="1"/>
        <n v="354.14" u="1"/>
        <n v="7067.37" u="1"/>
        <n v="177422.45999999996" u="1"/>
        <n v="14963.650000000001" u="1"/>
        <n v="5034.2" u="1"/>
        <n v="3015.375" u="1"/>
        <n v="1303.1381228193713" u="1"/>
        <n v="54753.73807469062" u="1"/>
        <n v="5290.5079167625045" u="1"/>
        <n v="177.19492855067941" u="1"/>
        <n v="938.03442396973628" u="1"/>
        <n v="2" u="1"/>
        <n v="84007.341258103101" u="1"/>
        <n v="254808.98155291122" u="1"/>
        <n v="1976615.266965" u="1"/>
        <n v="9568.1606884571029" u="1"/>
        <n v="12.372776045671058" u="1"/>
        <n v="4801.935449999999" u="1"/>
        <n v="177960.9559949027" u="1"/>
        <n v="102.83196102454067" u="1"/>
        <n v="28641.817838732957" u="1"/>
        <n v="56.257627394110379" u="1"/>
        <n v="1146.7272621246398" u="1"/>
        <n v="5249.2140320000008" u="1"/>
        <n v="3375.6326070488058" u="1"/>
      </sharedItems>
    </cacheField>
    <cacheField name="IMPUESTO DEBIT" numFmtId="0">
      <sharedItems containsString="0" containsBlank="1" containsNumber="1" minValue="0" maxValue="13836172.597307222" count="46">
        <n v="120.26"/>
        <n v="0"/>
        <n v="4.0499999999999989"/>
        <n v="24.66"/>
        <n v="77.27"/>
        <n v="143.55000000000001"/>
        <n v="2.56"/>
        <n v="329.4"/>
        <n v="2570.6999999999998"/>
        <n v="2526.7100000000005"/>
        <n v="2.36"/>
        <m/>
        <n v="175.31000000000003" u="1"/>
        <n v="1.03" u="1"/>
        <n v="234.36" u="1"/>
        <n v="1260.8399999999999" u="1"/>
        <n v="11924.88" u="1"/>
        <n v="978.56999999999994" u="1"/>
        <n v="2.99" u="1"/>
        <n v="7.4000000000000021" u="1"/>
        <n v="0.21" u="1"/>
        <n v="5.03" u="1"/>
        <n v="22.93" u="1"/>
        <n v="1301.8800000000001" u="1"/>
        <n v="17150.429999999997" u="1"/>
        <n v="1928.03" u="1"/>
        <n v="321.07" u="1"/>
        <n v="125.72013850892752" u="1"/>
        <n v="5421.7" u="1"/>
        <n v="14.33" u="1"/>
        <n v="29.30340363429098" u="1"/>
        <n v="5154.627381489965" u="1"/>
        <n v="59.415940852064139" u="1"/>
        <n v="11618.768698565038" u="1"/>
        <n v="13836172.597307222" u="1"/>
        <n v="1.5206958091918887" u="1"/>
        <n v="3330.073059350982" u="1"/>
        <n v="1447.4799999999996" u="1"/>
        <n v="918.61" u="1"/>
        <n v="40.14712225292574" u="1"/>
        <n v="287.7141078167823" u="1"/>
        <n v="2878.7759061306174" u="1"/>
        <n v="290.68102466494685" u="1"/>
        <n v="2015.0787369079278" u="1"/>
        <n v="11.00158154742865" u="1"/>
        <n v="6.5633898626462104" u="1"/>
      </sharedItems>
    </cacheField>
    <cacheField name="LSM PRM CREDIT" numFmtId="0">
      <sharedItems containsString="0" containsBlank="1" containsNumber="1" minValue="0" maxValue="3953323.7686722223" count="46">
        <n v="12025.89"/>
        <n v="26.25"/>
        <n v="167.48999999999998"/>
        <n v="986.37"/>
        <n v="8152.4099999999989"/>
        <n v="5742.12"/>
        <n v="256.05"/>
        <n v="13977.739999999998"/>
        <n v="77031.88"/>
        <n v="221567.58999999991"/>
        <n v="29.279999999999745"/>
        <n v="6894.32"/>
        <n v="67.39"/>
        <m/>
        <n v="6439.34" u="1"/>
        <n v="41.01" u="1"/>
        <n v="11159.9" u="1"/>
        <n v="58664.239999999991" u="1"/>
        <n v="0" u="1"/>
        <n v="499466.93000000005" u="1"/>
        <n v="71779.070000000007" u="1"/>
        <n v="211.41999999999996" u="1"/>
        <n v="5.84" u="1"/>
        <n v="502.58" u="1"/>
        <n v="1313.27" u="1"/>
        <n v="37196.68" u="1"/>
        <n v="632035.34" u="1"/>
        <n v="70790.100000000006" u="1"/>
        <n v="18645.169999999998" u="1"/>
        <n v="8868.75" u="1"/>
        <n v="5429.742178414047" u="1"/>
        <n v="189273.83908630384" u="1"/>
        <n v="677231.75183740025" u="1"/>
        <n v="318203.94402186404" u="1"/>
        <n v="12284.429007646324" u="1"/>
        <n v="29005.643404415463" u="1"/>
        <n v="2891.2314161347181" u="1"/>
        <n v="28937.292644474495" u="1"/>
        <n v="3604.4316510045046" u="1"/>
        <n v="1" u="1"/>
        <n v="950651.05616839649" u="1"/>
        <n v="285.6115623030833" u="1"/>
        <n v="93835.201461877368" u="1"/>
        <n v="65.11987392458451" u="1"/>
        <n v="3953323.7686722223" u="1"/>
        <n v="187.52542464703458" u="1"/>
      </sharedItems>
    </cacheField>
    <cacheField name="COMISION CREDIT" numFmtId="0">
      <sharedItems containsString="0" containsBlank="1" containsNumber="1" minValue="-25270.896334312496" maxValue="0" count="20">
        <n v="0"/>
        <m/>
        <n v="-7235.57" u="1"/>
        <n v="-2.3099999999999952" u="1"/>
        <n v="-8747.41" u="1"/>
        <n v="-8581.43" u="1"/>
        <n v="-20510.010000000002" u="1"/>
        <n v="-138.49475050000001" u="1"/>
        <n v="-8.5745000000000005" u="1"/>
        <n v="-11476.222369128511" u="1"/>
        <n v="-1.4919117647058822" u="1"/>
        <n v="-230.98787999999999" u="1"/>
        <n v="-75.708889668367348" u="1"/>
        <n v="-167.35489866071427" u="1"/>
        <n v="-515.83971999999994" u="1"/>
        <n v="-133.65643499999999" u="1"/>
        <n v="-699.15487400000029" u="1"/>
        <n v="-25270.896334312496" u="1"/>
        <n v="-4.9896066882352939" u="1"/>
        <n v="-2916.3462954242918" u="1"/>
      </sharedItems>
    </cacheField>
    <cacheField name="IMPUESTO CREDIT" numFmtId="0">
      <sharedItems containsString="0" containsBlank="1" containsNumber="1" minValue="-1721.9399999999998" maxValue="0" count="16">
        <n v="0"/>
        <n v="-116.24000000000001"/>
        <m/>
        <n v="-243.23000000000005" u="1"/>
        <n v="-44.669999999999987" u="1"/>
        <n v="-260.04000000000002" u="1"/>
        <n v="-1721.9399999999998" u="1"/>
        <n v="-13.010409500000002" u="1"/>
        <n v="-16" u="1"/>
        <n v="-12.711906800000005" u="1"/>
        <n v="-0.61221930000000002" u="1"/>
        <n v="-15.88" u="1"/>
        <n v="-17.23" u="1"/>
        <n v="-1.3" u="1"/>
        <n v="-7.5299399999999999" u="1"/>
        <n v="-83.571205421213136" u="1"/>
      </sharedItems>
    </cacheField>
    <cacheField name="Net Premium Amount USD2" numFmtId="0">
      <sharedItems containsString="0" containsBlank="1" containsNumber="1" minValue="-11859464.0956" maxValue="692963.2987093546" count="68">
        <n v="5411.65"/>
        <n v="19.43"/>
        <n v="116.47999999999999"/>
        <n v="665.8"/>
        <n v="5654.6999999999989"/>
        <n v="3933.3599999999997"/>
        <n v="181.79000000000002"/>
        <n v="9804.4599999999991"/>
        <n v="39169.93"/>
        <n v="158957.46999999991"/>
        <n v="137.01999999999975"/>
        <n v="4998.3899999999994"/>
        <n v="48.18"/>
        <m/>
        <n v="4536" u="1"/>
        <n v="27.68" u="1"/>
        <n v="9921.15" u="1"/>
        <n v="42067.079999999987" u="1"/>
        <n v="-17265.189999999999" u="1"/>
        <n v="350296.83000000007" u="1"/>
        <n v="55757.380000000005" u="1"/>
        <n v="-178.52999999999997" u="1"/>
        <n v="140.59999999999997" u="1"/>
        <n v="3.9299999999999997" u="1"/>
        <n v="-25586.21" u="1"/>
        <n v="-17162.869999999995" u="1"/>
        <n v="-47270.350000000006" u="1"/>
        <n v="326.67999999999995" u="1"/>
        <n v="936.2" u="1"/>
        <n v="28827.43" u="1"/>
        <n v="437462.45" u="1"/>
        <n v="53898.420000000006" u="1"/>
        <n v="13289.899999999998" u="1"/>
        <n v="-306.06453999999997" u="1"/>
        <n v="5853.375" u="1"/>
        <n v="4000.8839170857482" u="1"/>
        <n v="129098.40101161323" u="1"/>
        <n v="-119.88391303977413" u="1"/>
        <n v="0" u="1"/>
        <n v="61863.310563793428" u="1"/>
        <n v="51.226402069721566" u="1"/>
        <n v="22199.304727711991" u="1"/>
        <n v="-5357.2030237521276" u="1"/>
        <n v="-1" u="1"/>
        <n v="-6167.8240320000004" u="1"/>
        <n v="-25.111280700000002" u="1"/>
        <n v="-6167.8240320000023" u="1"/>
        <n v="-559.32389920000014" u="1"/>
        <n v="2417.5572666269391" u="1"/>
        <n v="8621.0822927807349" u="1"/>
        <n v="-307.6353915178571" u="1"/>
        <n v="692963.2987093546" u="1"/>
        <n v="-235.31062499999996" u="1"/>
        <n v="-217.38713839285714" u="1"/>
        <n v="1923.893588530691" u="1"/>
        <n v="487652.02714393253" u="1"/>
        <n v="-640.52327999999989" u="1"/>
        <n v="-1963.13912" u="1"/>
        <n v="-22.945687429411763" u="1"/>
        <n v="-11859464.0956" u="1"/>
        <n v="-32886.955564094518" u="1"/>
        <n v="124.70440739027799" u="1"/>
        <n v="229041.97538227099" u="1"/>
        <n v="19146.801691293411" u="1"/>
        <n v="2.4919117647058822" u="1"/>
        <n v="-4801.9554500000031" u="1"/>
        <n v="-71372.216733409383" u="1"/>
        <n v="97.41505220497524" u="1"/>
      </sharedItems>
    </cacheField>
    <cacheField name="Endorsement Start Date" numFmtId="0">
      <sharedItems containsNonDate="0" containsDate="1" containsString="0" containsBlank="1" minDate="1899-12-30T00:00:00" maxDate="2023-10-24T00:00:00" count="13">
        <d v="2021-12-31T00:00:00"/>
        <d v="2022-12-31T00:00:00"/>
        <m/>
        <d v="2020-12-31T00:00:00"/>
        <d v="2019-12-31T00:00:00" u="1"/>
        <d v="2023-10-23T00:00:00" u="1"/>
        <d v="2023-08-18T00:00:00" u="1"/>
        <d v="2023-08-11T00:00:00" u="1"/>
        <d v="2023-05-05T00:00:00" u="1"/>
        <d v="2023-09-05T00:00:00" u="1"/>
        <d v="2023-05-02T00:00:00" u="1"/>
        <d v="2023-08-10T00:00:00" u="1"/>
        <d v="1899-12-30T00:00:00" u="1"/>
      </sharedItems>
    </cacheField>
    <cacheField name="PPW" numFmtId="0">
      <sharedItems containsDate="1" containsString="0" containsBlank="1" containsMixedTypes="1" minDate="1900-01-05T09:27:04" maxDate="2023-09-29T00:00:00" count="11">
        <n v="90"/>
        <m/>
        <d v="1900-03-30T00:00:00" u="1"/>
        <d v="2023-09-28T00:00:00" u="1"/>
        <d v="1899-12-30T00:00:00" u="1"/>
        <d v="2023-08-06T00:00:00" u="1"/>
        <d v="2023-07-31T00:00:00" u="1"/>
        <d v="2023-08-28T00:00:00" u="1"/>
        <d v="2023-08-07T00:00:00" u="1"/>
        <d v="2023-08-03T00:00:00" u="1"/>
        <d v="2023-08-29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2"/>
    <x v="2"/>
    <x v="2"/>
    <x v="2"/>
    <x v="2"/>
    <x v="2"/>
    <x v="2"/>
    <x v="2"/>
    <x v="2"/>
    <x v="2"/>
    <x v="2"/>
    <x v="2"/>
    <x v="1"/>
    <x v="2"/>
    <x v="2"/>
    <x v="2"/>
    <x v="1"/>
    <x v="1"/>
    <x v="2"/>
    <x v="1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2"/>
    <x v="3"/>
    <x v="3"/>
    <x v="3"/>
    <x v="3"/>
    <x v="3"/>
    <x v="3"/>
    <x v="3"/>
    <x v="3"/>
    <x v="3"/>
    <x v="3"/>
    <x v="3"/>
    <x v="1"/>
    <x v="3"/>
    <x v="3"/>
    <x v="3"/>
    <x v="1"/>
    <x v="1"/>
    <x v="3"/>
    <x v="1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3"/>
    <x v="2"/>
    <x v="4"/>
    <x v="4"/>
    <x v="4"/>
    <x v="4"/>
    <x v="4"/>
    <x v="4"/>
    <x v="4"/>
    <x v="4"/>
    <x v="4"/>
    <x v="4"/>
    <x v="2"/>
    <x v="4"/>
    <x v="4"/>
    <x v="4"/>
    <x v="2"/>
    <x v="2"/>
    <x v="4"/>
    <x v="2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3"/>
    <x v="3"/>
    <x v="5"/>
    <x v="5"/>
    <x v="5"/>
    <x v="5"/>
    <x v="5"/>
    <x v="5"/>
    <x v="5"/>
    <x v="5"/>
    <x v="5"/>
    <x v="5"/>
    <x v="3"/>
    <x v="4"/>
    <x v="5"/>
    <x v="4"/>
    <x v="3"/>
    <x v="1"/>
    <x v="5"/>
    <x v="2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1"/>
    <x v="2"/>
    <x v="6"/>
    <x v="6"/>
    <x v="6"/>
    <x v="6"/>
    <x v="6"/>
    <x v="6"/>
    <x v="6"/>
    <x v="6"/>
    <x v="6"/>
    <x v="6"/>
    <x v="1"/>
    <x v="5"/>
    <x v="6"/>
    <x v="5"/>
    <x v="1"/>
    <x v="1"/>
    <x v="6"/>
    <x v="3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1"/>
    <x v="3"/>
    <x v="7"/>
    <x v="7"/>
    <x v="7"/>
    <x v="7"/>
    <x v="7"/>
    <x v="7"/>
    <x v="7"/>
    <x v="7"/>
    <x v="7"/>
    <x v="7"/>
    <x v="4"/>
    <x v="6"/>
    <x v="7"/>
    <x v="4"/>
    <x v="1"/>
    <x v="1"/>
    <x v="7"/>
    <x v="3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4"/>
    <x v="3"/>
    <x v="8"/>
    <x v="8"/>
    <x v="8"/>
    <x v="8"/>
    <x v="8"/>
    <x v="8"/>
    <x v="8"/>
    <x v="8"/>
    <x v="8"/>
    <x v="8"/>
    <x v="5"/>
    <x v="4"/>
    <x v="4"/>
    <x v="4"/>
    <x v="4"/>
    <x v="3"/>
    <x v="8"/>
    <x v="4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2"/>
    <x v="4"/>
    <x v="9"/>
    <x v="9"/>
    <x v="9"/>
    <x v="9"/>
    <x v="9"/>
    <x v="9"/>
    <x v="9"/>
    <x v="9"/>
    <x v="9"/>
    <x v="9"/>
    <x v="1"/>
    <x v="7"/>
    <x v="8"/>
    <x v="6"/>
    <x v="1"/>
    <x v="1"/>
    <x v="9"/>
    <x v="1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2"/>
    <x v="2"/>
    <x v="10"/>
    <x v="10"/>
    <x v="10"/>
    <x v="10"/>
    <x v="10"/>
    <x v="10"/>
    <x v="2"/>
    <x v="10"/>
    <x v="10"/>
    <x v="10"/>
    <x v="1"/>
    <x v="8"/>
    <x v="9"/>
    <x v="7"/>
    <x v="1"/>
    <x v="1"/>
    <x v="10"/>
    <x v="1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2"/>
    <x v="3"/>
    <x v="11"/>
    <x v="11"/>
    <x v="11"/>
    <x v="11"/>
    <x v="11"/>
    <x v="11"/>
    <x v="3"/>
    <x v="11"/>
    <x v="11"/>
    <x v="11"/>
    <x v="1"/>
    <x v="9"/>
    <x v="10"/>
    <x v="8"/>
    <x v="1"/>
    <x v="1"/>
    <x v="11"/>
    <x v="1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1"/>
    <x v="2"/>
    <x v="5"/>
    <x v="12"/>
    <x v="12"/>
    <x v="12"/>
    <x v="12"/>
    <x v="12"/>
    <x v="12"/>
    <x v="10"/>
    <x v="12"/>
    <x v="12"/>
    <x v="12"/>
    <x v="6"/>
    <x v="4"/>
    <x v="4"/>
    <x v="4"/>
    <x v="5"/>
    <x v="4"/>
    <x v="12"/>
    <x v="1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3"/>
    <x v="4"/>
    <x v="13"/>
    <x v="13"/>
    <x v="13"/>
    <x v="13"/>
    <x v="13"/>
    <x v="13"/>
    <x v="11"/>
    <x v="13"/>
    <x v="13"/>
    <x v="13"/>
    <x v="7"/>
    <x v="4"/>
    <x v="4"/>
    <x v="4"/>
    <x v="6"/>
    <x v="5"/>
    <x v="13"/>
    <x v="2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3"/>
    <x v="2"/>
    <x v="14"/>
    <x v="14"/>
    <x v="14"/>
    <x v="14"/>
    <x v="14"/>
    <x v="14"/>
    <x v="4"/>
    <x v="14"/>
    <x v="14"/>
    <x v="14"/>
    <x v="1"/>
    <x v="10"/>
    <x v="11"/>
    <x v="9"/>
    <x v="1"/>
    <x v="1"/>
    <x v="14"/>
    <x v="2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3"/>
    <x v="3"/>
    <x v="15"/>
    <x v="15"/>
    <x v="15"/>
    <x v="15"/>
    <x v="15"/>
    <x v="15"/>
    <x v="5"/>
    <x v="15"/>
    <x v="15"/>
    <x v="15"/>
    <x v="8"/>
    <x v="4"/>
    <x v="12"/>
    <x v="4"/>
    <x v="7"/>
    <x v="1"/>
    <x v="15"/>
    <x v="2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1"/>
    <x v="3"/>
    <x v="5"/>
    <x v="12"/>
    <x v="12"/>
    <x v="12"/>
    <x v="12"/>
    <x v="12"/>
    <x v="12"/>
    <x v="12"/>
    <x v="12"/>
    <x v="12"/>
    <x v="12"/>
    <x v="6"/>
    <x v="4"/>
    <x v="4"/>
    <x v="4"/>
    <x v="5"/>
    <x v="4"/>
    <x v="12"/>
    <x v="2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1"/>
    <x v="4"/>
    <x v="16"/>
    <x v="16"/>
    <x v="16"/>
    <x v="16"/>
    <x v="16"/>
    <x v="16"/>
    <x v="13"/>
    <x v="16"/>
    <x v="16"/>
    <x v="16"/>
    <x v="1"/>
    <x v="11"/>
    <x v="13"/>
    <x v="10"/>
    <x v="1"/>
    <x v="1"/>
    <x v="16"/>
    <x v="3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1"/>
    <x v="3"/>
    <x v="17"/>
    <x v="17"/>
    <x v="17"/>
    <x v="17"/>
    <x v="17"/>
    <x v="17"/>
    <x v="7"/>
    <x v="17"/>
    <x v="17"/>
    <x v="17"/>
    <x v="1"/>
    <x v="12"/>
    <x v="14"/>
    <x v="11"/>
    <x v="1"/>
    <x v="1"/>
    <x v="17"/>
    <x v="3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1"/>
    <x v="1"/>
    <x v="5"/>
    <x v="18"/>
    <x v="18"/>
    <x v="18"/>
    <x v="18"/>
    <x v="18"/>
    <x v="18"/>
    <x v="14"/>
    <x v="18"/>
    <x v="18"/>
    <x v="18"/>
    <x v="9"/>
    <x v="4"/>
    <x v="4"/>
    <x v="4"/>
    <x v="8"/>
    <x v="6"/>
    <x v="18"/>
    <x v="3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4"/>
    <x v="4"/>
    <x v="19"/>
    <x v="19"/>
    <x v="19"/>
    <x v="19"/>
    <x v="19"/>
    <x v="19"/>
    <x v="15"/>
    <x v="19"/>
    <x v="19"/>
    <x v="19"/>
    <x v="10"/>
    <x v="4"/>
    <x v="4"/>
    <x v="4"/>
    <x v="9"/>
    <x v="7"/>
    <x v="19"/>
    <x v="4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4"/>
    <x v="2"/>
    <x v="20"/>
    <x v="20"/>
    <x v="20"/>
    <x v="20"/>
    <x v="20"/>
    <x v="20"/>
    <x v="16"/>
    <x v="20"/>
    <x v="20"/>
    <x v="20"/>
    <x v="11"/>
    <x v="13"/>
    <x v="15"/>
    <x v="4"/>
    <x v="1"/>
    <x v="1"/>
    <x v="20"/>
    <x v="4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4"/>
    <x v="3"/>
    <x v="21"/>
    <x v="21"/>
    <x v="21"/>
    <x v="21"/>
    <x v="21"/>
    <x v="21"/>
    <x v="8"/>
    <x v="21"/>
    <x v="21"/>
    <x v="21"/>
    <x v="1"/>
    <x v="14"/>
    <x v="16"/>
    <x v="12"/>
    <x v="1"/>
    <x v="1"/>
    <x v="21"/>
    <x v="4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5"/>
    <x v="3"/>
    <x v="22"/>
    <x v="22"/>
    <x v="22"/>
    <x v="22"/>
    <x v="22"/>
    <x v="22"/>
    <x v="17"/>
    <x v="22"/>
    <x v="22"/>
    <x v="22"/>
    <x v="12"/>
    <x v="4"/>
    <x v="4"/>
    <x v="4"/>
    <x v="10"/>
    <x v="8"/>
    <x v="22"/>
    <x v="5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1"/>
    <x v="5"/>
    <x v="5"/>
    <x v="23"/>
    <x v="23"/>
    <x v="23"/>
    <x v="23"/>
    <x v="23"/>
    <x v="23"/>
    <x v="18"/>
    <x v="23"/>
    <x v="23"/>
    <x v="23"/>
    <x v="13"/>
    <x v="4"/>
    <x v="4"/>
    <x v="4"/>
    <x v="11"/>
    <x v="9"/>
    <x v="23"/>
    <x v="5"/>
    <x v="1"/>
    <x v="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5"/>
    <x v="1"/>
    <x v="1"/>
    <x v="4"/>
    <x v="1"/>
    <x v="1"/>
    <x v="1"/>
    <x v="1"/>
    <x v="1"/>
    <x v="1"/>
    <x v="1"/>
    <x v="1"/>
    <x v="1"/>
    <x v="1"/>
    <x v="1"/>
    <x v="1"/>
    <x v="1"/>
    <x v="1"/>
    <x v="1"/>
    <x v="1"/>
    <x v="1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2"/>
    <x v="4"/>
    <x v="9"/>
    <x v="9"/>
    <x v="9"/>
    <x v="9"/>
    <x v="9"/>
    <x v="9"/>
    <x v="9"/>
    <x v="9"/>
    <x v="9"/>
    <x v="9"/>
    <x v="1"/>
    <x v="7"/>
    <x v="8"/>
    <x v="6"/>
    <x v="1"/>
    <x v="1"/>
    <x v="9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2"/>
    <x v="2"/>
    <x v="10"/>
    <x v="10"/>
    <x v="10"/>
    <x v="10"/>
    <x v="10"/>
    <x v="10"/>
    <x v="2"/>
    <x v="10"/>
    <x v="10"/>
    <x v="10"/>
    <x v="1"/>
    <x v="8"/>
    <x v="9"/>
    <x v="7"/>
    <x v="1"/>
    <x v="1"/>
    <x v="10"/>
    <x v="6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2"/>
    <x v="3"/>
    <x v="11"/>
    <x v="11"/>
    <x v="11"/>
    <x v="11"/>
    <x v="11"/>
    <x v="11"/>
    <x v="3"/>
    <x v="11"/>
    <x v="11"/>
    <x v="11"/>
    <x v="1"/>
    <x v="9"/>
    <x v="10"/>
    <x v="8"/>
    <x v="1"/>
    <x v="1"/>
    <x v="11"/>
    <x v="7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3"/>
    <x v="4"/>
    <x v="13"/>
    <x v="13"/>
    <x v="13"/>
    <x v="13"/>
    <x v="13"/>
    <x v="13"/>
    <x v="11"/>
    <x v="13"/>
    <x v="13"/>
    <x v="13"/>
    <x v="7"/>
    <x v="4"/>
    <x v="4"/>
    <x v="4"/>
    <x v="6"/>
    <x v="5"/>
    <x v="13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3"/>
    <x v="2"/>
    <x v="14"/>
    <x v="14"/>
    <x v="14"/>
    <x v="14"/>
    <x v="14"/>
    <x v="14"/>
    <x v="4"/>
    <x v="14"/>
    <x v="14"/>
    <x v="14"/>
    <x v="1"/>
    <x v="10"/>
    <x v="11"/>
    <x v="9"/>
    <x v="1"/>
    <x v="1"/>
    <x v="14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3"/>
    <x v="3"/>
    <x v="15"/>
    <x v="15"/>
    <x v="15"/>
    <x v="15"/>
    <x v="15"/>
    <x v="15"/>
    <x v="5"/>
    <x v="15"/>
    <x v="15"/>
    <x v="15"/>
    <x v="8"/>
    <x v="4"/>
    <x v="12"/>
    <x v="4"/>
    <x v="7"/>
    <x v="1"/>
    <x v="15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1"/>
    <x v="3"/>
    <x v="5"/>
    <x v="12"/>
    <x v="12"/>
    <x v="12"/>
    <x v="12"/>
    <x v="12"/>
    <x v="12"/>
    <x v="12"/>
    <x v="12"/>
    <x v="12"/>
    <x v="12"/>
    <x v="6"/>
    <x v="4"/>
    <x v="4"/>
    <x v="4"/>
    <x v="5"/>
    <x v="4"/>
    <x v="12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1"/>
    <x v="4"/>
    <x v="16"/>
    <x v="16"/>
    <x v="16"/>
    <x v="16"/>
    <x v="16"/>
    <x v="16"/>
    <x v="13"/>
    <x v="16"/>
    <x v="16"/>
    <x v="16"/>
    <x v="1"/>
    <x v="11"/>
    <x v="13"/>
    <x v="10"/>
    <x v="1"/>
    <x v="1"/>
    <x v="16"/>
    <x v="3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1"/>
    <x v="3"/>
    <x v="17"/>
    <x v="17"/>
    <x v="17"/>
    <x v="17"/>
    <x v="17"/>
    <x v="17"/>
    <x v="7"/>
    <x v="17"/>
    <x v="17"/>
    <x v="17"/>
    <x v="1"/>
    <x v="12"/>
    <x v="14"/>
    <x v="11"/>
    <x v="1"/>
    <x v="1"/>
    <x v="17"/>
    <x v="3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1"/>
    <x v="1"/>
    <x v="5"/>
    <x v="18"/>
    <x v="18"/>
    <x v="18"/>
    <x v="18"/>
    <x v="18"/>
    <x v="18"/>
    <x v="14"/>
    <x v="18"/>
    <x v="18"/>
    <x v="18"/>
    <x v="9"/>
    <x v="4"/>
    <x v="4"/>
    <x v="4"/>
    <x v="8"/>
    <x v="6"/>
    <x v="18"/>
    <x v="3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4"/>
    <x v="4"/>
    <x v="19"/>
    <x v="19"/>
    <x v="19"/>
    <x v="19"/>
    <x v="19"/>
    <x v="19"/>
    <x v="15"/>
    <x v="19"/>
    <x v="19"/>
    <x v="19"/>
    <x v="10"/>
    <x v="4"/>
    <x v="4"/>
    <x v="4"/>
    <x v="9"/>
    <x v="7"/>
    <x v="19"/>
    <x v="4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4"/>
    <x v="2"/>
    <x v="20"/>
    <x v="24"/>
    <x v="20"/>
    <x v="20"/>
    <x v="20"/>
    <x v="20"/>
    <x v="16"/>
    <x v="20"/>
    <x v="24"/>
    <x v="24"/>
    <x v="1"/>
    <x v="13"/>
    <x v="15"/>
    <x v="4"/>
    <x v="1"/>
    <x v="1"/>
    <x v="24"/>
    <x v="4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4"/>
    <x v="3"/>
    <x v="21"/>
    <x v="21"/>
    <x v="21"/>
    <x v="21"/>
    <x v="21"/>
    <x v="21"/>
    <x v="8"/>
    <x v="21"/>
    <x v="21"/>
    <x v="21"/>
    <x v="1"/>
    <x v="14"/>
    <x v="16"/>
    <x v="12"/>
    <x v="1"/>
    <x v="1"/>
    <x v="21"/>
    <x v="4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3"/>
    <x v="1"/>
    <x v="5"/>
    <x v="4"/>
    <x v="24"/>
    <x v="25"/>
    <x v="24"/>
    <x v="24"/>
    <x v="24"/>
    <x v="24"/>
    <x v="19"/>
    <x v="24"/>
    <x v="25"/>
    <x v="24"/>
    <x v="14"/>
    <x v="4"/>
    <x v="4"/>
    <x v="4"/>
    <x v="12"/>
    <x v="1"/>
    <x v="25"/>
    <x v="5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2"/>
    <x v="1"/>
    <x v="5"/>
    <x v="3"/>
    <x v="22"/>
    <x v="22"/>
    <x v="22"/>
    <x v="22"/>
    <x v="22"/>
    <x v="22"/>
    <x v="17"/>
    <x v="22"/>
    <x v="22"/>
    <x v="22"/>
    <x v="12"/>
    <x v="4"/>
    <x v="4"/>
    <x v="4"/>
    <x v="10"/>
    <x v="8"/>
    <x v="22"/>
    <x v="5"/>
    <x v="2"/>
    <x v="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4"/>
    <x v="1"/>
    <x v="5"/>
    <x v="5"/>
    <x v="23"/>
    <x v="23"/>
    <x v="23"/>
    <x v="23"/>
    <x v="23"/>
    <x v="23"/>
    <x v="18"/>
    <x v="23"/>
    <x v="23"/>
    <x v="23"/>
    <x v="13"/>
    <x v="4"/>
    <x v="4"/>
    <x v="4"/>
    <x v="11"/>
    <x v="9"/>
    <x v="23"/>
    <x v="5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  <x v="0"/>
  </r>
  <r>
    <x v="1"/>
    <x v="1"/>
    <x v="1"/>
    <x v="0"/>
    <x v="0"/>
    <x v="0"/>
  </r>
  <r>
    <x v="1"/>
    <x v="2"/>
    <x v="2"/>
    <x v="0"/>
    <x v="0"/>
    <x v="0"/>
  </r>
  <r>
    <x v="2"/>
    <x v="3"/>
    <x v="3"/>
    <x v="0"/>
    <x v="0"/>
    <x v="0"/>
  </r>
  <r>
    <x v="2"/>
    <x v="4"/>
    <x v="4"/>
    <x v="0"/>
    <x v="0"/>
    <x v="0"/>
  </r>
  <r>
    <x v="0"/>
    <x v="5"/>
    <x v="0"/>
    <x v="1"/>
    <x v="1"/>
    <x v="1"/>
  </r>
  <r>
    <x v="1"/>
    <x v="6"/>
    <x v="1"/>
    <x v="1"/>
    <x v="1"/>
    <x v="1"/>
  </r>
  <r>
    <x v="1"/>
    <x v="7"/>
    <x v="2"/>
    <x v="1"/>
    <x v="1"/>
    <x v="1"/>
  </r>
  <r>
    <x v="2"/>
    <x v="8"/>
    <x v="3"/>
    <x v="1"/>
    <x v="1"/>
    <x v="1"/>
  </r>
  <r>
    <x v="2"/>
    <x v="9"/>
    <x v="4"/>
    <x v="1"/>
    <x v="1"/>
    <x v="1"/>
  </r>
  <r>
    <x v="0"/>
    <x v="10"/>
    <x v="0"/>
    <x v="2"/>
    <x v="2"/>
    <x v="2"/>
  </r>
  <r>
    <x v="1"/>
    <x v="11"/>
    <x v="1"/>
    <x v="2"/>
    <x v="2"/>
    <x v="2"/>
  </r>
  <r>
    <x v="1"/>
    <x v="12"/>
    <x v="2"/>
    <x v="2"/>
    <x v="2"/>
    <x v="2"/>
  </r>
  <r>
    <x v="2"/>
    <x v="13"/>
    <x v="3"/>
    <x v="2"/>
    <x v="2"/>
    <x v="2"/>
  </r>
  <r>
    <x v="2"/>
    <x v="14"/>
    <x v="4"/>
    <x v="2"/>
    <x v="2"/>
    <x v="2"/>
  </r>
  <r>
    <x v="3"/>
    <x v="15"/>
    <x v="5"/>
    <x v="2"/>
    <x v="2"/>
    <x v="2"/>
  </r>
  <r>
    <x v="0"/>
    <x v="16"/>
    <x v="0"/>
    <x v="3"/>
    <x v="3"/>
    <x v="3"/>
  </r>
  <r>
    <x v="1"/>
    <x v="17"/>
    <x v="1"/>
    <x v="3"/>
    <x v="3"/>
    <x v="3"/>
  </r>
  <r>
    <x v="1"/>
    <x v="18"/>
    <x v="2"/>
    <x v="3"/>
    <x v="3"/>
    <x v="3"/>
  </r>
  <r>
    <x v="2"/>
    <x v="19"/>
    <x v="3"/>
    <x v="3"/>
    <x v="3"/>
    <x v="3"/>
  </r>
  <r>
    <x v="2"/>
    <x v="20"/>
    <x v="4"/>
    <x v="3"/>
    <x v="3"/>
    <x v="3"/>
  </r>
  <r>
    <x v="3"/>
    <x v="21"/>
    <x v="5"/>
    <x v="3"/>
    <x v="3"/>
    <x v="3"/>
  </r>
  <r>
    <x v="0"/>
    <x v="22"/>
    <x v="0"/>
    <x v="4"/>
    <x v="4"/>
    <x v="4"/>
  </r>
  <r>
    <x v="1"/>
    <x v="23"/>
    <x v="1"/>
    <x v="4"/>
    <x v="4"/>
    <x v="4"/>
  </r>
  <r>
    <x v="1"/>
    <x v="24"/>
    <x v="2"/>
    <x v="4"/>
    <x v="4"/>
    <x v="4"/>
  </r>
  <r>
    <x v="2"/>
    <x v="25"/>
    <x v="3"/>
    <x v="4"/>
    <x v="4"/>
    <x v="4"/>
  </r>
  <r>
    <x v="2"/>
    <x v="26"/>
    <x v="4"/>
    <x v="4"/>
    <x v="4"/>
    <x v="4"/>
  </r>
  <r>
    <x v="3"/>
    <x v="27"/>
    <x v="5"/>
    <x v="4"/>
    <x v="4"/>
    <x v="4"/>
  </r>
  <r>
    <x v="0"/>
    <x v="28"/>
    <x v="0"/>
    <x v="5"/>
    <x v="5"/>
    <x v="5"/>
  </r>
  <r>
    <x v="1"/>
    <x v="29"/>
    <x v="1"/>
    <x v="5"/>
    <x v="5"/>
    <x v="5"/>
  </r>
  <r>
    <x v="1"/>
    <x v="30"/>
    <x v="2"/>
    <x v="5"/>
    <x v="5"/>
    <x v="5"/>
  </r>
  <r>
    <x v="2"/>
    <x v="31"/>
    <x v="3"/>
    <x v="5"/>
    <x v="5"/>
    <x v="5"/>
  </r>
  <r>
    <x v="2"/>
    <x v="32"/>
    <x v="4"/>
    <x v="5"/>
    <x v="5"/>
    <x v="5"/>
  </r>
  <r>
    <x v="3"/>
    <x v="33"/>
    <x v="5"/>
    <x v="5"/>
    <x v="5"/>
    <x v="5"/>
  </r>
  <r>
    <x v="0"/>
    <x v="34"/>
    <x v="0"/>
    <x v="6"/>
    <x v="6"/>
    <x v="6"/>
  </r>
  <r>
    <x v="1"/>
    <x v="35"/>
    <x v="1"/>
    <x v="6"/>
    <x v="6"/>
    <x v="6"/>
  </r>
  <r>
    <x v="1"/>
    <x v="36"/>
    <x v="2"/>
    <x v="6"/>
    <x v="6"/>
    <x v="6"/>
  </r>
  <r>
    <x v="2"/>
    <x v="37"/>
    <x v="3"/>
    <x v="6"/>
    <x v="6"/>
    <x v="6"/>
  </r>
  <r>
    <x v="2"/>
    <x v="38"/>
    <x v="4"/>
    <x v="6"/>
    <x v="6"/>
    <x v="6"/>
  </r>
  <r>
    <x v="3"/>
    <x v="39"/>
    <x v="5"/>
    <x v="6"/>
    <x v="6"/>
    <x v="6"/>
  </r>
  <r>
    <x v="0"/>
    <x v="40"/>
    <x v="0"/>
    <x v="7"/>
    <x v="7"/>
    <x v="7"/>
  </r>
  <r>
    <x v="1"/>
    <x v="41"/>
    <x v="1"/>
    <x v="7"/>
    <x v="7"/>
    <x v="7"/>
  </r>
  <r>
    <x v="1"/>
    <x v="42"/>
    <x v="2"/>
    <x v="7"/>
    <x v="7"/>
    <x v="7"/>
  </r>
  <r>
    <x v="2"/>
    <x v="43"/>
    <x v="3"/>
    <x v="7"/>
    <x v="7"/>
    <x v="7"/>
  </r>
  <r>
    <x v="2"/>
    <x v="44"/>
    <x v="4"/>
    <x v="7"/>
    <x v="7"/>
    <x v="7"/>
  </r>
  <r>
    <x v="3"/>
    <x v="45"/>
    <x v="5"/>
    <x v="7"/>
    <x v="7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s v="AUGUST"/>
    <n v="2021"/>
    <s v="Energy"/>
    <x v="0"/>
    <x v="0"/>
    <n v="5411.65"/>
    <n v="1082.33"/>
    <n v="120.26"/>
    <n v="3006.47"/>
    <x v="0"/>
    <n v="6493.98"/>
    <x v="0"/>
    <x v="0"/>
    <x v="0"/>
    <x v="0"/>
    <x v="0"/>
    <x v="0"/>
    <x v="0"/>
    <x v="0"/>
    <x v="0"/>
    <x v="0"/>
    <x v="0"/>
  </r>
  <r>
    <x v="1"/>
    <s v="AUGUST"/>
    <n v="2021"/>
    <s v="Property"/>
    <x v="1"/>
    <x v="1"/>
    <n v="4.46"/>
    <n v="2.36"/>
    <n v="0"/>
    <n v="19.43"/>
    <x v="1"/>
    <n v="6.82"/>
    <x v="1"/>
    <x v="1"/>
    <x v="0"/>
    <x v="1"/>
    <x v="1"/>
    <x v="1"/>
    <x v="0"/>
    <x v="0"/>
    <x v="1"/>
    <x v="0"/>
    <x v="0"/>
  </r>
  <r>
    <x v="1"/>
    <s v="AUGUST"/>
    <n v="2021"/>
    <s v="Power"/>
    <x v="2"/>
    <x v="2"/>
    <n v="31.89"/>
    <n v="15.07"/>
    <n v="4.0499999999999989"/>
    <n v="116.47999999999996"/>
    <x v="2"/>
    <n v="46.96"/>
    <x v="2"/>
    <x v="2"/>
    <x v="0"/>
    <x v="2"/>
    <x v="2"/>
    <x v="2"/>
    <x v="0"/>
    <x v="0"/>
    <x v="2"/>
    <x v="0"/>
    <x v="0"/>
  </r>
  <r>
    <x v="2"/>
    <s v="AUGUST"/>
    <n v="2021"/>
    <s v="Terrorismo"/>
    <x v="3"/>
    <x v="3"/>
    <n v="197.27"/>
    <n v="98.64"/>
    <n v="24.66"/>
    <n v="665.80000000000007"/>
    <x v="3"/>
    <n v="295.91000000000003"/>
    <x v="3"/>
    <x v="3"/>
    <x v="0"/>
    <x v="3"/>
    <x v="3"/>
    <x v="3"/>
    <x v="0"/>
    <x v="0"/>
    <x v="3"/>
    <x v="0"/>
    <x v="0"/>
  </r>
  <r>
    <x v="1"/>
    <s v="AUGUST"/>
    <n v="2022"/>
    <s v="Property"/>
    <x v="4"/>
    <x v="4"/>
    <n v="1686.73"/>
    <n v="733.70999999999992"/>
    <n v="77.27"/>
    <n v="4644.170000000001"/>
    <x v="4"/>
    <n v="2420.44"/>
    <x v="4"/>
    <x v="4"/>
    <x v="0"/>
    <x v="4"/>
    <x v="4"/>
    <x v="4"/>
    <x v="0"/>
    <x v="0"/>
    <x v="4"/>
    <x v="1"/>
    <x v="0"/>
  </r>
  <r>
    <x v="1"/>
    <s v="AUGUST"/>
    <n v="2022"/>
    <s v="Power"/>
    <x v="5"/>
    <x v="5"/>
    <n v="1148.42"/>
    <n v="516.79"/>
    <n v="143.55000000000001"/>
    <n v="3933.3599999999997"/>
    <x v="5"/>
    <n v="1665.21"/>
    <x v="5"/>
    <x v="5"/>
    <x v="0"/>
    <x v="5"/>
    <x v="5"/>
    <x v="5"/>
    <x v="0"/>
    <x v="0"/>
    <x v="5"/>
    <x v="1"/>
    <x v="0"/>
  </r>
  <r>
    <x v="3"/>
    <s v="AUGUST"/>
    <n v="2022"/>
    <s v="Construction"/>
    <x v="6"/>
    <x v="6"/>
    <n v="48.65"/>
    <n v="23.05"/>
    <n v="2.56"/>
    <n v="130.58000000000001"/>
    <x v="6"/>
    <n v="71.7"/>
    <x v="6"/>
    <x v="6"/>
    <x v="0"/>
    <x v="6"/>
    <x v="6"/>
    <x v="6"/>
    <x v="0"/>
    <x v="0"/>
    <x v="6"/>
    <x v="1"/>
    <x v="0"/>
  </r>
  <r>
    <x v="3"/>
    <s v="AUGUST"/>
    <n v="2022"/>
    <s v="Construction"/>
    <x v="7"/>
    <x v="7"/>
    <n v="2795.55"/>
    <n v="1048.33"/>
    <n v="329.4"/>
    <n v="9804.4599999999991"/>
    <x v="6"/>
    <n v="3843.88"/>
    <x v="7"/>
    <x v="7"/>
    <x v="0"/>
    <x v="7"/>
    <x v="7"/>
    <x v="7"/>
    <x v="0"/>
    <x v="0"/>
    <x v="7"/>
    <x v="1"/>
    <x v="0"/>
  </r>
  <r>
    <x v="0"/>
    <s v="AUGUST"/>
    <n v="2023"/>
    <s v="Energy"/>
    <x v="8"/>
    <x v="8"/>
    <n v="28358.380000000005"/>
    <n v="6932.87"/>
    <n v="2570.6999999999998"/>
    <n v="39169.93"/>
    <x v="7"/>
    <n v="35291.250000000007"/>
    <x v="8"/>
    <x v="8"/>
    <x v="0"/>
    <x v="8"/>
    <x v="8"/>
    <x v="8"/>
    <x v="0"/>
    <x v="0"/>
    <x v="8"/>
    <x v="2"/>
    <x v="0"/>
  </r>
  <r>
    <x v="1"/>
    <s v="AUGUST"/>
    <n v="2023"/>
    <s v="Property"/>
    <x v="9"/>
    <x v="9"/>
    <n v="40142.320000000007"/>
    <n v="19941.09"/>
    <n v="2526.7100000000005"/>
    <n v="152475.82"/>
    <x v="8"/>
    <n v="60083.41"/>
    <x v="9"/>
    <x v="9"/>
    <x v="0"/>
    <x v="9"/>
    <x v="9"/>
    <x v="9"/>
    <x v="0"/>
    <x v="0"/>
    <x v="9"/>
    <x v="2"/>
    <x v="0"/>
  </r>
  <r>
    <x v="1"/>
    <s v="AUGUST"/>
    <n v="2023"/>
    <s v="Power"/>
    <x v="10"/>
    <x v="10"/>
    <n v="5.86"/>
    <n v="2.6399999999999864"/>
    <n v="-116.24000000000001"/>
    <n v="137.02000000000044"/>
    <x v="9"/>
    <n v="8.4999999999999858"/>
    <x v="10"/>
    <x v="10"/>
    <x v="0"/>
    <x v="10"/>
    <x v="1"/>
    <x v="10"/>
    <x v="0"/>
    <x v="1"/>
    <x v="10"/>
    <x v="2"/>
    <x v="0"/>
  </r>
  <r>
    <x v="3"/>
    <s v="AUGUST"/>
    <n v="2023"/>
    <s v="Construction"/>
    <x v="11"/>
    <x v="11"/>
    <n v="1378.86"/>
    <n v="517.07000000000005"/>
    <n v="0"/>
    <n v="4998.3900000000003"/>
    <x v="10"/>
    <n v="1895.9299999999998"/>
    <x v="11"/>
    <x v="1"/>
    <x v="0"/>
    <x v="11"/>
    <x v="1"/>
    <x v="11"/>
    <x v="0"/>
    <x v="0"/>
    <x v="11"/>
    <x v="2"/>
    <x v="0"/>
  </r>
  <r>
    <x v="1"/>
    <s v="AUGUST"/>
    <n v="2020"/>
    <s v="Property"/>
    <x v="12"/>
    <x v="12"/>
    <n v="10.11"/>
    <n v="6.74"/>
    <n v="2.36"/>
    <n v="48.18"/>
    <x v="11"/>
    <n v="16.850000000000001"/>
    <x v="12"/>
    <x v="11"/>
    <x v="0"/>
    <x v="12"/>
    <x v="10"/>
    <x v="12"/>
    <x v="0"/>
    <x v="0"/>
    <x v="12"/>
    <x v="3"/>
    <x v="0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  <r>
    <x v="4"/>
    <m/>
    <m/>
    <m/>
    <x v="13"/>
    <x v="13"/>
    <m/>
    <m/>
    <m/>
    <m/>
    <x v="12"/>
    <m/>
    <x v="13"/>
    <x v="12"/>
    <x v="1"/>
    <x v="13"/>
    <x v="11"/>
    <x v="13"/>
    <x v="1"/>
    <x v="2"/>
    <x v="13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015E8-82A2-47F7-AE3F-0A8552C9484F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multipleFieldFilters="0">
  <location ref="I1:M2" firstHeaderRow="1" firstDataRow="1" firstDataCol="5"/>
  <pivotFields count="8">
    <pivotField axis="axisRow" compact="0" outline="0" showAll="0" defaultSubtotal="0">
      <items count="4">
        <item x="1"/>
        <item x="2"/>
        <item x="0"/>
        <item x="3"/>
      </items>
    </pivotField>
    <pivotField axis="axisRow" compact="0" outline="0" showAll="0" defaultSubtotal="0">
      <items count="46">
        <item x="0"/>
        <item x="5"/>
        <item x="10"/>
        <item x="16"/>
        <item x="22"/>
        <item x="28"/>
        <item x="34"/>
        <item x="40"/>
        <item x="1"/>
        <item x="6"/>
        <item x="11"/>
        <item x="17"/>
        <item x="23"/>
        <item x="29"/>
        <item x="35"/>
        <item x="41"/>
        <item x="2"/>
        <item x="7"/>
        <item x="12"/>
        <item x="18"/>
        <item x="24"/>
        <item x="30"/>
        <item x="36"/>
        <item x="42"/>
        <item x="3"/>
        <item x="8"/>
        <item x="13"/>
        <item x="19"/>
        <item x="25"/>
        <item x="31"/>
        <item x="37"/>
        <item x="43"/>
        <item x="4"/>
        <item x="9"/>
        <item x="14"/>
        <item x="20"/>
        <item x="26"/>
        <item x="32"/>
        <item x="38"/>
        <item x="44"/>
        <item x="15"/>
        <item x="21"/>
        <item x="27"/>
        <item x="33"/>
        <item x="39"/>
        <item x="45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numFmtId="14" outline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howAll="0" defaultSubtotal="0">
      <items count="1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</items>
    </pivotField>
  </pivotFields>
  <rowFields count="5">
    <field x="5"/>
    <field x="1"/>
    <field x="2"/>
    <field x="0"/>
    <field x="4"/>
  </rowFields>
  <rowItems count="1">
    <i>
      <x v="1"/>
      <x v="33"/>
      <x v="4"/>
      <x v="1"/>
      <x v="1"/>
    </i>
  </rowItems>
  <colItems count="1">
    <i/>
  </colItems>
  <formats count="1">
    <format dxfId="98">
      <pivotArea field="4" type="button" dataOnly="0" labelOnly="1" outline="0" axis="axisRow" fieldPosition="4"/>
    </format>
  </formats>
  <pivotTableStyleInfo name="PivotStyleLight16" showRowHeaders="1" showColHeaders="1" showRowStripes="0" showColStripes="0" showLastColumn="1"/>
  <filters count="3">
    <filter fld="2" type="captionContains" evalOrder="-1" id="4932" stringValue1="Property">
      <autoFilter ref="A1">
        <filterColumn colId="0">
          <customFilters>
            <customFilter val="*Property*"/>
          </customFilters>
        </filterColumn>
      </autoFilter>
    </filter>
    <filter fld="5" type="captionContains" evalOrder="-1" id="4931" stringValue1="2020">
      <autoFilter ref="A1">
        <filterColumn colId="0">
          <customFilters>
            <customFilter val="*2020*"/>
          </customFilters>
        </filterColumn>
      </autoFilter>
    </filter>
    <filter fld="0" type="captionContains" evalOrder="-1" id="4930" stringValue1="Section C">
      <autoFilter ref="A1">
        <filterColumn colId="0">
          <customFilters>
            <customFilter val="*Section 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0634B6-456D-4AB9-9BF5-68EA80FC6618}" name="PivotTable2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O1:AC3" firstHeaderRow="1" firstDataRow="1" firstDataCol="15"/>
  <pivotFields count="23">
    <pivotField axis="axisRow" compact="0" outline="0" subtotalTop="0" showAll="0" defaultSubtotal="0">
      <items count="7">
        <item x="1"/>
        <item x="4"/>
        <item x="0"/>
        <item x="3"/>
        <item m="1" x="6"/>
        <item m="1" x="5"/>
        <item x="2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59">
        <item m="1" x="57"/>
        <item m="1" x="37"/>
        <item x="13"/>
        <item m="1" x="30"/>
        <item m="1" x="45"/>
        <item m="1" x="53"/>
        <item m="1" x="54"/>
        <item m="1" x="39"/>
        <item m="1" x="33"/>
        <item m="1" x="55"/>
        <item x="3"/>
        <item m="1" x="52"/>
        <item m="1" x="48"/>
        <item m="1" x="47"/>
        <item m="1" x="41"/>
        <item m="1" x="43"/>
        <item m="1" x="20"/>
        <item m="1" x="38"/>
        <item m="1" x="46"/>
        <item m="1" x="40"/>
        <item m="1" x="34"/>
        <item m="1" x="42"/>
        <item m="1" x="44"/>
        <item m="1" x="49"/>
        <item m="1" x="51"/>
        <item m="1" x="50"/>
        <item m="1" x="58"/>
        <item m="1" x="36"/>
        <item m="1" x="31"/>
        <item m="1" x="56"/>
        <item m="1" x="32"/>
        <item m="1" x="35"/>
        <item m="1" x="22"/>
        <item m="1" x="23"/>
        <item m="1" x="24"/>
        <item m="1" x="25"/>
        <item m="1" x="26"/>
        <item m="1" x="27"/>
        <item x="8"/>
        <item m="1" x="28"/>
        <item m="1" x="19"/>
        <item m="1" x="29"/>
        <item m="1" x="14"/>
        <item m="1" x="15"/>
        <item m="1" x="16"/>
        <item m="1" x="17"/>
        <item m="1" x="18"/>
        <item m="1" x="21"/>
        <item x="0"/>
        <item x="1"/>
        <item x="2"/>
        <item x="4"/>
        <item x="5"/>
        <item x="6"/>
        <item x="7"/>
        <item x="9"/>
        <item x="10"/>
        <item x="11"/>
        <item x="12"/>
      </items>
    </pivotField>
    <pivotField axis="axisRow" compact="0" outline="0" subtotalTop="0" showAll="0" defaultSubtotal="0">
      <items count="66">
        <item m="1" x="37"/>
        <item m="1" x="61"/>
        <item x="13"/>
        <item m="1" x="33"/>
        <item m="1" x="45"/>
        <item m="1" x="46"/>
        <item m="1" x="62"/>
        <item m="1" x="39"/>
        <item m="1" x="36"/>
        <item m="1" x="56"/>
        <item m="1" x="48"/>
        <item m="1" x="49"/>
        <item m="1" x="58"/>
        <item m="1" x="60"/>
        <item m="1" x="53"/>
        <item m="1" x="44"/>
        <item m="1" x="54"/>
        <item m="1" x="51"/>
        <item m="1" x="65"/>
        <item m="1" x="40"/>
        <item m="1" x="59"/>
        <item m="1" x="63"/>
        <item m="1" x="42"/>
        <item m="1" x="41"/>
        <item m="1" x="38"/>
        <item m="1" x="50"/>
        <item m="1" x="55"/>
        <item m="1" x="43"/>
        <item m="1" x="52"/>
        <item m="1" x="47"/>
        <item m="1" x="34"/>
        <item m="1" x="57"/>
        <item m="1" x="35"/>
        <item m="1" x="64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22">
        <item x="12"/>
        <item x="8"/>
        <item x="9"/>
        <item m="1" x="17"/>
        <item m="1" x="16"/>
        <item x="4"/>
        <item x="5"/>
        <item x="11"/>
        <item m="1" x="14"/>
        <item x="0"/>
        <item m="1" x="18"/>
        <item m="1" x="15"/>
        <item m="1" x="21"/>
        <item x="1"/>
        <item m="1" x="13"/>
        <item x="6"/>
        <item x="10"/>
        <item m="1" x="20"/>
        <item x="7"/>
        <item x="2"/>
        <item m="1" x="19"/>
        <item x="3"/>
      </items>
    </pivotField>
    <pivotField compact="0" outline="0" subtotalTop="0" showAll="0" defaultSubtotal="0"/>
    <pivotField axis="axisRow" compact="0" outline="0" subtotalTop="0" showAll="0" defaultSubtotal="0">
      <items count="66">
        <item m="1" x="48"/>
        <item x="13"/>
        <item m="1" x="33"/>
        <item m="1" x="53"/>
        <item m="1" x="54"/>
        <item m="1" x="42"/>
        <item m="1" x="65"/>
        <item m="1" x="50"/>
        <item m="1" x="46"/>
        <item m="1" x="59"/>
        <item m="1" x="58"/>
        <item m="1" x="56"/>
        <item m="1" x="41"/>
        <item m="1" x="62"/>
        <item m="1" x="57"/>
        <item m="1" x="45"/>
        <item m="1" x="55"/>
        <item m="1" x="36"/>
        <item m="1" x="37"/>
        <item m="1" x="51"/>
        <item m="1" x="39"/>
        <item m="1" x="63"/>
        <item m="1" x="47"/>
        <item m="1" x="34"/>
        <item m="1" x="60"/>
        <item m="1" x="40"/>
        <item m="1" x="43"/>
        <item m="1" x="44"/>
        <item m="1" x="49"/>
        <item m="1" x="52"/>
        <item m="1" x="64"/>
        <item m="1" x="38"/>
        <item m="1" x="35"/>
        <item m="1" x="61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ubtotalTop="0" showAll="0" defaultSubtotal="0">
      <items count="60">
        <item x="1"/>
        <item m="1" x="42"/>
        <item x="12"/>
        <item m="1" x="32"/>
        <item m="1" x="56"/>
        <item m="1" x="59"/>
        <item m="1" x="35"/>
        <item m="1" x="55"/>
        <item m="1" x="34"/>
        <item m="1" x="43"/>
        <item m="1" x="51"/>
        <item m="1" x="57"/>
        <item m="1" x="54"/>
        <item m="1" x="58"/>
        <item m="1" x="36"/>
        <item m="1" x="46"/>
        <item m="1" x="40"/>
        <item m="1" x="37"/>
        <item m="1" x="52"/>
        <item m="1" x="44"/>
        <item m="1" x="48"/>
        <item m="1" x="50"/>
        <item m="1" x="38"/>
        <item m="1" x="39"/>
        <item m="1" x="45"/>
        <item m="1" x="41"/>
        <item m="1" x="49"/>
        <item m="1" x="53"/>
        <item m="1" x="33"/>
        <item m="1" x="47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ubtotalTop="0" showAll="0" defaultSubtotal="0">
      <items count="22">
        <item x="0"/>
        <item x="1"/>
        <item m="1" x="7"/>
        <item m="1" x="12"/>
        <item m="1" x="18"/>
        <item m="1" x="13"/>
        <item m="1" x="14"/>
        <item m="1" x="19"/>
        <item m="1" x="21"/>
        <item m="1" x="15"/>
        <item m="1" x="16"/>
        <item m="1" x="8"/>
        <item m="1" x="20"/>
        <item m="1" x="10"/>
        <item m="1" x="9"/>
        <item m="1" x="17"/>
        <item m="1" x="11"/>
        <item m="1" x="4"/>
        <item m="1" x="5"/>
        <item m="1" x="6"/>
        <item m="1" x="2"/>
        <item m="1" x="3"/>
      </items>
    </pivotField>
    <pivotField axis="axisRow" compact="0" outline="0" subtotalTop="0" showAll="0" defaultSubtotal="0">
      <items count="49">
        <item m="1" x="33"/>
        <item m="1" x="47"/>
        <item x="13"/>
        <item m="1" x="18"/>
        <item m="1" x="39"/>
        <item m="1" x="44"/>
        <item m="1" x="36"/>
        <item m="1" x="31"/>
        <item m="1" x="48"/>
        <item m="1" x="46"/>
        <item m="1" x="45"/>
        <item m="1" x="43"/>
        <item m="1" x="40"/>
        <item m="1" x="42"/>
        <item m="1" x="32"/>
        <item m="1" x="41"/>
        <item m="1" x="35"/>
        <item m="1" x="34"/>
        <item m="1" x="29"/>
        <item m="1" x="37"/>
        <item m="1" x="30"/>
        <item m="1" x="38"/>
        <item m="1" x="22"/>
        <item m="1" x="23"/>
        <item m="1" x="24"/>
        <item m="1" x="25"/>
        <item m="1" x="26"/>
        <item m="1" x="27"/>
        <item m="1" x="28"/>
        <item m="1" x="14"/>
        <item m="1" x="15"/>
        <item m="1" x="16"/>
        <item m="1" x="17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ubtotalTop="0" showAll="0" defaultSubtotal="0">
      <items count="46">
        <item m="1" x="44"/>
        <item m="1" x="38"/>
        <item x="11"/>
        <item x="1"/>
        <item m="1" x="42"/>
        <item m="1" x="43"/>
        <item m="1" x="36"/>
        <item m="1" x="31"/>
        <item m="1" x="28"/>
        <item m="1" x="40"/>
        <item m="1" x="39"/>
        <item m="1" x="45"/>
        <item m="1" x="29"/>
        <item m="1" x="35"/>
        <item m="1" x="32"/>
        <item m="1" x="33"/>
        <item m="1" x="37"/>
        <item m="1" x="30"/>
        <item m="1" x="41"/>
        <item m="1" x="27"/>
        <item m="1" x="34"/>
        <item m="1" x="20"/>
        <item m="1" x="21"/>
        <item m="1" x="22"/>
        <item m="1" x="23"/>
        <item m="1" x="24"/>
        <item m="1" x="25"/>
        <item m="1" x="26"/>
        <item m="1" x="12"/>
        <item m="1" x="13"/>
        <item m="1" x="14"/>
        <item m="1" x="15"/>
        <item m="1" x="16"/>
        <item m="1" x="17"/>
        <item m="1" x="18"/>
        <item m="1" x="19"/>
        <item x="0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ubtotalTop="0" showAll="0" defaultSubtotal="0">
      <items count="46">
        <item m="1" x="18"/>
        <item m="1" x="41"/>
        <item x="13"/>
        <item m="1" x="35"/>
        <item m="1" x="42"/>
        <item m="1" x="33"/>
        <item m="1" x="31"/>
        <item m="1" x="34"/>
        <item m="1" x="38"/>
        <item m="1" x="45"/>
        <item m="1" x="43"/>
        <item m="1" x="32"/>
        <item m="1" x="37"/>
        <item m="1" x="39"/>
        <item m="1" x="36"/>
        <item m="1" x="29"/>
        <item m="1" x="40"/>
        <item m="1" x="30"/>
        <item m="1" x="44"/>
        <item m="1" x="22"/>
        <item m="1" x="23"/>
        <item m="1" x="24"/>
        <item m="1" x="25"/>
        <item m="1" x="26"/>
        <item m="1" x="27"/>
        <item m="1" x="28"/>
        <item m="1" x="14"/>
        <item m="1" x="15"/>
        <item m="1" x="16"/>
        <item m="1" x="17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ubtotalTop="0" showAll="0" defaultSubtotal="0">
      <items count="20">
        <item x="0"/>
        <item x="1"/>
        <item m="1" x="7"/>
        <item m="1" x="17"/>
        <item m="1" x="14"/>
        <item m="1" x="8"/>
        <item m="1" x="11"/>
        <item m="1" x="15"/>
        <item m="1" x="18"/>
        <item m="1" x="19"/>
        <item m="1" x="12"/>
        <item m="1" x="9"/>
        <item m="1" x="13"/>
        <item m="1" x="16"/>
        <item m="1" x="10"/>
        <item m="1" x="4"/>
        <item m="1" x="5"/>
        <item m="1" x="6"/>
        <item m="1" x="2"/>
        <item m="1" x="3"/>
      </items>
    </pivotField>
    <pivotField axis="axisRow" compact="0" outline="0" subtotalTop="0" showAll="0" defaultSubtotal="0">
      <items count="16">
        <item x="0"/>
        <item x="2"/>
        <item m="1" x="7"/>
        <item m="1" x="8"/>
        <item m="1" x="10"/>
        <item m="1" x="13"/>
        <item m="1" x="14"/>
        <item m="1" x="15"/>
        <item m="1" x="11"/>
        <item m="1" x="12"/>
        <item m="1" x="9"/>
        <item m="1" x="4"/>
        <item m="1" x="5"/>
        <item m="1" x="6"/>
        <item m="1" x="3"/>
        <item x="1"/>
      </items>
    </pivotField>
    <pivotField axis="axisRow" compact="0" outline="0" subtotalTop="0" showAll="0" defaultSubtotal="0">
      <items count="68">
        <item m="1" x="67"/>
        <item x="13"/>
        <item m="1" x="44"/>
        <item m="1" x="33"/>
        <item m="1" x="63"/>
        <item m="1" x="66"/>
        <item m="1" x="39"/>
        <item m="1" x="62"/>
        <item m="1" x="36"/>
        <item m="1" x="46"/>
        <item m="1" x="56"/>
        <item m="1" x="45"/>
        <item m="1" x="57"/>
        <item m="1" x="52"/>
        <item m="1" x="58"/>
        <item m="1" x="49"/>
        <item m="1" x="42"/>
        <item m="1" x="48"/>
        <item m="1" x="61"/>
        <item m="1" x="53"/>
        <item m="1" x="37"/>
        <item m="1" x="40"/>
        <item m="1" x="60"/>
        <item m="1" x="50"/>
        <item m="1" x="55"/>
        <item m="1" x="41"/>
        <item m="1" x="38"/>
        <item m="1" x="47"/>
        <item m="1" x="65"/>
        <item m="1" x="64"/>
        <item m="1" x="43"/>
        <item m="1" x="54"/>
        <item m="1" x="34"/>
        <item m="1" x="51"/>
        <item m="1" x="35"/>
        <item m="1" x="59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ubtotalTop="0" showAll="0" defaultSubtotal="0">
      <items count="13">
        <item x="2"/>
        <item m="1" x="10"/>
        <item m="1" x="4"/>
        <item x="0"/>
        <item x="1"/>
        <item m="1" x="8"/>
        <item x="3"/>
        <item m="1" x="9"/>
        <item m="1" x="12"/>
        <item m="1" x="11"/>
        <item m="1" x="6"/>
        <item m="1" x="7"/>
        <item m="1" x="5"/>
      </items>
    </pivotField>
    <pivotField axis="axisRow" compact="0" outline="0" subtotalTop="0" showAll="0" defaultSubtotal="0">
      <items count="11">
        <item x="1"/>
        <item m="1" x="6"/>
        <item m="1" x="9"/>
        <item m="1" x="5"/>
        <item m="1" x="8"/>
        <item m="1" x="7"/>
        <item m="1" x="10"/>
        <item m="1" x="3"/>
        <item m="1" x="4"/>
        <item m="1" x="2"/>
        <item x="0"/>
      </items>
    </pivotField>
  </pivotFields>
  <rowFields count="15">
    <field x="10"/>
    <field x="0"/>
    <field x="5"/>
    <field x="4"/>
    <field x="13"/>
    <field x="22"/>
    <field x="14"/>
    <field x="15"/>
    <field x="16"/>
    <field x="17"/>
    <field x="18"/>
    <field x="19"/>
    <field x="20"/>
    <field x="21"/>
    <field x="12"/>
  </rowFields>
  <rowItems count="2">
    <i>
      <x v="15"/>
      <x v="3"/>
      <x v="59"/>
      <x v="53"/>
      <x v="54"/>
      <x v="10"/>
      <x/>
      <x v="42"/>
      <x v="41"/>
      <x v="39"/>
      <x/>
      <x/>
      <x v="61"/>
      <x v="4"/>
      <x v="59"/>
    </i>
    <i r="2">
      <x v="60"/>
      <x v="54"/>
      <x v="55"/>
      <x v="10"/>
      <x/>
      <x v="43"/>
      <x v="42"/>
      <x v="40"/>
      <x/>
      <x/>
      <x v="62"/>
      <x v="4"/>
      <x v="60"/>
    </i>
  </rowItems>
  <colItems count="1">
    <i/>
  </colItems>
  <pivotTableStyleInfo name="PivotStyleLight16" showRowHeaders="1" showColHeaders="1" showRowStripes="0" showColStripes="0" showLastColumn="1"/>
  <filters count="1">
    <filter fld="10" type="captionContains" evalOrder="-1" id="829" stringValue1="MRLN19AONBCON-4">
      <autoFilter ref="A1">
        <filterColumn colId="0">
          <customFilters>
            <customFilter val="*MRLN19AONBCON-4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97B4E-94D6-4F76-83BB-382DF3895BCE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1:X1" firstHeaderRow="1" firstDataRow="1" firstDataCol="24"/>
  <pivotFields count="24">
    <pivotField axis="axisRow" compact="0" outline="0" showAll="0" defaultSubtotal="0">
      <items count="6">
        <item x="2"/>
        <item x="0"/>
        <item x="4"/>
        <item x="3"/>
        <item x="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1"/>
        <item x="5"/>
        <item x="4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3"/>
        <item x="2"/>
        <item x="0"/>
        <item m="1" x="6"/>
        <item x="5"/>
        <item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26"/>
        <item m="1" x="27"/>
        <item m="1" x="25"/>
        <item x="22"/>
        <item x="23"/>
        <item x="17"/>
        <item x="10"/>
        <item x="11"/>
        <item x="24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27"/>
        <item x="24"/>
        <item m="1" x="26"/>
        <item x="22"/>
        <item x="23"/>
        <item x="17"/>
        <item x="10"/>
        <item x="11"/>
        <item x="25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25"/>
        <item m="1" x="26"/>
        <item m="1" x="27"/>
        <item x="22"/>
        <item x="23"/>
        <item x="17"/>
        <item x="10"/>
        <item x="11"/>
        <item x="24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">
        <item m="1" x="25"/>
        <item x="20"/>
        <item m="1" x="26"/>
        <item x="22"/>
        <item x="23"/>
        <item x="17"/>
        <item x="10"/>
        <item x="11"/>
        <item x="24"/>
        <item x="13"/>
        <item x="15"/>
        <item x="14"/>
        <item x="0"/>
        <item x="21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26"/>
        <item m="1" x="27"/>
        <item m="1" x="25"/>
        <item x="22"/>
        <item x="23"/>
        <item x="17"/>
        <item x="10"/>
        <item x="11"/>
        <item x="24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25"/>
        <item m="1" x="27"/>
        <item m="1" x="26"/>
        <item x="22"/>
        <item x="23"/>
        <item x="17"/>
        <item x="10"/>
        <item x="11"/>
        <item x="24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3"/>
        <item x="2"/>
        <item x="6"/>
        <item x="0"/>
        <item x="17"/>
        <item m="1" x="21"/>
        <item m="1" x="20"/>
        <item x="8"/>
        <item x="18"/>
        <item x="19"/>
        <item x="11"/>
        <item x="7"/>
        <item x="5"/>
        <item x="4"/>
        <item x="16"/>
        <item x="1"/>
        <item x="9"/>
        <item x="10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27"/>
        <item m="1" x="26"/>
        <item m="1" x="25"/>
        <item x="22"/>
        <item x="23"/>
        <item x="17"/>
        <item x="10"/>
        <item x="11"/>
        <item x="24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26"/>
        <item x="24"/>
        <item m="1" x="27"/>
        <item x="22"/>
        <item x="23"/>
        <item x="17"/>
        <item x="10"/>
        <item x="11"/>
        <item x="25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">
        <item m="1" x="25"/>
        <item x="24"/>
        <item m="1" x="26"/>
        <item x="22"/>
        <item x="23"/>
        <item x="17"/>
        <item x="10"/>
        <item x="11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1"/>
        <item x="12"/>
        <item x="13"/>
        <item x="14"/>
        <item x="7"/>
        <item x="8"/>
        <item x="0"/>
        <item x="11"/>
        <item x="2"/>
        <item x="3"/>
        <item x="4"/>
        <item x="5"/>
        <item x="6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m="1" x="17"/>
        <item m="1" x="16"/>
        <item m="1" x="15"/>
        <item x="4"/>
        <item x="12"/>
        <item x="8"/>
        <item x="9"/>
        <item x="10"/>
        <item x="0"/>
        <item x="14"/>
        <item x="13"/>
        <item x="1"/>
        <item x="2"/>
        <item x="3"/>
        <item x="5"/>
        <item x="6"/>
        <item x="7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4"/>
        <item m="1" x="17"/>
        <item x="14"/>
        <item x="9"/>
        <item x="10"/>
        <item x="12"/>
        <item x="11"/>
        <item x="0"/>
        <item x="16"/>
        <item x="15"/>
        <item x="1"/>
        <item x="2"/>
        <item x="3"/>
        <item x="5"/>
        <item x="6"/>
        <item x="7"/>
        <item x="8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14"/>
        <item x="4"/>
        <item m="1" x="13"/>
        <item x="11"/>
        <item x="7"/>
        <item x="8"/>
        <item x="9"/>
        <item x="0"/>
        <item x="12"/>
        <item x="1"/>
        <item x="2"/>
        <item x="3"/>
        <item x="5"/>
        <item x="6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10"/>
        <item x="11"/>
        <item x="12"/>
        <item x="6"/>
        <item x="7"/>
        <item x="0"/>
        <item x="2"/>
        <item x="3"/>
        <item x="4"/>
        <item x="5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0"/>
        <item m="1" x="11"/>
        <item x="1"/>
        <item x="8"/>
        <item x="9"/>
        <item x="5"/>
        <item x="0"/>
        <item x="2"/>
        <item x="3"/>
        <item x="4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">
        <item m="1" x="26"/>
        <item m="1" x="28"/>
        <item m="1" x="27"/>
        <item x="22"/>
        <item x="23"/>
        <item x="17"/>
        <item x="10"/>
        <item x="11"/>
        <item x="25"/>
        <item x="13"/>
        <item x="15"/>
        <item x="14"/>
        <item x="0"/>
        <item x="21"/>
        <item x="20"/>
        <item x="1"/>
        <item x="2"/>
        <item x="3"/>
        <item x="4"/>
        <item x="5"/>
        <item x="6"/>
        <item x="7"/>
        <item x="8"/>
        <item x="9"/>
        <item x="12"/>
        <item x="16"/>
        <item x="18"/>
        <item x="19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m="1" x="16"/>
        <item m="1" x="15"/>
        <item m="1" x="17"/>
        <item m="1" x="13"/>
        <item m="1" x="10"/>
        <item m="1" x="12"/>
        <item m="1" x="11"/>
        <item m="1" x="14"/>
        <item m="1" x="18"/>
        <item m="1" x="9"/>
        <item m="1" x="20"/>
        <item x="0"/>
        <item m="1" x="19"/>
        <item m="1" x="8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11">
        <item m="1" x="10"/>
        <item m="1" x="6"/>
        <item m="1" x="7"/>
        <item m="1" x="4"/>
        <item m="1" x="9"/>
        <item m="1" x="5"/>
        <item m="1" x="3"/>
        <item x="0"/>
        <item m="1" x="8"/>
        <item x="1"/>
        <item x="2"/>
      </items>
    </pivotField>
    <pivotField axis="axisRow" compact="0" outline="0" showAll="0" defaultSubtotal="0">
      <items count="13">
        <item m="1" x="8"/>
        <item m="1" x="5"/>
        <item m="1" x="10"/>
        <item m="1" x="4"/>
        <item m="1" x="6"/>
        <item m="1" x="12"/>
        <item m="1" x="7"/>
        <item m="1" x="3"/>
        <item m="1" x="11"/>
        <item x="0"/>
        <item m="1" x="9"/>
        <item x="1"/>
        <item x="2"/>
      </items>
    </pivotField>
  </pivotFields>
  <rowFields count="24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  <field x="19"/>
    <field x="20"/>
    <field x="21"/>
    <field x="22"/>
    <field x="23"/>
  </rowFields>
  <colItems count="1">
    <i/>
  </colItems>
  <formats count="72">
    <format dxfId="71">
      <pivotArea field="0" type="button" dataOnly="0" labelOnly="1" outline="0" axis="axisRow" fieldPosition="0"/>
    </format>
    <format dxfId="70">
      <pivotArea field="1" type="button" dataOnly="0" labelOnly="1" outline="0" axis="axisRow" fieldPosition="1"/>
    </format>
    <format dxfId="69">
      <pivotArea field="2" type="button" dataOnly="0" labelOnly="1" outline="0" axis="axisRow" fieldPosition="2"/>
    </format>
    <format dxfId="68">
      <pivotArea field="3" type="button" dataOnly="0" labelOnly="1" outline="0" axis="axisRow" fieldPosition="3"/>
    </format>
    <format dxfId="67">
      <pivotArea field="4" type="button" dataOnly="0" labelOnly="1" outline="0" axis="axisRow" fieldPosition="4"/>
    </format>
    <format dxfId="66">
      <pivotArea field="5" type="button" dataOnly="0" labelOnly="1" outline="0" axis="axisRow" fieldPosition="5"/>
    </format>
    <format dxfId="65">
      <pivotArea field="6" type="button" dataOnly="0" labelOnly="1" outline="0" axis="axisRow" fieldPosition="6"/>
    </format>
    <format dxfId="64">
      <pivotArea field="7" type="button" dataOnly="0" labelOnly="1" outline="0" axis="axisRow" fieldPosition="7"/>
    </format>
    <format dxfId="63">
      <pivotArea field="8" type="button" dataOnly="0" labelOnly="1" outline="0" axis="axisRow" fieldPosition="8"/>
    </format>
    <format dxfId="62">
      <pivotArea field="9" type="button" dataOnly="0" labelOnly="1" outline="0" axis="axisRow" fieldPosition="9"/>
    </format>
    <format dxfId="61">
      <pivotArea field="10" type="button" dataOnly="0" labelOnly="1" outline="0" axis="axisRow" fieldPosition="10"/>
    </format>
    <format dxfId="60">
      <pivotArea field="11" type="button" dataOnly="0" labelOnly="1" outline="0" axis="axisRow" fieldPosition="11"/>
    </format>
    <format dxfId="59">
      <pivotArea field="12" type="button" dataOnly="0" labelOnly="1" outline="0" axis="axisRow" fieldPosition="12"/>
    </format>
    <format dxfId="58">
      <pivotArea field="13" type="button" dataOnly="0" labelOnly="1" outline="0" axis="axisRow" fieldPosition="13"/>
    </format>
    <format dxfId="57">
      <pivotArea field="14" type="button" dataOnly="0" labelOnly="1" outline="0" axis="axisRow" fieldPosition="14"/>
    </format>
    <format dxfId="56">
      <pivotArea field="15" type="button" dataOnly="0" labelOnly="1" outline="0" axis="axisRow" fieldPosition="15"/>
    </format>
    <format dxfId="55">
      <pivotArea field="16" type="button" dataOnly="0" labelOnly="1" outline="0" axis="axisRow" fieldPosition="16"/>
    </format>
    <format dxfId="54">
      <pivotArea field="17" type="button" dataOnly="0" labelOnly="1" outline="0" axis="axisRow" fieldPosition="17"/>
    </format>
    <format dxfId="53">
      <pivotArea field="18" type="button" dataOnly="0" labelOnly="1" outline="0" axis="axisRow" fieldPosition="18"/>
    </format>
    <format dxfId="52">
      <pivotArea field="19" type="button" dataOnly="0" labelOnly="1" outline="0" axis="axisRow" fieldPosition="19"/>
    </format>
    <format dxfId="51">
      <pivotArea field="20" type="button" dataOnly="0" labelOnly="1" outline="0" axis="axisRow" fieldPosition="20"/>
    </format>
    <format dxfId="50">
      <pivotArea field="21" type="button" dataOnly="0" labelOnly="1" outline="0" axis="axisRow" fieldPosition="21"/>
    </format>
    <format dxfId="49">
      <pivotArea field="22" type="button" dataOnly="0" labelOnly="1" outline="0" axis="axisRow" fieldPosition="22"/>
    </format>
    <format dxfId="48">
      <pivotArea field="23" type="button" dataOnly="0" labelOnly="1" outline="0" axis="axisRow" fieldPosition="23"/>
    </format>
    <format dxfId="47">
      <pivotArea field="0" type="button" dataOnly="0" labelOnly="1" outline="0" axis="axisRow" fieldPosition="0"/>
    </format>
    <format dxfId="46">
      <pivotArea field="1" type="button" dataOnly="0" labelOnly="1" outline="0" axis="axisRow" fieldPosition="1"/>
    </format>
    <format dxfId="45">
      <pivotArea field="2" type="button" dataOnly="0" labelOnly="1" outline="0" axis="axisRow" fieldPosition="2"/>
    </format>
    <format dxfId="44">
      <pivotArea field="3" type="button" dataOnly="0" labelOnly="1" outline="0" axis="axisRow" fieldPosition="3"/>
    </format>
    <format dxfId="43">
      <pivotArea field="4" type="button" dataOnly="0" labelOnly="1" outline="0" axis="axisRow" fieldPosition="4"/>
    </format>
    <format dxfId="42">
      <pivotArea field="5" type="button" dataOnly="0" labelOnly="1" outline="0" axis="axisRow" fieldPosition="5"/>
    </format>
    <format dxfId="41">
      <pivotArea field="6" type="button" dataOnly="0" labelOnly="1" outline="0" axis="axisRow" fieldPosition="6"/>
    </format>
    <format dxfId="40">
      <pivotArea field="7" type="button" dataOnly="0" labelOnly="1" outline="0" axis="axisRow" fieldPosition="7"/>
    </format>
    <format dxfId="39">
      <pivotArea field="8" type="button" dataOnly="0" labelOnly="1" outline="0" axis="axisRow" fieldPosition="8"/>
    </format>
    <format dxfId="38">
      <pivotArea field="9" type="button" dataOnly="0" labelOnly="1" outline="0" axis="axisRow" fieldPosition="9"/>
    </format>
    <format dxfId="37">
      <pivotArea field="10" type="button" dataOnly="0" labelOnly="1" outline="0" axis="axisRow" fieldPosition="10"/>
    </format>
    <format dxfId="36">
      <pivotArea field="11" type="button" dataOnly="0" labelOnly="1" outline="0" axis="axisRow" fieldPosition="11"/>
    </format>
    <format dxfId="35">
      <pivotArea field="12" type="button" dataOnly="0" labelOnly="1" outline="0" axis="axisRow" fieldPosition="12"/>
    </format>
    <format dxfId="34">
      <pivotArea field="13" type="button" dataOnly="0" labelOnly="1" outline="0" axis="axisRow" fieldPosition="13"/>
    </format>
    <format dxfId="33">
      <pivotArea field="14" type="button" dataOnly="0" labelOnly="1" outline="0" axis="axisRow" fieldPosition="14"/>
    </format>
    <format dxfId="32">
      <pivotArea field="15" type="button" dataOnly="0" labelOnly="1" outline="0" axis="axisRow" fieldPosition="15"/>
    </format>
    <format dxfId="31">
      <pivotArea field="16" type="button" dataOnly="0" labelOnly="1" outline="0" axis="axisRow" fieldPosition="16"/>
    </format>
    <format dxfId="30">
      <pivotArea field="17" type="button" dataOnly="0" labelOnly="1" outline="0" axis="axisRow" fieldPosition="17"/>
    </format>
    <format dxfId="29">
      <pivotArea field="18" type="button" dataOnly="0" labelOnly="1" outline="0" axis="axisRow" fieldPosition="18"/>
    </format>
    <format dxfId="28">
      <pivotArea field="19" type="button" dataOnly="0" labelOnly="1" outline="0" axis="axisRow" fieldPosition="19"/>
    </format>
    <format dxfId="27">
      <pivotArea field="20" type="button" dataOnly="0" labelOnly="1" outline="0" axis="axisRow" fieldPosition="20"/>
    </format>
    <format dxfId="26">
      <pivotArea field="21" type="button" dataOnly="0" labelOnly="1" outline="0" axis="axisRow" fieldPosition="21"/>
    </format>
    <format dxfId="25">
      <pivotArea field="22" type="button" dataOnly="0" labelOnly="1" outline="0" axis="axisRow" fieldPosition="22"/>
    </format>
    <format dxfId="24">
      <pivotArea field="23" type="button" dataOnly="0" labelOnly="1" outline="0" axis="axisRow" fieldPosition="23"/>
    </format>
    <format dxfId="23">
      <pivotArea field="0" type="button" dataOnly="0" labelOnly="1" outline="0" axis="axisRow" fieldPosition="0"/>
    </format>
    <format dxfId="22">
      <pivotArea field="1" type="button" dataOnly="0" labelOnly="1" outline="0" axis="axisRow" fieldPosition="1"/>
    </format>
    <format dxfId="21">
      <pivotArea field="2" type="button" dataOnly="0" labelOnly="1" outline="0" axis="axisRow" fieldPosition="2"/>
    </format>
    <format dxfId="20">
      <pivotArea field="3" type="button" dataOnly="0" labelOnly="1" outline="0" axis="axisRow" fieldPosition="3"/>
    </format>
    <format dxfId="19">
      <pivotArea field="4" type="button" dataOnly="0" labelOnly="1" outline="0" axis="axisRow" fieldPosition="4"/>
    </format>
    <format dxfId="18">
      <pivotArea field="5" type="button" dataOnly="0" labelOnly="1" outline="0" axis="axisRow" fieldPosition="5"/>
    </format>
    <format dxfId="17">
      <pivotArea field="6" type="button" dataOnly="0" labelOnly="1" outline="0" axis="axisRow" fieldPosition="6"/>
    </format>
    <format dxfId="16">
      <pivotArea field="7" type="button" dataOnly="0" labelOnly="1" outline="0" axis="axisRow" fieldPosition="7"/>
    </format>
    <format dxfId="15">
      <pivotArea field="8" type="button" dataOnly="0" labelOnly="1" outline="0" axis="axisRow" fieldPosition="8"/>
    </format>
    <format dxfId="14">
      <pivotArea field="9" type="button" dataOnly="0" labelOnly="1" outline="0" axis="axisRow" fieldPosition="9"/>
    </format>
    <format dxfId="13">
      <pivotArea field="10" type="button" dataOnly="0" labelOnly="1" outline="0" axis="axisRow" fieldPosition="10"/>
    </format>
    <format dxfId="12">
      <pivotArea field="11" type="button" dataOnly="0" labelOnly="1" outline="0" axis="axisRow" fieldPosition="11"/>
    </format>
    <format dxfId="11">
      <pivotArea field="12" type="button" dataOnly="0" labelOnly="1" outline="0" axis="axisRow" fieldPosition="12"/>
    </format>
    <format dxfId="10">
      <pivotArea field="13" type="button" dataOnly="0" labelOnly="1" outline="0" axis="axisRow" fieldPosition="13"/>
    </format>
    <format dxfId="9">
      <pivotArea field="14" type="button" dataOnly="0" labelOnly="1" outline="0" axis="axisRow" fieldPosition="14"/>
    </format>
    <format dxfId="8">
      <pivotArea field="15" type="button" dataOnly="0" labelOnly="1" outline="0" axis="axisRow" fieldPosition="15"/>
    </format>
    <format dxfId="7">
      <pivotArea field="16" type="button" dataOnly="0" labelOnly="1" outline="0" axis="axisRow" fieldPosition="16"/>
    </format>
    <format dxfId="6">
      <pivotArea field="17" type="button" dataOnly="0" labelOnly="1" outline="0" axis="axisRow" fieldPosition="17"/>
    </format>
    <format dxfId="5">
      <pivotArea field="18" type="button" dataOnly="0" labelOnly="1" outline="0" axis="axisRow" fieldPosition="18"/>
    </format>
    <format dxfId="4">
      <pivotArea field="19" type="button" dataOnly="0" labelOnly="1" outline="0" axis="axisRow" fieldPosition="19"/>
    </format>
    <format dxfId="3">
      <pivotArea field="20" type="button" dataOnly="0" labelOnly="1" outline="0" axis="axisRow" fieldPosition="20"/>
    </format>
    <format dxfId="2">
      <pivotArea field="21" type="button" dataOnly="0" labelOnly="1" outline="0" axis="axisRow" fieldPosition="21"/>
    </format>
    <format dxfId="1">
      <pivotArea field="22" type="button" dataOnly="0" labelOnly="1" outline="0" axis="axisRow" fieldPosition="22"/>
    </format>
    <format dxfId="0">
      <pivotArea field="23" type="button" dataOnly="0" labelOnly="1" outline="0" axis="axisRow" fieldPosition="23"/>
    </format>
  </formats>
  <pivotTableStyleInfo name="PivotStyleMedium15" showRowHeaders="1" showColHeaders="1" showRowStripes="0" showColStripes="0" showLastColumn="1"/>
  <filters count="1">
    <filter fld="23" type="dateBetween" evalOrder="-1" id="19">
      <autoFilter ref="A1">
        <filterColumn colId="0">
          <customFilters and="1">
            <customFilter operator="greaterThanOrEqual" val="45044"/>
            <customFilter operator="lessThanOrEqual"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89100B-9A21-44DD-96C7-0475A0F8788D}" name="Table1" displayName="Table1" ref="A1:X91" totalsRowShown="0" headerRowDxfId="97" dataDxfId="96">
  <autoFilter ref="A1:X91" xr:uid="{BA89100B-9A21-44DD-96C7-0475A0F8788D}">
    <filterColumn colId="3">
      <filters>
        <filter val="CONSTRUCTION"/>
      </filters>
    </filterColumn>
  </autoFilter>
  <tableColumns count="24">
    <tableColumn id="1" xr3:uid="{67B92AA7-95CA-4140-8BE5-795055FD35C9}" name="SECTION" dataDxfId="95"/>
    <tableColumn id="2" xr3:uid="{067EEE54-F872-47D9-B8A1-E92129C2919C}" name="MONTH" dataDxfId="94"/>
    <tableColumn id="3" xr3:uid="{A18C8A4C-26E6-493B-9412-3FB288C4854E}" name="YEAR" dataDxfId="93"/>
    <tableColumn id="4" xr3:uid="{33540D1B-6962-48FC-BCE2-80BBAC8CB74F}" name="PRODUCT" dataDxfId="92"/>
    <tableColumn id="5" xr3:uid="{B2FEE869-52EE-4252-9C60-0281E1760C25}" name="Max. LMIC Current Year Limit USD" dataDxfId="91" dataCellStyle="Currency"/>
    <tableColumn id="6" xr3:uid="{6ACFFD4A-F864-4198-BA50-753315C83161}" name="LMIC Gross Written Premium USD" dataDxfId="90" dataCellStyle="Currency"/>
    <tableColumn id="7" xr3:uid="{A1809A16-F79C-40BB-B6C5-15BC55826662}" name="Original Slip Discounts Amount USD" dataDxfId="89" dataCellStyle="Currency"/>
    <tableColumn id="8" xr3:uid="{293299E1-E970-44F1-B332-9AB3130040EF}" name=" Marlin Fee Amount USD" dataDxfId="88" dataCellStyle="Currency"/>
    <tableColumn id="9" xr3:uid="{71B26EFB-7807-4673-8F25-DE3612367D62}" name="Tax Amount USD" dataDxfId="87" dataCellStyle="Currency"/>
    <tableColumn id="10" xr3:uid="{0637479E-7FF3-4786-A607-05B6C6D31A8A}" name="Net Premium Amount USD" dataDxfId="86" dataCellStyle="Currency"/>
    <tableColumn id="11" xr3:uid="{06728AD1-69E5-48B0-AECA-9C3A2697F5B1}" name=" Gennius Reference" dataDxfId="85" dataCellStyle="Currency"/>
    <tableColumn id="12" xr3:uid="{64962591-E1C6-43AB-815B-71DE4EC89650}" name="Total Comission" dataDxfId="84" dataCellStyle="Currency"/>
    <tableColumn id="13" xr3:uid="{EB318665-311B-4B9C-BD08-750298E1967B}" name="Comision %" dataDxfId="83" dataCellStyle="Percent"/>
    <tableColumn id="14" xr3:uid="{0E5EC1A0-2E94-4B3F-9E4E-72303A77F731}" name="Tx %" dataDxfId="82" dataCellStyle="Percent"/>
    <tableColumn id="15" xr3:uid="{54BA9D40-F39A-428E-B571-544F6874BF5F}" name="LSM PRM DEBIT" dataDxfId="81"/>
    <tableColumn id="16" xr3:uid="{115CA98E-7953-4238-BE0A-B094CEC9C58D}" name="COMISION DEBIT" dataDxfId="80"/>
    <tableColumn id="17" xr3:uid="{6D9199A0-6C5A-428C-A4D8-002B774B200E}" name="IMPUESTO DEBIT" dataDxfId="79"/>
    <tableColumn id="18" xr3:uid="{9B580497-D917-4EEB-A8F7-D802B2199199}" name="LSM PRM CREDIT" dataDxfId="78"/>
    <tableColumn id="19" xr3:uid="{4917614C-983C-4AD2-96B0-4073C9B763CF}" name="COMISION CREDIT" dataDxfId="77"/>
    <tableColumn id="20" xr3:uid="{CC9B7956-FA61-41F0-A772-12AD51B92F4A}" name="IMPUESTO CREDIT" dataDxfId="76"/>
    <tableColumn id="21" xr3:uid="{67F9F949-E1CC-4C8D-AD26-5E1745F2E1CA}" name="Net Premium Amount USD5" dataDxfId="75"/>
    <tableColumn id="22" xr3:uid="{A7A0EEA7-7DDD-4053-A735-48CB066FBB2B}" name="Endorsement Start Date" dataDxfId="74"/>
    <tableColumn id="23" xr3:uid="{D1D47D86-8D12-4C30-ABA2-05082CDF1993}" name="PPW" dataDxfId="73"/>
    <tableColumn id="24" xr3:uid="{158A2848-E843-4D65-A8EF-862096E476C8}" name="Sent Date" dataDxfId="7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A0AC-CF8D-40DA-816D-E39943990D32}">
  <sheetPr codeName="Sheet1"/>
  <dimension ref="A1:AN48"/>
  <sheetViews>
    <sheetView workbookViewId="0">
      <selection activeCell="I2" sqref="I2"/>
    </sheetView>
  </sheetViews>
  <sheetFormatPr defaultRowHeight="15" x14ac:dyDescent="0.25"/>
  <cols>
    <col min="1" max="1" width="9.28515625" customWidth="1"/>
    <col min="2" max="3" width="19.85546875" bestFit="1" customWidth="1"/>
    <col min="4" max="4" width="9.28515625" bestFit="1" customWidth="1"/>
    <col min="5" max="5" width="10.7109375" bestFit="1" customWidth="1"/>
    <col min="9" max="9" width="11.28515625" bestFit="1" customWidth="1"/>
    <col min="10" max="10" width="23.7109375" customWidth="1"/>
    <col min="11" max="11" width="21.7109375" bestFit="1" customWidth="1"/>
    <col min="12" max="12" width="9.85546875" bestFit="1" customWidth="1"/>
    <col min="13" max="13" width="10.7109375" style="1" bestFit="1" customWidth="1"/>
    <col min="14" max="14" width="9.85546875" bestFit="1" customWidth="1"/>
    <col min="15" max="15" width="21" bestFit="1" customWidth="1"/>
    <col min="16" max="16" width="10.85546875" bestFit="1" customWidth="1"/>
    <col min="17" max="17" width="34" bestFit="1" customWidth="1"/>
    <col min="18" max="18" width="33.85546875" bestFit="1" customWidth="1"/>
    <col min="19" max="19" width="12.7109375" bestFit="1" customWidth="1"/>
    <col min="20" max="20" width="11.5703125" bestFit="1" customWidth="1"/>
    <col min="21" max="21" width="17.140625" bestFit="1" customWidth="1"/>
    <col min="22" max="24" width="18.28515625" bestFit="1" customWidth="1"/>
    <col min="25" max="26" width="19.5703125" bestFit="1" customWidth="1"/>
    <col min="27" max="27" width="28.42578125" bestFit="1" customWidth="1"/>
    <col min="28" max="28" width="24.7109375" bestFit="1" customWidth="1"/>
    <col min="29" max="29" width="13.5703125" bestFit="1" customWidth="1"/>
    <col min="30" max="30" width="19.85546875" bestFit="1" customWidth="1"/>
    <col min="31" max="31" width="9.85546875" bestFit="1" customWidth="1"/>
    <col min="32" max="32" width="18.42578125" bestFit="1" customWidth="1"/>
    <col min="33" max="33" width="25.42578125" bestFit="1" customWidth="1"/>
    <col min="34" max="34" width="22.42578125" bestFit="1" customWidth="1"/>
    <col min="35" max="35" width="27.28515625" bestFit="1" customWidth="1"/>
    <col min="36" max="36" width="21" bestFit="1" customWidth="1"/>
    <col min="37" max="37" width="17.42578125" bestFit="1" customWidth="1"/>
    <col min="38" max="38" width="13.5703125" bestFit="1" customWidth="1"/>
    <col min="39" max="39" width="7.28515625" bestFit="1" customWidth="1"/>
    <col min="40" max="40" width="17.140625" bestFit="1" customWidth="1"/>
    <col min="41" max="43" width="18.28515625" bestFit="1" customWidth="1"/>
    <col min="44" max="45" width="19.5703125" bestFit="1" customWidth="1"/>
    <col min="46" max="46" width="28.42578125" bestFit="1" customWidth="1"/>
    <col min="47" max="47" width="24.7109375" bestFit="1" customWidth="1"/>
    <col min="48" max="48" width="7.5703125" bestFit="1" customWidth="1"/>
    <col min="49" max="49" width="11.85546875" bestFit="1" customWidth="1"/>
  </cols>
  <sheetData>
    <row r="1" spans="1:40" x14ac:dyDescent="0.25">
      <c r="A1" s="2" t="s">
        <v>56</v>
      </c>
      <c r="B1" s="2" t="s">
        <v>57</v>
      </c>
      <c r="C1" s="2" t="s">
        <v>58</v>
      </c>
      <c r="D1" s="2" t="s">
        <v>59</v>
      </c>
      <c r="E1" s="57" t="s">
        <v>60</v>
      </c>
      <c r="F1" s="2" t="s">
        <v>61</v>
      </c>
      <c r="I1" s="3" t="s">
        <v>61</v>
      </c>
      <c r="J1" s="3" t="s">
        <v>57</v>
      </c>
      <c r="K1" s="3" t="s">
        <v>58</v>
      </c>
      <c r="L1" s="3" t="s">
        <v>56</v>
      </c>
      <c r="M1" s="104" t="s">
        <v>60</v>
      </c>
      <c r="O1" s="3" t="s">
        <v>76</v>
      </c>
      <c r="P1" s="3" t="s">
        <v>63</v>
      </c>
      <c r="Q1" s="3" t="s">
        <v>68</v>
      </c>
      <c r="R1" s="3" t="s">
        <v>67</v>
      </c>
      <c r="S1" s="3" t="s">
        <v>75</v>
      </c>
      <c r="T1" s="3" t="s">
        <v>83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86</v>
      </c>
      <c r="AB1" s="3" t="s">
        <v>62</v>
      </c>
      <c r="AC1" s="3" t="s">
        <v>74</v>
      </c>
      <c r="AF1" t="s">
        <v>92</v>
      </c>
      <c r="AG1" t="s">
        <v>90</v>
      </c>
      <c r="AH1" t="s">
        <v>62</v>
      </c>
      <c r="AI1" t="s">
        <v>102</v>
      </c>
      <c r="AJ1" t="s">
        <v>97</v>
      </c>
      <c r="AK1" t="s">
        <v>99</v>
      </c>
      <c r="AL1">
        <v>2</v>
      </c>
      <c r="AM1">
        <v>1</v>
      </c>
      <c r="AN1" t="s">
        <v>108</v>
      </c>
    </row>
    <row r="2" spans="1:40" x14ac:dyDescent="0.25">
      <c r="A2" t="s">
        <v>0</v>
      </c>
      <c r="B2" t="s">
        <v>1</v>
      </c>
      <c r="C2" t="s">
        <v>2</v>
      </c>
      <c r="D2" s="1">
        <v>43466</v>
      </c>
      <c r="E2" s="58" t="s">
        <v>130</v>
      </c>
      <c r="F2">
        <f>+YEAR(D2)</f>
        <v>2019</v>
      </c>
      <c r="I2">
        <v>2020</v>
      </c>
      <c r="J2" t="s">
        <v>17</v>
      </c>
      <c r="K2" t="s">
        <v>12</v>
      </c>
      <c r="L2" t="s">
        <v>8</v>
      </c>
      <c r="M2" s="1" t="s">
        <v>131</v>
      </c>
      <c r="O2" t="s">
        <v>26</v>
      </c>
      <c r="P2" t="s">
        <v>0</v>
      </c>
      <c r="Q2">
        <v>256.05</v>
      </c>
      <c r="R2">
        <v>1546714.06</v>
      </c>
      <c r="S2">
        <v>9.9980472563952344E-3</v>
      </c>
      <c r="T2">
        <v>90</v>
      </c>
      <c r="U2">
        <v>0</v>
      </c>
      <c r="V2">
        <v>71.7</v>
      </c>
      <c r="W2">
        <v>2.56</v>
      </c>
      <c r="X2">
        <v>256.05</v>
      </c>
      <c r="Y2">
        <v>0</v>
      </c>
      <c r="Z2">
        <v>0</v>
      </c>
      <c r="AA2">
        <v>181.79000000000002</v>
      </c>
      <c r="AB2" s="1">
        <v>44926</v>
      </c>
      <c r="AC2">
        <v>0.28002343292325715</v>
      </c>
      <c r="AF2" t="s">
        <v>141</v>
      </c>
      <c r="AG2" t="s">
        <v>142</v>
      </c>
      <c r="AH2" t="s">
        <v>143</v>
      </c>
      <c r="AI2" t="s">
        <v>144</v>
      </c>
      <c r="AJ2" t="s">
        <v>145</v>
      </c>
      <c r="AK2" t="s">
        <v>146</v>
      </c>
      <c r="AL2">
        <v>1</v>
      </c>
      <c r="AM2">
        <v>11</v>
      </c>
      <c r="AN2" t="s">
        <v>140</v>
      </c>
    </row>
    <row r="3" spans="1:40" x14ac:dyDescent="0.25">
      <c r="A3" t="s">
        <v>3</v>
      </c>
      <c r="B3" t="s">
        <v>4</v>
      </c>
      <c r="C3" t="s">
        <v>5</v>
      </c>
      <c r="D3" s="1">
        <v>43466</v>
      </c>
      <c r="E3" s="58" t="s">
        <v>130</v>
      </c>
      <c r="F3">
        <f t="shared" ref="F3:F47" si="0">+YEAR(D3)</f>
        <v>2019</v>
      </c>
      <c r="M3"/>
      <c r="Q3">
        <v>13977.739999999998</v>
      </c>
      <c r="R3">
        <v>5351940.58</v>
      </c>
      <c r="S3">
        <v>2.356604143445221E-2</v>
      </c>
      <c r="T3">
        <v>90</v>
      </c>
      <c r="U3">
        <v>0</v>
      </c>
      <c r="V3">
        <v>3843.88</v>
      </c>
      <c r="W3">
        <v>329.4</v>
      </c>
      <c r="X3">
        <v>13977.739999999998</v>
      </c>
      <c r="Y3">
        <v>0</v>
      </c>
      <c r="Z3">
        <v>0</v>
      </c>
      <c r="AA3">
        <v>9804.4599999999991</v>
      </c>
      <c r="AB3" s="1">
        <v>44926</v>
      </c>
      <c r="AC3">
        <v>0.27500010731348562</v>
      </c>
    </row>
    <row r="4" spans="1:40" x14ac:dyDescent="0.25">
      <c r="A4" t="s">
        <v>3</v>
      </c>
      <c r="B4" t="s">
        <v>6</v>
      </c>
      <c r="C4" t="s">
        <v>7</v>
      </c>
      <c r="D4" s="1">
        <v>43466</v>
      </c>
      <c r="E4" s="58" t="s">
        <v>130</v>
      </c>
      <c r="F4">
        <f t="shared" si="0"/>
        <v>2019</v>
      </c>
      <c r="M4"/>
    </row>
    <row r="5" spans="1:40" x14ac:dyDescent="0.25">
      <c r="A5" t="s">
        <v>8</v>
      </c>
      <c r="B5" t="s">
        <v>9</v>
      </c>
      <c r="C5" t="s">
        <v>10</v>
      </c>
      <c r="D5" s="1">
        <v>43466</v>
      </c>
      <c r="E5" s="58" t="s">
        <v>130</v>
      </c>
      <c r="F5">
        <f t="shared" si="0"/>
        <v>2019</v>
      </c>
      <c r="M5"/>
    </row>
    <row r="6" spans="1:40" x14ac:dyDescent="0.25">
      <c r="A6" t="s">
        <v>8</v>
      </c>
      <c r="B6" t="s">
        <v>11</v>
      </c>
      <c r="C6" t="s">
        <v>12</v>
      </c>
      <c r="D6" s="1">
        <v>43466</v>
      </c>
      <c r="E6" s="58" t="s">
        <v>130</v>
      </c>
      <c r="F6">
        <f t="shared" si="0"/>
        <v>2019</v>
      </c>
      <c r="M6"/>
    </row>
    <row r="7" spans="1:40" x14ac:dyDescent="0.25">
      <c r="A7" t="s">
        <v>0</v>
      </c>
      <c r="B7" t="s">
        <v>13</v>
      </c>
      <c r="C7" t="s">
        <v>2</v>
      </c>
      <c r="D7" s="1">
        <v>43831</v>
      </c>
      <c r="E7" s="58" t="s">
        <v>131</v>
      </c>
      <c r="F7">
        <f t="shared" si="0"/>
        <v>2020</v>
      </c>
      <c r="M7"/>
    </row>
    <row r="8" spans="1:40" x14ac:dyDescent="0.25">
      <c r="A8" t="s">
        <v>3</v>
      </c>
      <c r="B8" t="s">
        <v>14</v>
      </c>
      <c r="C8" t="s">
        <v>5</v>
      </c>
      <c r="D8" s="1">
        <v>43831</v>
      </c>
      <c r="E8" s="58" t="s">
        <v>131</v>
      </c>
      <c r="F8">
        <f t="shared" si="0"/>
        <v>2020</v>
      </c>
      <c r="M8"/>
    </row>
    <row r="9" spans="1:40" x14ac:dyDescent="0.25">
      <c r="A9" t="s">
        <v>3</v>
      </c>
      <c r="B9" t="s">
        <v>15</v>
      </c>
      <c r="C9" t="s">
        <v>7</v>
      </c>
      <c r="D9" s="1">
        <v>43831</v>
      </c>
      <c r="E9" s="58" t="s">
        <v>131</v>
      </c>
      <c r="F9">
        <f t="shared" si="0"/>
        <v>2020</v>
      </c>
      <c r="M9"/>
    </row>
    <row r="10" spans="1:40" x14ac:dyDescent="0.25">
      <c r="A10" t="s">
        <v>8</v>
      </c>
      <c r="B10" t="s">
        <v>16</v>
      </c>
      <c r="C10" t="s">
        <v>10</v>
      </c>
      <c r="D10" s="1">
        <v>43831</v>
      </c>
      <c r="E10" s="58" t="s">
        <v>131</v>
      </c>
      <c r="F10">
        <f t="shared" si="0"/>
        <v>2020</v>
      </c>
      <c r="M10"/>
    </row>
    <row r="11" spans="1:40" x14ac:dyDescent="0.25">
      <c r="A11" t="s">
        <v>8</v>
      </c>
      <c r="B11" t="s">
        <v>17</v>
      </c>
      <c r="C11" t="s">
        <v>12</v>
      </c>
      <c r="D11" s="1">
        <v>43831</v>
      </c>
      <c r="E11" s="58" t="s">
        <v>131</v>
      </c>
      <c r="F11">
        <f t="shared" si="0"/>
        <v>2020</v>
      </c>
      <c r="M11"/>
    </row>
    <row r="12" spans="1:40" x14ac:dyDescent="0.25">
      <c r="A12" t="s">
        <v>0</v>
      </c>
      <c r="B12" t="s">
        <v>18</v>
      </c>
      <c r="C12" t="s">
        <v>2</v>
      </c>
      <c r="D12" s="1">
        <v>44197</v>
      </c>
      <c r="E12" s="58" t="s">
        <v>132</v>
      </c>
      <c r="F12">
        <f t="shared" si="0"/>
        <v>2021</v>
      </c>
      <c r="M12"/>
    </row>
    <row r="13" spans="1:40" x14ac:dyDescent="0.25">
      <c r="A13" t="s">
        <v>3</v>
      </c>
      <c r="B13" t="s">
        <v>19</v>
      </c>
      <c r="C13" t="s">
        <v>5</v>
      </c>
      <c r="D13" s="1">
        <v>44197</v>
      </c>
      <c r="E13" s="58" t="s">
        <v>132</v>
      </c>
      <c r="F13">
        <f t="shared" si="0"/>
        <v>2021</v>
      </c>
      <c r="M13"/>
    </row>
    <row r="14" spans="1:40" x14ac:dyDescent="0.25">
      <c r="A14" t="s">
        <v>3</v>
      </c>
      <c r="B14" t="s">
        <v>20</v>
      </c>
      <c r="C14" t="s">
        <v>7</v>
      </c>
      <c r="D14" s="1">
        <v>44197</v>
      </c>
      <c r="E14" s="58" t="s">
        <v>132</v>
      </c>
      <c r="F14">
        <f t="shared" si="0"/>
        <v>2021</v>
      </c>
      <c r="M14"/>
    </row>
    <row r="15" spans="1:40" x14ac:dyDescent="0.25">
      <c r="A15" t="s">
        <v>8</v>
      </c>
      <c r="B15" t="s">
        <v>21</v>
      </c>
      <c r="C15" t="s">
        <v>10</v>
      </c>
      <c r="D15" s="1">
        <v>44197</v>
      </c>
      <c r="E15" s="58" t="s">
        <v>132</v>
      </c>
      <c r="F15">
        <f t="shared" si="0"/>
        <v>2021</v>
      </c>
      <c r="M15"/>
    </row>
    <row r="16" spans="1:40" x14ac:dyDescent="0.25">
      <c r="A16" t="s">
        <v>8</v>
      </c>
      <c r="B16" t="s">
        <v>22</v>
      </c>
      <c r="C16" t="s">
        <v>12</v>
      </c>
      <c r="D16" s="1">
        <v>44197</v>
      </c>
      <c r="E16" s="58" t="s">
        <v>132</v>
      </c>
      <c r="F16">
        <f t="shared" si="0"/>
        <v>2021</v>
      </c>
      <c r="M16"/>
    </row>
    <row r="17" spans="1:13" x14ac:dyDescent="0.25">
      <c r="A17" t="s">
        <v>23</v>
      </c>
      <c r="B17" t="s">
        <v>24</v>
      </c>
      <c r="C17" t="s">
        <v>25</v>
      </c>
      <c r="D17" s="1">
        <v>44197</v>
      </c>
      <c r="E17" s="58" t="s">
        <v>132</v>
      </c>
      <c r="F17">
        <f t="shared" si="0"/>
        <v>2021</v>
      </c>
      <c r="M17"/>
    </row>
    <row r="18" spans="1:13" x14ac:dyDescent="0.25">
      <c r="A18" t="s">
        <v>0</v>
      </c>
      <c r="B18" t="s">
        <v>26</v>
      </c>
      <c r="C18" t="s">
        <v>2</v>
      </c>
      <c r="D18" s="1">
        <v>44562</v>
      </c>
      <c r="E18" s="58" t="s">
        <v>133</v>
      </c>
      <c r="F18">
        <f t="shared" si="0"/>
        <v>2022</v>
      </c>
      <c r="M18"/>
    </row>
    <row r="19" spans="1:13" x14ac:dyDescent="0.25">
      <c r="A19" t="s">
        <v>3</v>
      </c>
      <c r="B19" t="s">
        <v>27</v>
      </c>
      <c r="C19" t="s">
        <v>5</v>
      </c>
      <c r="D19" s="1">
        <v>44562</v>
      </c>
      <c r="E19" s="58" t="s">
        <v>133</v>
      </c>
      <c r="F19">
        <f t="shared" si="0"/>
        <v>2022</v>
      </c>
      <c r="M19"/>
    </row>
    <row r="20" spans="1:13" x14ac:dyDescent="0.25">
      <c r="A20" t="s">
        <v>3</v>
      </c>
      <c r="B20" t="s">
        <v>28</v>
      </c>
      <c r="C20" t="s">
        <v>7</v>
      </c>
      <c r="D20" s="1">
        <v>44562</v>
      </c>
      <c r="E20" s="58" t="s">
        <v>133</v>
      </c>
      <c r="F20">
        <f t="shared" si="0"/>
        <v>2022</v>
      </c>
      <c r="M20"/>
    </row>
    <row r="21" spans="1:13" x14ac:dyDescent="0.25">
      <c r="A21" t="s">
        <v>8</v>
      </c>
      <c r="B21" t="s">
        <v>29</v>
      </c>
      <c r="C21" t="s">
        <v>10</v>
      </c>
      <c r="D21" s="1">
        <v>44562</v>
      </c>
      <c r="E21" s="58" t="s">
        <v>133</v>
      </c>
      <c r="F21">
        <f t="shared" si="0"/>
        <v>2022</v>
      </c>
      <c r="M21"/>
    </row>
    <row r="22" spans="1:13" x14ac:dyDescent="0.25">
      <c r="A22" t="s">
        <v>8</v>
      </c>
      <c r="B22" t="s">
        <v>30</v>
      </c>
      <c r="C22" t="s">
        <v>12</v>
      </c>
      <c r="D22" s="1">
        <v>44562</v>
      </c>
      <c r="E22" s="58" t="s">
        <v>133</v>
      </c>
      <c r="F22">
        <f t="shared" si="0"/>
        <v>2022</v>
      </c>
      <c r="M22"/>
    </row>
    <row r="23" spans="1:13" x14ac:dyDescent="0.25">
      <c r="A23" t="s">
        <v>23</v>
      </c>
      <c r="B23" t="s">
        <v>36</v>
      </c>
      <c r="C23" t="s">
        <v>25</v>
      </c>
      <c r="D23" s="1">
        <v>44562</v>
      </c>
      <c r="E23" s="58" t="s">
        <v>133</v>
      </c>
      <c r="F23">
        <f t="shared" si="0"/>
        <v>2022</v>
      </c>
      <c r="M23"/>
    </row>
    <row r="24" spans="1:13" x14ac:dyDescent="0.25">
      <c r="A24" t="s">
        <v>0</v>
      </c>
      <c r="B24" t="s">
        <v>31</v>
      </c>
      <c r="C24" t="s">
        <v>2</v>
      </c>
      <c r="D24" s="1">
        <v>44927</v>
      </c>
      <c r="E24" s="58" t="s">
        <v>134</v>
      </c>
      <c r="F24">
        <f t="shared" si="0"/>
        <v>2023</v>
      </c>
      <c r="M24"/>
    </row>
    <row r="25" spans="1:13" x14ac:dyDescent="0.25">
      <c r="A25" t="s">
        <v>3</v>
      </c>
      <c r="B25" t="s">
        <v>32</v>
      </c>
      <c r="C25" t="s">
        <v>5</v>
      </c>
      <c r="D25" s="1">
        <v>44927</v>
      </c>
      <c r="E25" s="58" t="s">
        <v>134</v>
      </c>
      <c r="F25">
        <f t="shared" si="0"/>
        <v>2023</v>
      </c>
      <c r="M25"/>
    </row>
    <row r="26" spans="1:13" x14ac:dyDescent="0.25">
      <c r="A26" t="s">
        <v>3</v>
      </c>
      <c r="B26" t="s">
        <v>33</v>
      </c>
      <c r="C26" t="s">
        <v>7</v>
      </c>
      <c r="D26" s="1">
        <v>44927</v>
      </c>
      <c r="E26" s="58" t="s">
        <v>134</v>
      </c>
      <c r="F26">
        <f t="shared" si="0"/>
        <v>2023</v>
      </c>
      <c r="M26"/>
    </row>
    <row r="27" spans="1:13" x14ac:dyDescent="0.25">
      <c r="A27" t="s">
        <v>8</v>
      </c>
      <c r="B27" t="s">
        <v>34</v>
      </c>
      <c r="C27" t="s">
        <v>10</v>
      </c>
      <c r="D27" s="1">
        <v>44927</v>
      </c>
      <c r="E27" s="58" t="s">
        <v>134</v>
      </c>
      <c r="F27">
        <f t="shared" si="0"/>
        <v>2023</v>
      </c>
      <c r="M27"/>
    </row>
    <row r="28" spans="1:13" x14ac:dyDescent="0.25">
      <c r="A28" t="s">
        <v>8</v>
      </c>
      <c r="B28" t="s">
        <v>35</v>
      </c>
      <c r="C28" t="s">
        <v>12</v>
      </c>
      <c r="D28" s="1">
        <v>44927</v>
      </c>
      <c r="E28" s="58" t="s">
        <v>134</v>
      </c>
      <c r="F28">
        <f t="shared" si="0"/>
        <v>2023</v>
      </c>
      <c r="M28"/>
    </row>
    <row r="29" spans="1:13" x14ac:dyDescent="0.25">
      <c r="A29" t="s">
        <v>23</v>
      </c>
      <c r="B29" t="s">
        <v>37</v>
      </c>
      <c r="C29" t="s">
        <v>25</v>
      </c>
      <c r="D29" s="1">
        <v>44927</v>
      </c>
      <c r="E29" s="58" t="s">
        <v>134</v>
      </c>
      <c r="F29">
        <f t="shared" si="0"/>
        <v>2023</v>
      </c>
      <c r="M29"/>
    </row>
    <row r="30" spans="1:13" x14ac:dyDescent="0.25">
      <c r="A30" t="s">
        <v>0</v>
      </c>
      <c r="B30" t="s">
        <v>38</v>
      </c>
      <c r="C30" t="s">
        <v>2</v>
      </c>
      <c r="D30" s="1">
        <v>45292</v>
      </c>
      <c r="E30" s="58" t="s">
        <v>135</v>
      </c>
      <c r="F30">
        <f t="shared" si="0"/>
        <v>2024</v>
      </c>
      <c r="M30"/>
    </row>
    <row r="31" spans="1:13" x14ac:dyDescent="0.25">
      <c r="A31" t="s">
        <v>3</v>
      </c>
      <c r="B31" t="s">
        <v>39</v>
      </c>
      <c r="C31" t="s">
        <v>5</v>
      </c>
      <c r="D31" s="1">
        <v>45292</v>
      </c>
      <c r="E31" s="58" t="s">
        <v>135</v>
      </c>
      <c r="F31">
        <f t="shared" si="0"/>
        <v>2024</v>
      </c>
      <c r="M31"/>
    </row>
    <row r="32" spans="1:13" x14ac:dyDescent="0.25">
      <c r="A32" t="s">
        <v>3</v>
      </c>
      <c r="B32" t="s">
        <v>40</v>
      </c>
      <c r="C32" t="s">
        <v>7</v>
      </c>
      <c r="D32" s="1">
        <v>45292</v>
      </c>
      <c r="E32" s="58" t="s">
        <v>135</v>
      </c>
      <c r="F32">
        <f t="shared" si="0"/>
        <v>2024</v>
      </c>
      <c r="M32"/>
    </row>
    <row r="33" spans="1:13" x14ac:dyDescent="0.25">
      <c r="A33" t="s">
        <v>8</v>
      </c>
      <c r="B33" t="s">
        <v>41</v>
      </c>
      <c r="C33" t="s">
        <v>10</v>
      </c>
      <c r="D33" s="1">
        <v>45292</v>
      </c>
      <c r="E33" s="58" t="s">
        <v>135</v>
      </c>
      <c r="F33">
        <f t="shared" si="0"/>
        <v>2024</v>
      </c>
      <c r="M33"/>
    </row>
    <row r="34" spans="1:13" x14ac:dyDescent="0.25">
      <c r="A34" t="s">
        <v>8</v>
      </c>
      <c r="B34" t="s">
        <v>42</v>
      </c>
      <c r="C34" t="s">
        <v>12</v>
      </c>
      <c r="D34" s="1">
        <v>45292</v>
      </c>
      <c r="E34" s="58" t="s">
        <v>135</v>
      </c>
      <c r="F34">
        <f t="shared" si="0"/>
        <v>2024</v>
      </c>
      <c r="M34"/>
    </row>
    <row r="35" spans="1:13" x14ac:dyDescent="0.25">
      <c r="A35" t="s">
        <v>23</v>
      </c>
      <c r="B35" t="s">
        <v>43</v>
      </c>
      <c r="C35" t="s">
        <v>25</v>
      </c>
      <c r="D35" s="1">
        <v>45292</v>
      </c>
      <c r="E35" s="58" t="s">
        <v>135</v>
      </c>
      <c r="F35">
        <f t="shared" si="0"/>
        <v>2024</v>
      </c>
      <c r="M35"/>
    </row>
    <row r="36" spans="1:13" x14ac:dyDescent="0.25">
      <c r="A36" t="s">
        <v>0</v>
      </c>
      <c r="B36" t="s">
        <v>44</v>
      </c>
      <c r="C36" t="s">
        <v>2</v>
      </c>
      <c r="D36" s="1">
        <v>45658</v>
      </c>
      <c r="E36" s="58" t="s">
        <v>136</v>
      </c>
      <c r="F36">
        <f t="shared" si="0"/>
        <v>2025</v>
      </c>
      <c r="M36"/>
    </row>
    <row r="37" spans="1:13" x14ac:dyDescent="0.25">
      <c r="A37" t="s">
        <v>3</v>
      </c>
      <c r="B37" t="s">
        <v>45</v>
      </c>
      <c r="C37" t="s">
        <v>5</v>
      </c>
      <c r="D37" s="1">
        <v>45658</v>
      </c>
      <c r="E37" s="58" t="s">
        <v>136</v>
      </c>
      <c r="F37">
        <f t="shared" si="0"/>
        <v>2025</v>
      </c>
      <c r="M37"/>
    </row>
    <row r="38" spans="1:13" x14ac:dyDescent="0.25">
      <c r="A38" t="s">
        <v>3</v>
      </c>
      <c r="B38" t="s">
        <v>46</v>
      </c>
      <c r="C38" t="s">
        <v>7</v>
      </c>
      <c r="D38" s="1">
        <v>45658</v>
      </c>
      <c r="E38" s="58" t="s">
        <v>136</v>
      </c>
      <c r="F38">
        <f t="shared" si="0"/>
        <v>2025</v>
      </c>
      <c r="M38"/>
    </row>
    <row r="39" spans="1:13" x14ac:dyDescent="0.25">
      <c r="A39" t="s">
        <v>8</v>
      </c>
      <c r="B39" t="s">
        <v>47</v>
      </c>
      <c r="C39" t="s">
        <v>10</v>
      </c>
      <c r="D39" s="1">
        <v>45658</v>
      </c>
      <c r="E39" s="58" t="s">
        <v>136</v>
      </c>
      <c r="F39">
        <f t="shared" si="0"/>
        <v>2025</v>
      </c>
      <c r="M39"/>
    </row>
    <row r="40" spans="1:13" x14ac:dyDescent="0.25">
      <c r="A40" t="s">
        <v>8</v>
      </c>
      <c r="B40" t="s">
        <v>48</v>
      </c>
      <c r="C40" t="s">
        <v>12</v>
      </c>
      <c r="D40" s="1">
        <v>45658</v>
      </c>
      <c r="E40" s="58" t="s">
        <v>136</v>
      </c>
      <c r="F40">
        <f t="shared" si="0"/>
        <v>2025</v>
      </c>
      <c r="M40"/>
    </row>
    <row r="41" spans="1:13" x14ac:dyDescent="0.25">
      <c r="A41" t="s">
        <v>23</v>
      </c>
      <c r="B41" t="s">
        <v>49</v>
      </c>
      <c r="C41" t="s">
        <v>25</v>
      </c>
      <c r="D41" s="1">
        <v>45658</v>
      </c>
      <c r="E41" s="58" t="s">
        <v>136</v>
      </c>
      <c r="F41">
        <f t="shared" si="0"/>
        <v>2025</v>
      </c>
      <c r="M41"/>
    </row>
    <row r="42" spans="1:13" x14ac:dyDescent="0.25">
      <c r="A42" t="s">
        <v>0</v>
      </c>
      <c r="B42" t="s">
        <v>50</v>
      </c>
      <c r="C42" t="s">
        <v>2</v>
      </c>
      <c r="D42" s="1">
        <v>46023</v>
      </c>
      <c r="E42" s="58" t="s">
        <v>137</v>
      </c>
      <c r="F42">
        <f t="shared" si="0"/>
        <v>2026</v>
      </c>
      <c r="M42"/>
    </row>
    <row r="43" spans="1:13" x14ac:dyDescent="0.25">
      <c r="A43" t="s">
        <v>3</v>
      </c>
      <c r="B43" t="s">
        <v>51</v>
      </c>
      <c r="C43" t="s">
        <v>5</v>
      </c>
      <c r="D43" s="1">
        <v>46023</v>
      </c>
      <c r="E43" s="58" t="s">
        <v>137</v>
      </c>
      <c r="F43">
        <f t="shared" si="0"/>
        <v>2026</v>
      </c>
      <c r="M43"/>
    </row>
    <row r="44" spans="1:13" x14ac:dyDescent="0.25">
      <c r="A44" t="s">
        <v>3</v>
      </c>
      <c r="B44" t="s">
        <v>52</v>
      </c>
      <c r="C44" t="s">
        <v>7</v>
      </c>
      <c r="D44" s="1">
        <v>46023</v>
      </c>
      <c r="E44" s="58" t="s">
        <v>137</v>
      </c>
      <c r="F44">
        <f t="shared" si="0"/>
        <v>2026</v>
      </c>
      <c r="M44"/>
    </row>
    <row r="45" spans="1:13" x14ac:dyDescent="0.25">
      <c r="A45" t="s">
        <v>8</v>
      </c>
      <c r="B45" t="s">
        <v>53</v>
      </c>
      <c r="C45" t="s">
        <v>10</v>
      </c>
      <c r="D45" s="1">
        <v>46023</v>
      </c>
      <c r="E45" s="58" t="s">
        <v>137</v>
      </c>
      <c r="F45">
        <f t="shared" si="0"/>
        <v>2026</v>
      </c>
      <c r="M45"/>
    </row>
    <row r="46" spans="1:13" x14ac:dyDescent="0.25">
      <c r="A46" t="s">
        <v>8</v>
      </c>
      <c r="B46" t="s">
        <v>54</v>
      </c>
      <c r="C46" t="s">
        <v>12</v>
      </c>
      <c r="D46" s="1">
        <v>46023</v>
      </c>
      <c r="E46" s="58" t="s">
        <v>137</v>
      </c>
      <c r="F46">
        <f t="shared" si="0"/>
        <v>2026</v>
      </c>
      <c r="M46"/>
    </row>
    <row r="47" spans="1:13" x14ac:dyDescent="0.25">
      <c r="A47" t="s">
        <v>23</v>
      </c>
      <c r="B47" t="s">
        <v>55</v>
      </c>
      <c r="C47" t="s">
        <v>25</v>
      </c>
      <c r="D47" s="1">
        <v>46023</v>
      </c>
      <c r="E47" s="58" t="s">
        <v>137</v>
      </c>
      <c r="F47">
        <f t="shared" si="0"/>
        <v>2026</v>
      </c>
      <c r="M47"/>
    </row>
    <row r="48" spans="1:13" x14ac:dyDescent="0.25">
      <c r="M48"/>
    </row>
  </sheetData>
  <phoneticPr fontId="3" type="noConversion"/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4A355-1D00-4B8D-8378-C2BDDE625040}">
  <sheetPr codeName="Sheet2"/>
  <dimension ref="A1:AC81"/>
  <sheetViews>
    <sheetView showGridLines="0" tabSelected="1" zoomScale="80" zoomScaleNormal="80" workbookViewId="0">
      <pane xSplit="10" ySplit="5" topLeftCell="K9" activePane="bottomRight" state="frozen"/>
      <selection pane="topRight" activeCell="K1" sqref="K1"/>
      <selection pane="bottomLeft" activeCell="A6" sqref="A6"/>
      <selection pane="bottomRight" activeCell="D44" sqref="D44"/>
    </sheetView>
  </sheetViews>
  <sheetFormatPr defaultColWidth="15" defaultRowHeight="15" x14ac:dyDescent="0.25"/>
  <cols>
    <col min="1" max="2" width="15" style="2"/>
    <col min="3" max="3" width="16.7109375" style="2" customWidth="1"/>
    <col min="4" max="4" width="20.85546875" style="2" customWidth="1"/>
    <col min="5" max="5" width="24.7109375" style="2" customWidth="1"/>
    <col min="6" max="11" width="15" style="2"/>
    <col min="12" max="12" width="21.140625" style="2" customWidth="1"/>
    <col min="13" max="13" width="23.5703125" style="2" bestFit="1" customWidth="1"/>
    <col min="14" max="14" width="23.28515625" style="2" bestFit="1" customWidth="1"/>
    <col min="15" max="15" width="22.28515625" style="2" bestFit="1" customWidth="1"/>
    <col min="16" max="26" width="15" style="2"/>
    <col min="27" max="27" width="15" style="2" customWidth="1"/>
    <col min="28" max="16384" width="15" style="2"/>
  </cols>
  <sheetData>
    <row r="1" spans="1:29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1:29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1:29" ht="15" customHeight="1" x14ac:dyDescent="0.25">
      <c r="A3" s="6"/>
      <c r="B3" s="6"/>
      <c r="C3" s="6"/>
      <c r="D3" s="6"/>
      <c r="E3" s="6"/>
      <c r="F3" s="8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6"/>
    </row>
    <row r="4" spans="1:29" ht="15.75" customHeight="1" thickBot="1" x14ac:dyDescent="0.3">
      <c r="A4" s="5"/>
      <c r="B4" s="6"/>
      <c r="C4" s="6"/>
      <c r="D4" s="6"/>
      <c r="E4" s="6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6"/>
    </row>
    <row r="5" spans="1:29" ht="45" x14ac:dyDescent="0.25">
      <c r="A5" s="6"/>
      <c r="B5" s="105" t="s">
        <v>63</v>
      </c>
      <c r="C5" s="106" t="s">
        <v>64</v>
      </c>
      <c r="D5" s="107" t="s">
        <v>65</v>
      </c>
      <c r="E5" s="108" t="s">
        <v>66</v>
      </c>
      <c r="F5" s="105" t="s">
        <v>67</v>
      </c>
      <c r="G5" s="53" t="s">
        <v>68</v>
      </c>
      <c r="H5" s="53" t="s">
        <v>69</v>
      </c>
      <c r="I5" s="53" t="s">
        <v>70</v>
      </c>
      <c r="J5" s="53" t="s">
        <v>72</v>
      </c>
      <c r="K5" s="54" t="s">
        <v>71</v>
      </c>
      <c r="L5" s="103" t="s">
        <v>76</v>
      </c>
      <c r="M5" s="53" t="s">
        <v>73</v>
      </c>
      <c r="N5" s="53" t="s">
        <v>74</v>
      </c>
      <c r="O5" s="53" t="s">
        <v>75</v>
      </c>
      <c r="P5" s="53" t="s">
        <v>77</v>
      </c>
      <c r="Q5" s="53" t="s">
        <v>78</v>
      </c>
      <c r="R5" s="53" t="s">
        <v>79</v>
      </c>
      <c r="S5" s="53" t="s">
        <v>80</v>
      </c>
      <c r="T5" s="53" t="s">
        <v>81</v>
      </c>
      <c r="U5" s="53" t="s">
        <v>82</v>
      </c>
      <c r="V5" s="53" t="s">
        <v>71</v>
      </c>
      <c r="W5" s="53" t="s">
        <v>62</v>
      </c>
      <c r="X5" s="54" t="s">
        <v>83</v>
      </c>
      <c r="Y5" s="6"/>
    </row>
    <row r="6" spans="1:29" x14ac:dyDescent="0.25">
      <c r="A6" s="6"/>
      <c r="B6"/>
      <c r="C6"/>
      <c r="D6"/>
      <c r="E6"/>
      <c r="F6" s="109"/>
      <c r="G6" s="109"/>
      <c r="H6" s="109"/>
      <c r="I6" s="109"/>
      <c r="J6" s="109"/>
      <c r="K6" s="109"/>
      <c r="L6" s="110"/>
      <c r="M6" s="110"/>
      <c r="N6" s="12"/>
      <c r="O6" s="12"/>
      <c r="P6" s="110"/>
      <c r="Q6" s="110"/>
      <c r="R6" s="111"/>
      <c r="S6" s="110"/>
      <c r="T6" s="110"/>
      <c r="U6" s="110"/>
      <c r="V6" s="110"/>
      <c r="W6" s="112"/>
      <c r="X6" s="113"/>
      <c r="Y6" s="13"/>
      <c r="AC6" s="7"/>
    </row>
    <row r="7" spans="1:29" x14ac:dyDescent="0.25">
      <c r="A7" s="6"/>
      <c r="B7"/>
      <c r="C7"/>
      <c r="D7"/>
      <c r="E7"/>
      <c r="F7" s="109"/>
      <c r="G7" s="109"/>
      <c r="H7" s="109"/>
      <c r="I7" s="109"/>
      <c r="J7" s="109"/>
      <c r="K7" s="109"/>
      <c r="L7" s="110"/>
      <c r="M7" s="110"/>
      <c r="N7" s="12"/>
      <c r="O7" s="12"/>
      <c r="P7" s="110"/>
      <c r="Q7" s="110"/>
      <c r="R7" s="111"/>
      <c r="S7" s="110"/>
      <c r="T7" s="110"/>
      <c r="U7" s="110"/>
      <c r="V7" s="110"/>
      <c r="W7" s="112"/>
      <c r="X7" s="113"/>
      <c r="Y7" s="13"/>
      <c r="AC7" s="7"/>
    </row>
    <row r="8" spans="1:29" x14ac:dyDescent="0.25">
      <c r="A8" s="6"/>
      <c r="B8"/>
      <c r="C8"/>
      <c r="D8"/>
      <c r="E8"/>
      <c r="F8" s="109"/>
      <c r="G8" s="109"/>
      <c r="H8" s="109"/>
      <c r="I8" s="109"/>
      <c r="J8" s="109"/>
      <c r="K8" s="109"/>
      <c r="L8" s="110"/>
      <c r="M8" s="110"/>
      <c r="N8" s="12"/>
      <c r="O8" s="12"/>
      <c r="P8" s="110"/>
      <c r="Q8" s="110"/>
      <c r="R8" s="111"/>
      <c r="S8" s="110"/>
      <c r="T8" s="110"/>
      <c r="U8" s="110"/>
      <c r="V8" s="110"/>
      <c r="W8" s="112"/>
      <c r="X8" s="113"/>
      <c r="Y8" s="13"/>
      <c r="AC8" s="7"/>
    </row>
    <row r="9" spans="1:29" x14ac:dyDescent="0.25">
      <c r="A9" s="6"/>
      <c r="B9"/>
      <c r="C9"/>
      <c r="D9"/>
      <c r="E9"/>
      <c r="F9" s="109"/>
      <c r="G9" s="109"/>
      <c r="H9" s="109"/>
      <c r="I9" s="109"/>
      <c r="J9" s="109"/>
      <c r="K9" s="109"/>
      <c r="L9" s="110"/>
      <c r="M9" s="110"/>
      <c r="N9" s="12"/>
      <c r="O9" s="12"/>
      <c r="P9" s="110"/>
      <c r="Q9" s="110"/>
      <c r="R9" s="111"/>
      <c r="S9" s="110"/>
      <c r="T9" s="110"/>
      <c r="U9" s="110"/>
      <c r="V9" s="110"/>
      <c r="W9" s="112"/>
      <c r="X9" s="113"/>
      <c r="Y9" s="13"/>
      <c r="AC9" s="7"/>
    </row>
    <row r="10" spans="1:29" x14ac:dyDescent="0.25">
      <c r="A10" s="6"/>
      <c r="B10"/>
      <c r="C10"/>
      <c r="D10"/>
      <c r="E10"/>
      <c r="F10" s="109"/>
      <c r="G10" s="109"/>
      <c r="H10" s="109"/>
      <c r="I10" s="109"/>
      <c r="J10" s="109"/>
      <c r="K10" s="109"/>
      <c r="L10" s="110"/>
      <c r="M10" s="110"/>
      <c r="N10" s="12"/>
      <c r="O10" s="12"/>
      <c r="P10" s="110"/>
      <c r="Q10" s="110"/>
      <c r="R10" s="111"/>
      <c r="S10" s="110"/>
      <c r="T10" s="110"/>
      <c r="U10" s="110"/>
      <c r="V10" s="110"/>
      <c r="W10" s="112"/>
      <c r="X10" s="113"/>
      <c r="Y10" s="13"/>
      <c r="AC10" s="7"/>
    </row>
    <row r="11" spans="1:29" x14ac:dyDescent="0.25">
      <c r="A11" s="6"/>
      <c r="B11"/>
      <c r="C11"/>
      <c r="D11"/>
      <c r="E11"/>
      <c r="F11" s="109"/>
      <c r="G11" s="109"/>
      <c r="H11" s="109"/>
      <c r="I11" s="109"/>
      <c r="J11" s="109"/>
      <c r="K11" s="109"/>
      <c r="L11" s="110"/>
      <c r="M11" s="110"/>
      <c r="N11" s="12"/>
      <c r="O11" s="12"/>
      <c r="P11" s="110"/>
      <c r="Q11" s="110"/>
      <c r="R11" s="111"/>
      <c r="S11" s="110"/>
      <c r="T11" s="110"/>
      <c r="U11" s="110"/>
      <c r="V11" s="110"/>
      <c r="W11" s="112"/>
      <c r="X11" s="113"/>
      <c r="Y11" s="13"/>
      <c r="AC11" s="7"/>
    </row>
    <row r="12" spans="1:29" x14ac:dyDescent="0.25">
      <c r="A12" s="6"/>
      <c r="B12"/>
      <c r="C12"/>
      <c r="D12"/>
      <c r="E12"/>
      <c r="F12" s="109"/>
      <c r="G12" s="109"/>
      <c r="H12" s="109"/>
      <c r="I12" s="109"/>
      <c r="J12" s="109"/>
      <c r="K12" s="109"/>
      <c r="L12" s="110"/>
      <c r="M12" s="110"/>
      <c r="N12" s="12"/>
      <c r="O12" s="12"/>
      <c r="P12" s="110"/>
      <c r="Q12" s="110"/>
      <c r="R12" s="111"/>
      <c r="S12" s="110"/>
      <c r="T12" s="110"/>
      <c r="U12" s="110"/>
      <c r="V12" s="110"/>
      <c r="W12" s="112"/>
      <c r="X12" s="113"/>
      <c r="Y12" s="13"/>
      <c r="AC12" s="7"/>
    </row>
    <row r="13" spans="1:29" x14ac:dyDescent="0.25">
      <c r="A13" s="6"/>
      <c r="B13"/>
      <c r="C13"/>
      <c r="D13"/>
      <c r="E13"/>
      <c r="F13" s="109"/>
      <c r="G13" s="109"/>
      <c r="H13" s="109"/>
      <c r="I13" s="109"/>
      <c r="J13" s="109"/>
      <c r="K13" s="109"/>
      <c r="L13" s="110"/>
      <c r="M13" s="110"/>
      <c r="N13" s="12"/>
      <c r="O13" s="12"/>
      <c r="P13" s="110"/>
      <c r="Q13" s="110"/>
      <c r="R13" s="111"/>
      <c r="S13" s="110"/>
      <c r="T13" s="110"/>
      <c r="U13" s="110"/>
      <c r="V13" s="110"/>
      <c r="W13" s="112"/>
      <c r="X13" s="113"/>
      <c r="Y13" s="13"/>
      <c r="Z13" s="62"/>
      <c r="AA13" s="52"/>
      <c r="AB13" s="52"/>
      <c r="AC13" s="7"/>
    </row>
    <row r="14" spans="1:29" x14ac:dyDescent="0.25">
      <c r="A14" s="6"/>
      <c r="B14"/>
      <c r="C14"/>
      <c r="D14"/>
      <c r="E14"/>
      <c r="F14" s="109"/>
      <c r="G14" s="109"/>
      <c r="H14" s="109"/>
      <c r="I14" s="109"/>
      <c r="J14" s="109"/>
      <c r="K14" s="109"/>
      <c r="L14" s="110"/>
      <c r="M14" s="110"/>
      <c r="N14" s="12"/>
      <c r="O14" s="12"/>
      <c r="P14" s="110"/>
      <c r="Q14" s="110"/>
      <c r="R14" s="111"/>
      <c r="S14" s="110"/>
      <c r="T14" s="110"/>
      <c r="U14" s="110"/>
      <c r="V14" s="110"/>
      <c r="W14" s="112"/>
      <c r="X14" s="113"/>
      <c r="Y14" s="13"/>
      <c r="AC14" s="7"/>
    </row>
    <row r="15" spans="1:29" x14ac:dyDescent="0.25">
      <c r="A15" s="6"/>
      <c r="B15"/>
      <c r="C15"/>
      <c r="D15"/>
      <c r="E15"/>
      <c r="F15" s="109"/>
      <c r="G15" s="109"/>
      <c r="H15" s="109"/>
      <c r="I15" s="109"/>
      <c r="J15" s="109"/>
      <c r="K15" s="109"/>
      <c r="L15" s="110"/>
      <c r="M15" s="110"/>
      <c r="N15" s="12"/>
      <c r="O15" s="12"/>
      <c r="P15" s="110"/>
      <c r="Q15" s="110"/>
      <c r="R15" s="111"/>
      <c r="S15" s="110"/>
      <c r="T15" s="110"/>
      <c r="U15" s="110"/>
      <c r="V15" s="110"/>
      <c r="W15" s="112"/>
      <c r="X15" s="113"/>
      <c r="Y15" s="13"/>
      <c r="AC15" s="7"/>
    </row>
    <row r="16" spans="1:29" x14ac:dyDescent="0.25">
      <c r="A16" s="6"/>
      <c r="B16"/>
      <c r="C16"/>
      <c r="D16"/>
      <c r="E16"/>
      <c r="F16" s="109"/>
      <c r="G16" s="109"/>
      <c r="H16" s="109"/>
      <c r="I16" s="109"/>
      <c r="J16" s="109"/>
      <c r="K16" s="109"/>
      <c r="L16" s="110"/>
      <c r="M16" s="110"/>
      <c r="N16" s="12"/>
      <c r="O16" s="12"/>
      <c r="P16" s="110"/>
      <c r="Q16" s="110"/>
      <c r="R16" s="111"/>
      <c r="S16" s="110"/>
      <c r="T16" s="110"/>
      <c r="U16" s="110"/>
      <c r="V16" s="110"/>
      <c r="W16" s="112"/>
      <c r="X16" s="113"/>
      <c r="Y16" s="13"/>
      <c r="AC16" s="7"/>
    </row>
    <row r="17" spans="1:29" x14ac:dyDescent="0.25">
      <c r="A17" s="6"/>
      <c r="B17"/>
      <c r="C17"/>
      <c r="D17"/>
      <c r="E17"/>
      <c r="F17" s="109"/>
      <c r="G17" s="109"/>
      <c r="H17" s="109"/>
      <c r="I17" s="109"/>
      <c r="J17" s="109"/>
      <c r="K17" s="109"/>
      <c r="L17" s="110"/>
      <c r="M17" s="110"/>
      <c r="N17" s="12"/>
      <c r="O17" s="12"/>
      <c r="P17" s="110"/>
      <c r="Q17" s="110"/>
      <c r="R17" s="111"/>
      <c r="S17" s="110"/>
      <c r="T17" s="110"/>
      <c r="U17" s="110"/>
      <c r="V17" s="110"/>
      <c r="W17" s="112"/>
      <c r="X17" s="113"/>
      <c r="Y17" s="13"/>
      <c r="AC17" s="7"/>
    </row>
    <row r="18" spans="1:29" x14ac:dyDescent="0.25">
      <c r="A18" s="6"/>
      <c r="B18"/>
      <c r="C18"/>
      <c r="D18"/>
      <c r="E18"/>
      <c r="F18" s="109"/>
      <c r="G18" s="109"/>
      <c r="H18" s="109"/>
      <c r="I18" s="109"/>
      <c r="J18" s="109"/>
      <c r="K18" s="109"/>
      <c r="L18" s="110"/>
      <c r="M18" s="110"/>
      <c r="N18" s="12"/>
      <c r="O18" s="12"/>
      <c r="P18" s="110"/>
      <c r="Q18" s="110"/>
      <c r="R18" s="111"/>
      <c r="S18" s="110"/>
      <c r="T18" s="110"/>
      <c r="U18" s="110"/>
      <c r="V18" s="110"/>
      <c r="W18" s="112"/>
      <c r="X18" s="113"/>
      <c r="Y18" s="13"/>
      <c r="AC18" s="7"/>
    </row>
    <row r="19" spans="1:29" x14ac:dyDescent="0.25">
      <c r="A19" s="6"/>
      <c r="B19"/>
      <c r="C19"/>
      <c r="D19"/>
      <c r="E19"/>
      <c r="F19" s="109"/>
      <c r="G19" s="109"/>
      <c r="H19" s="109"/>
      <c r="I19" s="109"/>
      <c r="J19" s="109"/>
      <c r="K19" s="109"/>
      <c r="L19" s="110"/>
      <c r="M19" s="110"/>
      <c r="N19" s="12"/>
      <c r="O19" s="12"/>
      <c r="P19" s="110"/>
      <c r="Q19" s="110"/>
      <c r="R19" s="111"/>
      <c r="S19" s="110"/>
      <c r="T19" s="110"/>
      <c r="U19" s="110"/>
      <c r="V19" s="110"/>
      <c r="W19" s="112"/>
      <c r="X19" s="113"/>
      <c r="Y19" s="13"/>
      <c r="AC19" s="7"/>
    </row>
    <row r="20" spans="1:29" x14ac:dyDescent="0.25">
      <c r="A20" s="6"/>
      <c r="B20"/>
      <c r="C20"/>
      <c r="D20"/>
      <c r="E20"/>
      <c r="F20" s="109"/>
      <c r="G20" s="109"/>
      <c r="H20" s="109"/>
      <c r="I20" s="109"/>
      <c r="J20" s="109"/>
      <c r="K20" s="109"/>
      <c r="L20" s="110"/>
      <c r="M20" s="110"/>
      <c r="N20" s="12"/>
      <c r="O20" s="12"/>
      <c r="P20" s="110"/>
      <c r="Q20" s="110"/>
      <c r="R20" s="111"/>
      <c r="S20" s="110"/>
      <c r="T20" s="110"/>
      <c r="U20" s="110"/>
      <c r="V20" s="110"/>
      <c r="W20" s="112"/>
      <c r="X20" s="113"/>
      <c r="Y20" s="13"/>
      <c r="AC20" s="7"/>
    </row>
    <row r="21" spans="1:29" x14ac:dyDescent="0.25">
      <c r="A21" s="6"/>
      <c r="B21"/>
      <c r="C21"/>
      <c r="D21"/>
      <c r="E21"/>
      <c r="F21" s="109"/>
      <c r="G21" s="109"/>
      <c r="H21" s="109"/>
      <c r="I21" s="109"/>
      <c r="J21" s="109"/>
      <c r="K21" s="109"/>
      <c r="L21" s="110"/>
      <c r="M21" s="110"/>
      <c r="N21" s="12"/>
      <c r="O21" s="12"/>
      <c r="P21" s="110"/>
      <c r="Q21" s="110"/>
      <c r="R21" s="111"/>
      <c r="S21" s="110"/>
      <c r="T21" s="110"/>
      <c r="U21" s="110"/>
      <c r="V21" s="110"/>
      <c r="W21" s="112"/>
      <c r="X21" s="113"/>
      <c r="Y21" s="13"/>
      <c r="AC21" s="7"/>
    </row>
    <row r="22" spans="1:29" x14ac:dyDescent="0.25">
      <c r="A22" s="6"/>
      <c r="B22"/>
      <c r="C22"/>
      <c r="D22"/>
      <c r="E22"/>
      <c r="F22" s="109"/>
      <c r="G22" s="109"/>
      <c r="H22" s="109"/>
      <c r="I22" s="109"/>
      <c r="J22" s="109"/>
      <c r="K22" s="109"/>
      <c r="L22" s="110"/>
      <c r="M22" s="110"/>
      <c r="N22" s="12"/>
      <c r="O22" s="12"/>
      <c r="P22" s="110"/>
      <c r="Q22" s="110"/>
      <c r="R22" s="111"/>
      <c r="S22" s="110"/>
      <c r="T22" s="110"/>
      <c r="U22" s="110"/>
      <c r="V22" s="110"/>
      <c r="W22" s="112"/>
      <c r="X22" s="113"/>
      <c r="Y22" s="13"/>
      <c r="AC22" s="7"/>
    </row>
    <row r="23" spans="1:29" x14ac:dyDescent="0.25">
      <c r="A23" s="6"/>
      <c r="B23"/>
      <c r="C23"/>
      <c r="D23"/>
      <c r="E23"/>
      <c r="F23" s="109"/>
      <c r="G23" s="109"/>
      <c r="H23" s="109"/>
      <c r="I23" s="109"/>
      <c r="J23" s="109"/>
      <c r="K23" s="109"/>
      <c r="L23" s="110"/>
      <c r="M23" s="110"/>
      <c r="N23" s="12"/>
      <c r="O23" s="12"/>
      <c r="P23" s="110"/>
      <c r="Q23" s="110"/>
      <c r="R23" s="111"/>
      <c r="S23" s="110"/>
      <c r="T23" s="110"/>
      <c r="U23" s="110"/>
      <c r="V23" s="110"/>
      <c r="W23" s="112"/>
      <c r="X23" s="113"/>
      <c r="Y23" s="13"/>
      <c r="AC23" s="7"/>
    </row>
    <row r="24" spans="1:29" x14ac:dyDescent="0.25">
      <c r="A24" s="6"/>
      <c r="B24"/>
      <c r="C24"/>
      <c r="D24"/>
      <c r="E24"/>
      <c r="F24" s="109"/>
      <c r="G24" s="109"/>
      <c r="H24" s="109"/>
      <c r="I24" s="109"/>
      <c r="J24" s="109"/>
      <c r="K24" s="109"/>
      <c r="L24" s="110"/>
      <c r="M24" s="110"/>
      <c r="N24" s="12"/>
      <c r="O24" s="12"/>
      <c r="P24" s="110"/>
      <c r="Q24" s="110"/>
      <c r="R24" s="111"/>
      <c r="S24" s="110"/>
      <c r="T24" s="110"/>
      <c r="U24" s="110"/>
      <c r="V24" s="110"/>
      <c r="W24" s="112"/>
      <c r="X24" s="113"/>
      <c r="Y24" s="13"/>
      <c r="AC24" s="7"/>
    </row>
    <row r="25" spans="1:29" x14ac:dyDescent="0.25">
      <c r="A25" s="6"/>
      <c r="B25"/>
      <c r="C25"/>
      <c r="D25"/>
      <c r="E25"/>
      <c r="F25" s="109"/>
      <c r="G25" s="109"/>
      <c r="H25" s="109"/>
      <c r="I25" s="109"/>
      <c r="J25" s="109"/>
      <c r="K25" s="109"/>
      <c r="L25" s="110"/>
      <c r="M25" s="110"/>
      <c r="N25" s="12"/>
      <c r="O25" s="12"/>
      <c r="P25" s="110"/>
      <c r="Q25" s="110"/>
      <c r="R25" s="111"/>
      <c r="S25" s="110"/>
      <c r="T25" s="110"/>
      <c r="U25" s="110"/>
      <c r="V25" s="110"/>
      <c r="W25" s="112"/>
      <c r="X25" s="113"/>
      <c r="Y25" s="13"/>
      <c r="AC25" s="7"/>
    </row>
    <row r="26" spans="1:29" x14ac:dyDescent="0.25">
      <c r="A26" s="6"/>
      <c r="B26"/>
      <c r="C26"/>
      <c r="D26"/>
      <c r="E26"/>
      <c r="F26" s="109"/>
      <c r="G26" s="109"/>
      <c r="H26" s="109"/>
      <c r="I26" s="109"/>
      <c r="J26" s="109"/>
      <c r="K26" s="109"/>
      <c r="L26" s="110"/>
      <c r="M26" s="110"/>
      <c r="N26" s="12"/>
      <c r="O26" s="12"/>
      <c r="P26" s="110"/>
      <c r="Q26" s="110"/>
      <c r="R26" s="111"/>
      <c r="S26" s="110"/>
      <c r="T26" s="110"/>
      <c r="U26" s="110"/>
      <c r="V26" s="110"/>
      <c r="W26" s="112"/>
      <c r="X26" s="113"/>
      <c r="Y26" s="13"/>
      <c r="AC26" s="7"/>
    </row>
    <row r="27" spans="1:29" x14ac:dyDescent="0.25">
      <c r="A27" s="6"/>
      <c r="B27"/>
      <c r="C27"/>
      <c r="D27"/>
      <c r="E27"/>
      <c r="F27" s="109"/>
      <c r="G27" s="109"/>
      <c r="H27" s="109"/>
      <c r="I27" s="109"/>
      <c r="J27" s="109"/>
      <c r="K27" s="109"/>
      <c r="L27" s="110"/>
      <c r="M27" s="110"/>
      <c r="N27" s="12"/>
      <c r="O27" s="12"/>
      <c r="P27" s="110"/>
      <c r="Q27" s="110"/>
      <c r="R27" s="111"/>
      <c r="S27" s="110"/>
      <c r="T27" s="110"/>
      <c r="U27" s="110"/>
      <c r="V27" s="110"/>
      <c r="W27" s="112"/>
      <c r="X27" s="113"/>
      <c r="Y27" s="13"/>
      <c r="AC27" s="7"/>
    </row>
    <row r="28" spans="1:29" x14ac:dyDescent="0.25">
      <c r="A28" s="6"/>
      <c r="B28"/>
      <c r="C28"/>
      <c r="D28"/>
      <c r="E28"/>
      <c r="F28" s="109"/>
      <c r="G28" s="109"/>
      <c r="H28" s="109"/>
      <c r="I28" s="109"/>
      <c r="J28" s="109"/>
      <c r="K28" s="109"/>
      <c r="L28" s="110"/>
      <c r="M28" s="110"/>
      <c r="N28" s="12"/>
      <c r="O28" s="12"/>
      <c r="P28" s="110"/>
      <c r="Q28" s="110"/>
      <c r="R28" s="111"/>
      <c r="S28" s="110"/>
      <c r="T28" s="110"/>
      <c r="U28" s="110"/>
      <c r="V28" s="110"/>
      <c r="W28" s="112"/>
      <c r="X28" s="113"/>
      <c r="Y28" s="13"/>
      <c r="AC28" s="7"/>
    </row>
    <row r="29" spans="1:29" x14ac:dyDescent="0.25">
      <c r="A29" s="6"/>
      <c r="B29"/>
      <c r="C29"/>
      <c r="D29"/>
      <c r="E29"/>
      <c r="F29" s="109"/>
      <c r="G29" s="109"/>
      <c r="H29" s="109"/>
      <c r="I29" s="109"/>
      <c r="J29" s="109"/>
      <c r="K29" s="109"/>
      <c r="L29" s="110"/>
      <c r="M29" s="110"/>
      <c r="N29" s="12"/>
      <c r="O29" s="12"/>
      <c r="P29" s="110"/>
      <c r="Q29" s="110"/>
      <c r="R29" s="111"/>
      <c r="S29" s="110"/>
      <c r="T29" s="110"/>
      <c r="U29" s="110"/>
      <c r="V29" s="110"/>
      <c r="W29" s="112"/>
      <c r="X29" s="113"/>
      <c r="Y29" s="13"/>
      <c r="AC29" s="7"/>
    </row>
    <row r="30" spans="1:29" x14ac:dyDescent="0.25">
      <c r="A30" s="6"/>
      <c r="B30"/>
      <c r="C30"/>
      <c r="D30"/>
      <c r="E30"/>
      <c r="F30" s="109"/>
      <c r="G30" s="109"/>
      <c r="H30" s="109"/>
      <c r="I30" s="109"/>
      <c r="J30" s="109"/>
      <c r="K30" s="109"/>
      <c r="L30" s="110"/>
      <c r="M30" s="110"/>
      <c r="N30" s="12"/>
      <c r="O30" s="12"/>
      <c r="P30" s="110"/>
      <c r="Q30" s="110"/>
      <c r="R30" s="111"/>
      <c r="S30" s="110"/>
      <c r="T30" s="110"/>
      <c r="U30" s="110"/>
      <c r="V30" s="110"/>
      <c r="W30" s="112"/>
      <c r="X30" s="113"/>
      <c r="Y30" s="13"/>
      <c r="AC30" s="7"/>
    </row>
    <row r="31" spans="1:29" x14ac:dyDescent="0.25">
      <c r="A31" s="6"/>
      <c r="B31"/>
      <c r="C31"/>
      <c r="D31"/>
      <c r="E31"/>
      <c r="F31" s="109"/>
      <c r="G31" s="109"/>
      <c r="H31" s="109"/>
      <c r="I31" s="109"/>
      <c r="J31" s="109"/>
      <c r="K31" s="109"/>
      <c r="L31" s="110"/>
      <c r="M31" s="110"/>
      <c r="N31" s="12"/>
      <c r="O31" s="12"/>
      <c r="P31" s="110"/>
      <c r="Q31" s="110"/>
      <c r="R31" s="111"/>
      <c r="S31" s="110"/>
      <c r="T31" s="110"/>
      <c r="U31" s="110"/>
      <c r="V31" s="110"/>
      <c r="W31" s="112"/>
      <c r="X31" s="113"/>
      <c r="Y31" s="13"/>
      <c r="AC31" s="7"/>
    </row>
    <row r="32" spans="1:29" x14ac:dyDescent="0.25">
      <c r="A32" s="6"/>
      <c r="B32"/>
      <c r="C32"/>
      <c r="D32"/>
      <c r="E32"/>
      <c r="F32" s="109"/>
      <c r="G32" s="109"/>
      <c r="H32" s="109"/>
      <c r="I32" s="109"/>
      <c r="J32" s="109"/>
      <c r="K32" s="109"/>
      <c r="L32" s="110"/>
      <c r="M32" s="110"/>
      <c r="N32" s="12"/>
      <c r="O32" s="12"/>
      <c r="P32" s="110"/>
      <c r="Q32" s="110"/>
      <c r="R32" s="111"/>
      <c r="S32" s="110"/>
      <c r="T32" s="110"/>
      <c r="U32" s="110"/>
      <c r="V32" s="110"/>
      <c r="W32" s="112"/>
      <c r="X32" s="113"/>
      <c r="Y32" s="13"/>
      <c r="AC32" s="7"/>
    </row>
    <row r="33" spans="1:29" x14ac:dyDescent="0.25">
      <c r="A33" s="6"/>
      <c r="B33"/>
      <c r="C33"/>
      <c r="D33"/>
      <c r="E33"/>
      <c r="F33" s="109"/>
      <c r="G33" s="109"/>
      <c r="H33" s="109"/>
      <c r="I33" s="109"/>
      <c r="J33" s="109"/>
      <c r="K33" s="109"/>
      <c r="L33" s="110"/>
      <c r="M33" s="110"/>
      <c r="N33" s="12"/>
      <c r="O33" s="12"/>
      <c r="P33" s="110"/>
      <c r="Q33" s="110"/>
      <c r="R33" s="111"/>
      <c r="S33" s="110"/>
      <c r="T33" s="110"/>
      <c r="U33" s="110"/>
      <c r="V33" s="110"/>
      <c r="W33" s="112"/>
      <c r="X33" s="113"/>
      <c r="Y33" s="13"/>
      <c r="AC33" s="7"/>
    </row>
    <row r="34" spans="1:29" x14ac:dyDescent="0.25">
      <c r="A34" s="6"/>
      <c r="B34"/>
      <c r="C34"/>
      <c r="D34"/>
      <c r="E34"/>
      <c r="F34" s="109"/>
      <c r="G34" s="109"/>
      <c r="H34" s="109"/>
      <c r="I34" s="109"/>
      <c r="J34" s="109"/>
      <c r="K34" s="109"/>
      <c r="L34" s="110"/>
      <c r="M34" s="110"/>
      <c r="N34" s="12"/>
      <c r="O34" s="12"/>
      <c r="P34" s="110"/>
      <c r="Q34" s="110"/>
      <c r="R34" s="111"/>
      <c r="S34" s="110"/>
      <c r="T34" s="110"/>
      <c r="U34" s="110"/>
      <c r="V34" s="110"/>
      <c r="W34" s="112"/>
      <c r="X34" s="113"/>
      <c r="Y34" s="13"/>
      <c r="AC34" s="7"/>
    </row>
    <row r="35" spans="1:29" x14ac:dyDescent="0.25">
      <c r="A35" s="6"/>
      <c r="B35"/>
      <c r="C35"/>
      <c r="D35"/>
      <c r="E35"/>
      <c r="F35" s="109"/>
      <c r="G35" s="109"/>
      <c r="H35" s="109"/>
      <c r="I35" s="109"/>
      <c r="J35" s="109"/>
      <c r="K35" s="109"/>
      <c r="L35" s="110"/>
      <c r="M35" s="110"/>
      <c r="N35" s="12"/>
      <c r="O35" s="12"/>
      <c r="P35" s="110"/>
      <c r="Q35" s="110"/>
      <c r="R35" s="111"/>
      <c r="S35" s="110"/>
      <c r="T35" s="110"/>
      <c r="U35" s="110"/>
      <c r="V35" s="110"/>
      <c r="W35" s="112"/>
      <c r="X35" s="113"/>
      <c r="Y35" s="13"/>
      <c r="AC35" s="7"/>
    </row>
    <row r="36" spans="1:29" x14ac:dyDescent="0.25">
      <c r="A36" s="6"/>
      <c r="B36"/>
      <c r="C36"/>
      <c r="D36"/>
      <c r="E36"/>
      <c r="F36" s="109"/>
      <c r="G36" s="109"/>
      <c r="H36" s="109"/>
      <c r="I36" s="109"/>
      <c r="J36" s="109"/>
      <c r="K36" s="109"/>
      <c r="L36" s="110"/>
      <c r="M36" s="110"/>
      <c r="N36" s="12"/>
      <c r="O36" s="12"/>
      <c r="P36" s="110"/>
      <c r="Q36" s="110"/>
      <c r="R36" s="111"/>
      <c r="S36" s="110"/>
      <c r="T36" s="110"/>
      <c r="U36" s="110"/>
      <c r="V36" s="110"/>
      <c r="W36" s="112"/>
      <c r="X36" s="113"/>
      <c r="Y36" s="13"/>
      <c r="AC36" s="7"/>
    </row>
    <row r="37" spans="1:29" x14ac:dyDescent="0.25">
      <c r="A37" s="6"/>
      <c r="B37"/>
      <c r="C37"/>
      <c r="D37"/>
      <c r="E37"/>
      <c r="F37" s="109"/>
      <c r="G37" s="109"/>
      <c r="H37" s="109"/>
      <c r="I37" s="109"/>
      <c r="J37" s="109"/>
      <c r="K37" s="109"/>
      <c r="L37" s="110"/>
      <c r="M37" s="110"/>
      <c r="N37" s="12"/>
      <c r="O37" s="12"/>
      <c r="P37" s="110"/>
      <c r="Q37" s="110"/>
      <c r="R37" s="111"/>
      <c r="S37" s="110"/>
      <c r="T37" s="110"/>
      <c r="U37" s="110"/>
      <c r="V37" s="110"/>
      <c r="W37" s="112"/>
      <c r="X37" s="113"/>
      <c r="Y37" s="13"/>
      <c r="AC37" s="7"/>
    </row>
    <row r="38" spans="1:29" x14ac:dyDescent="0.25">
      <c r="A38" s="6"/>
      <c r="B38"/>
      <c r="C38"/>
      <c r="D38"/>
      <c r="E38"/>
      <c r="F38" s="109"/>
      <c r="G38" s="109"/>
      <c r="H38" s="109"/>
      <c r="I38" s="109"/>
      <c r="J38" s="109"/>
      <c r="K38" s="109"/>
      <c r="L38" s="110"/>
      <c r="M38" s="110"/>
      <c r="N38" s="12"/>
      <c r="O38" s="12"/>
      <c r="P38" s="110"/>
      <c r="Q38" s="110"/>
      <c r="R38" s="111"/>
      <c r="S38" s="110"/>
      <c r="T38" s="110"/>
      <c r="U38" s="110"/>
      <c r="V38" s="110"/>
      <c r="W38" s="112"/>
      <c r="X38" s="113"/>
      <c r="Y38" s="13"/>
      <c r="AC38" s="7"/>
    </row>
    <row r="39" spans="1:29" x14ac:dyDescent="0.25">
      <c r="A39" s="6"/>
      <c r="B39"/>
      <c r="C39"/>
      <c r="D39"/>
      <c r="E39"/>
      <c r="F39" s="109"/>
      <c r="G39" s="109"/>
      <c r="H39" s="109"/>
      <c r="I39" s="109"/>
      <c r="J39" s="109"/>
      <c r="K39" s="109"/>
      <c r="L39" s="111"/>
      <c r="M39" s="111"/>
      <c r="N39" s="55"/>
      <c r="O39" s="56"/>
      <c r="P39" s="111"/>
      <c r="Q39" s="111"/>
      <c r="R39" s="111"/>
      <c r="S39" s="111"/>
      <c r="T39" s="111"/>
      <c r="U39" s="111"/>
      <c r="V39" s="111"/>
      <c r="W39" s="114"/>
      <c r="X39" s="113"/>
      <c r="Y39" s="13"/>
    </row>
    <row r="40" spans="1:29" x14ac:dyDescent="0.25">
      <c r="A40" s="6"/>
      <c r="B40"/>
      <c r="C40"/>
      <c r="D40"/>
      <c r="E40"/>
      <c r="F40" s="109"/>
      <c r="G40" s="109"/>
      <c r="H40" s="109"/>
      <c r="I40" s="109"/>
      <c r="J40" s="109"/>
      <c r="K40" s="109"/>
      <c r="L40" s="115"/>
      <c r="M40" s="115"/>
      <c r="N40" s="116"/>
      <c r="O40" s="56"/>
      <c r="P40" s="115"/>
      <c r="Q40" s="115"/>
      <c r="R40" s="115"/>
      <c r="S40" s="115"/>
      <c r="T40" s="115"/>
      <c r="U40" s="115"/>
      <c r="V40" s="115"/>
      <c r="W40" s="115"/>
      <c r="X40" s="113"/>
      <c r="Y40" s="14"/>
    </row>
    <row r="41" spans="1:29" x14ac:dyDescent="0.25">
      <c r="A41" s="6"/>
      <c r="B41"/>
      <c r="C41"/>
      <c r="D41"/>
      <c r="E41"/>
      <c r="F41" s="109"/>
      <c r="G41" s="109"/>
      <c r="H41" s="109"/>
      <c r="I41" s="109"/>
      <c r="J41" s="109"/>
      <c r="K41" s="109"/>
      <c r="L41" s="115"/>
      <c r="M41" s="115"/>
      <c r="N41" s="116"/>
      <c r="O41" s="56"/>
      <c r="P41" s="115"/>
      <c r="Q41" s="115"/>
      <c r="R41" s="115"/>
      <c r="S41" s="115"/>
      <c r="T41" s="115"/>
      <c r="U41" s="115"/>
      <c r="V41" s="115"/>
      <c r="W41" s="115"/>
      <c r="X41" s="113"/>
      <c r="Y41" s="14"/>
    </row>
    <row r="42" spans="1:29" x14ac:dyDescent="0.25">
      <c r="A42" s="6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 s="5"/>
    </row>
    <row r="43" spans="1:29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5"/>
    </row>
    <row r="44" spans="1:29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5"/>
    </row>
    <row r="46" spans="1:29" x14ac:dyDescent="0.25">
      <c r="D46" s="52"/>
    </row>
    <row r="47" spans="1:29" x14ac:dyDescent="0.25">
      <c r="A47" s="4"/>
    </row>
    <row r="48" spans="1:29" x14ac:dyDescent="0.25">
      <c r="C48" s="10"/>
      <c r="D48"/>
      <c r="E48"/>
      <c r="F48"/>
      <c r="G48"/>
      <c r="H48"/>
    </row>
    <row r="49" spans="1:8" x14ac:dyDescent="0.25">
      <c r="C49" s="11"/>
      <c r="D49" s="11"/>
      <c r="E49" s="11"/>
      <c r="F49" s="11"/>
      <c r="G49" s="11"/>
      <c r="H49" s="11"/>
    </row>
    <row r="50" spans="1:8" ht="45" x14ac:dyDescent="0.25">
      <c r="C50" s="35" t="s">
        <v>87</v>
      </c>
      <c r="D50" s="35" t="s">
        <v>88</v>
      </c>
      <c r="E50" s="35" t="s">
        <v>89</v>
      </c>
      <c r="F50" s="35" t="s">
        <v>88</v>
      </c>
      <c r="G50" s="35" t="s">
        <v>151</v>
      </c>
      <c r="H50" s="11"/>
    </row>
    <row r="51" spans="1:8" ht="42.75" customHeight="1" x14ac:dyDescent="0.25">
      <c r="A51" s="10"/>
      <c r="B51"/>
      <c r="C51" s="36" t="str">
        <f>VLOOKUP(E51,DATA!$AF$1:$AJ$2,2,0)</f>
        <v>Endorsement Type</v>
      </c>
      <c r="D51" s="36" t="s">
        <v>91</v>
      </c>
      <c r="E51" s="59" t="s">
        <v>92</v>
      </c>
      <c r="F51" s="36" t="s">
        <v>93</v>
      </c>
      <c r="G51" s="66"/>
      <c r="H51" s="11"/>
    </row>
    <row r="52" spans="1:8" ht="30" x14ac:dyDescent="0.25">
      <c r="C52" s="36" t="str">
        <f>VLOOKUP(E51,DATA!$AF$1:$AJ$2,3,0)</f>
        <v>Endorsement Start Date</v>
      </c>
      <c r="D52" s="37">
        <f>+DATA!AB2</f>
        <v>44926</v>
      </c>
      <c r="E52" s="36" t="s">
        <v>94</v>
      </c>
      <c r="F52" s="36" t="s">
        <v>95</v>
      </c>
      <c r="G52" s="11"/>
      <c r="H52" s="11"/>
    </row>
    <row r="53" spans="1:8" ht="30" x14ac:dyDescent="0.25">
      <c r="C53" s="36" t="s">
        <v>96</v>
      </c>
      <c r="D53" s="63">
        <f>IF(DATA!T2="(blank)","",DATA!T2)</f>
        <v>90</v>
      </c>
      <c r="E53" s="36" t="str">
        <f>VLOOKUP(E51,DATA!$AF$1:$AJ$2,5,0)</f>
        <v>Premium For Endorsement</v>
      </c>
      <c r="F53" s="38">
        <f>+DATA!Q2</f>
        <v>256.05</v>
      </c>
      <c r="G53" s="11"/>
      <c r="H53" s="11"/>
    </row>
    <row r="54" spans="1:8" ht="30" x14ac:dyDescent="0.25">
      <c r="C54" s="36" t="s">
        <v>98</v>
      </c>
      <c r="D54" s="102">
        <f>IF(DATA!AC2="(blank)","",IF(DATA!AC2&lt;0,"Ajuste Manual Mirar Cuado de Abajo",DATA!AC2))</f>
        <v>0.28002343292325715</v>
      </c>
      <c r="E54" s="36" t="str">
        <f>VLOOKUP(E51,DATA!$AF$1:$AK$2,6,0)</f>
        <v>Endorsement End Date (Expiry)</v>
      </c>
      <c r="F54" s="37" t="str">
        <f>+VLOOKUP(D70,DATA!B2:E47,4,0)</f>
        <v>12/31/2022</v>
      </c>
      <c r="G54" s="11"/>
      <c r="H54" s="11"/>
    </row>
    <row r="55" spans="1:8" x14ac:dyDescent="0.25">
      <c r="C55" s="36" t="s">
        <v>100</v>
      </c>
      <c r="D55" s="38">
        <f>IF(DATA!R2="(blank)","",DATA!R2)</f>
        <v>1546714.06</v>
      </c>
      <c r="E55" s="118" t="s">
        <v>101</v>
      </c>
      <c r="F55" s="118" t="str">
        <f>VLOOKUP(E51,DATA!$AF$1:$AJ$2,4,0)</f>
        <v>Issuance - Endorsement</v>
      </c>
      <c r="G55" s="11"/>
      <c r="H55" s="11"/>
    </row>
    <row r="56" spans="1:8" ht="30" x14ac:dyDescent="0.25">
      <c r="C56" s="36" t="s">
        <v>103</v>
      </c>
      <c r="D56" s="38">
        <f>IF(D79=0,E79,D79)</f>
        <v>2.56</v>
      </c>
      <c r="E56" s="118"/>
      <c r="F56" s="118"/>
      <c r="G56" s="11"/>
      <c r="H56" s="11"/>
    </row>
    <row r="57" spans="1:8" x14ac:dyDescent="0.25">
      <c r="C57" s="11"/>
      <c r="D57" s="11"/>
      <c r="E57" s="11"/>
      <c r="F57" s="11"/>
      <c r="G57" s="11"/>
      <c r="H57" s="11"/>
    </row>
    <row r="58" spans="1:8" x14ac:dyDescent="0.25">
      <c r="C58" s="35" t="s">
        <v>104</v>
      </c>
      <c r="D58" s="36">
        <f>VLOOKUP(E51,DATA!$AF$1:$AM$2,7,0)</f>
        <v>2</v>
      </c>
      <c r="E58" s="11"/>
      <c r="F58" s="11"/>
      <c r="G58" s="11"/>
      <c r="H58" s="11"/>
    </row>
    <row r="59" spans="1:8" x14ac:dyDescent="0.25">
      <c r="C59" s="35" t="s">
        <v>105</v>
      </c>
      <c r="D59" s="36">
        <f>VLOOKUP(E51,DATA!$AF$1:$AM$2,8,0)</f>
        <v>1</v>
      </c>
      <c r="E59" s="11"/>
      <c r="F59" s="11"/>
      <c r="G59" s="11"/>
      <c r="H59" s="11"/>
    </row>
    <row r="60" spans="1:8" ht="15.75" customHeight="1" x14ac:dyDescent="0.25">
      <c r="C60" s="35" t="s">
        <v>106</v>
      </c>
      <c r="D60" s="37">
        <f>+DATA!AB2</f>
        <v>44926</v>
      </c>
      <c r="E60" s="11"/>
      <c r="F60" s="11"/>
      <c r="G60" s="11"/>
      <c r="H60" s="11"/>
    </row>
    <row r="61" spans="1:8" ht="15.75" customHeight="1" x14ac:dyDescent="0.25">
      <c r="C61" s="35" t="s">
        <v>107</v>
      </c>
      <c r="D61" s="36" t="str">
        <f>VLOOKUP(E51,DATA!$AF$1:$AN$2,9,0)</f>
        <v>ADD</v>
      </c>
      <c r="E61" s="11"/>
      <c r="F61" s="11"/>
      <c r="G61" s="11"/>
      <c r="H61" s="11"/>
    </row>
    <row r="62" spans="1:8" ht="15.75" customHeight="1" x14ac:dyDescent="0.25">
      <c r="C62" s="11"/>
      <c r="D62" s="11"/>
      <c r="E62" s="11"/>
      <c r="F62" s="11"/>
      <c r="G62" s="11"/>
      <c r="H62" s="11"/>
    </row>
    <row r="63" spans="1:8" ht="15.75" customHeight="1" x14ac:dyDescent="0.25">
      <c r="C63" s="35" t="s">
        <v>56</v>
      </c>
      <c r="D63" s="36" t="str">
        <f>IF(D72="(blank)","",D72)</f>
        <v>Section D</v>
      </c>
      <c r="E63" s="11"/>
      <c r="F63" s="11"/>
      <c r="G63" s="11"/>
      <c r="H63" s="11"/>
    </row>
    <row r="64" spans="1:8" ht="15" customHeight="1" x14ac:dyDescent="0.25">
      <c r="C64" s="39" t="s">
        <v>109</v>
      </c>
      <c r="D64" s="38">
        <f>IF(DATA!R2="(blank)","",DATA!R2)</f>
        <v>1546714.06</v>
      </c>
      <c r="E64" s="11"/>
      <c r="F64" s="11"/>
      <c r="G64" s="11"/>
      <c r="H64" s="11"/>
    </row>
    <row r="65" spans="3:8" x14ac:dyDescent="0.25">
      <c r="C65" s="39" t="s">
        <v>110</v>
      </c>
      <c r="D65" s="38">
        <f>IF(F53&lt;0,"Ajuste Manual Mirar Cuado de Abajo",F53)</f>
        <v>256.05</v>
      </c>
      <c r="E65" s="11"/>
      <c r="F65" s="11"/>
      <c r="G65" s="11"/>
      <c r="H65" s="11"/>
    </row>
    <row r="66" spans="3:8" x14ac:dyDescent="0.25">
      <c r="C66" s="39" t="s">
        <v>111</v>
      </c>
      <c r="D66" s="102">
        <f>IF(DATA!AC2="(blank)","",IF(DATA!AC2&lt;0,"Ajuste Manual Mirar Cuado de Abajo",DATA!AC2))</f>
        <v>0.28002343292325715</v>
      </c>
      <c r="E66" s="11"/>
      <c r="F66" s="11"/>
      <c r="G66" s="11"/>
      <c r="H66" s="11"/>
    </row>
    <row r="67" spans="3:8" x14ac:dyDescent="0.25">
      <c r="C67" s="39" t="s">
        <v>112</v>
      </c>
      <c r="D67" s="102">
        <f>IF(DATA!S2="(blank)","",IF(DATA!S2&lt;0,"Ajuste Manual Mirar Cuado de Abajo",DATA!S2))</f>
        <v>9.9980472563952344E-3</v>
      </c>
      <c r="E67" s="11"/>
      <c r="F67" s="11"/>
      <c r="G67" s="11"/>
      <c r="H67" s="11"/>
    </row>
    <row r="68" spans="3:8" x14ac:dyDescent="0.25">
      <c r="C68" s="39" t="s">
        <v>113</v>
      </c>
      <c r="D68" s="37">
        <f ca="1">+NOW()+D53</f>
        <v>45372.293330555556</v>
      </c>
      <c r="E68" s="11"/>
      <c r="F68" s="11"/>
      <c r="G68" s="11"/>
      <c r="H68" s="11"/>
    </row>
    <row r="69" spans="3:8" x14ac:dyDescent="0.25">
      <c r="C69" s="11"/>
      <c r="D69" s="11"/>
      <c r="E69" s="11"/>
      <c r="F69" s="11"/>
      <c r="G69" s="11"/>
      <c r="H69" s="11"/>
    </row>
    <row r="70" spans="3:8" x14ac:dyDescent="0.25">
      <c r="C70" s="40" t="s">
        <v>114</v>
      </c>
      <c r="D70" s="117" t="str">
        <f>IF(DATA!O2="(blank)","",DATA!O2)</f>
        <v>MRLN19AONBCON-4</v>
      </c>
      <c r="E70" s="117"/>
      <c r="F70" s="117"/>
      <c r="G70" s="117"/>
      <c r="H70" s="117"/>
    </row>
    <row r="71" spans="3:8" x14ac:dyDescent="0.25">
      <c r="C71" s="41"/>
      <c r="D71" s="41"/>
      <c r="E71" s="41"/>
      <c r="F71" s="41"/>
      <c r="G71" s="41"/>
      <c r="H71" s="41"/>
    </row>
    <row r="72" spans="3:8" x14ac:dyDescent="0.25">
      <c r="C72" s="40" t="s">
        <v>115</v>
      </c>
      <c r="D72" s="117" t="str">
        <f>IF(DATA!P2="(blank)","",DATA!P2)</f>
        <v>Section D</v>
      </c>
      <c r="E72" s="117"/>
      <c r="F72" s="117"/>
      <c r="G72" s="117"/>
      <c r="H72" s="117"/>
    </row>
    <row r="73" spans="3:8" x14ac:dyDescent="0.25">
      <c r="C73" s="40" t="s">
        <v>116</v>
      </c>
      <c r="D73" s="42">
        <v>1</v>
      </c>
      <c r="E73" s="40" t="s">
        <v>117</v>
      </c>
      <c r="F73" s="42">
        <v>1</v>
      </c>
      <c r="G73" s="40" t="s">
        <v>118</v>
      </c>
      <c r="H73" s="42">
        <v>1</v>
      </c>
    </row>
    <row r="74" spans="3:8" x14ac:dyDescent="0.25">
      <c r="C74" s="40" t="s">
        <v>119</v>
      </c>
      <c r="D74" s="42">
        <v>1</v>
      </c>
      <c r="E74" s="119"/>
      <c r="F74" s="119"/>
      <c r="G74" s="40" t="s">
        <v>120</v>
      </c>
      <c r="H74" s="41">
        <v>2</v>
      </c>
    </row>
    <row r="75" spans="3:8" x14ac:dyDescent="0.25">
      <c r="C75" s="41"/>
      <c r="D75" s="41"/>
      <c r="E75" s="41"/>
      <c r="F75" s="41"/>
      <c r="G75" s="41"/>
      <c r="H75" s="41"/>
    </row>
    <row r="76" spans="3:8" x14ac:dyDescent="0.25">
      <c r="C76" s="40" t="s">
        <v>121</v>
      </c>
      <c r="D76" s="43" t="s">
        <v>122</v>
      </c>
      <c r="E76" s="43" t="s">
        <v>123</v>
      </c>
      <c r="F76" s="43" t="s">
        <v>124</v>
      </c>
      <c r="G76" s="117"/>
      <c r="H76" s="117"/>
    </row>
    <row r="77" spans="3:8" x14ac:dyDescent="0.25">
      <c r="C77" s="40" t="s">
        <v>125</v>
      </c>
      <c r="D77" s="44">
        <f>IF(IF(DATA!U2="(blank)","",DATA!U2)&lt;0,DATA!U2-DATA!U2*2,DATA!U2)</f>
        <v>0</v>
      </c>
      <c r="E77" s="44">
        <f>IF(IF(DATA!X2="(blank)","",DATA!X2)&lt;0,DATA!X2-DATA!X2*2,DATA!X2)</f>
        <v>256.05</v>
      </c>
      <c r="F77" s="45"/>
      <c r="G77" s="117"/>
      <c r="H77" s="117"/>
    </row>
    <row r="78" spans="3:8" x14ac:dyDescent="0.25">
      <c r="C78" s="40" t="s">
        <v>126</v>
      </c>
      <c r="D78" s="46">
        <f>IF(IF(DATA!V2="(blank)","",DATA!V2)&lt;0,DATA!V2-DATA!V2*2,DATA!V2)</f>
        <v>71.7</v>
      </c>
      <c r="E78" s="46">
        <f>IF(IF(DATA!Y2="(blank)","",DATA!Y2)&lt;0,DATA!Y2-DATA!Y2*2,DATA!Y2)</f>
        <v>0</v>
      </c>
      <c r="F78" s="45"/>
      <c r="G78" s="117"/>
      <c r="H78" s="117"/>
    </row>
    <row r="79" spans="3:8" x14ac:dyDescent="0.25">
      <c r="C79" s="40" t="s">
        <v>112</v>
      </c>
      <c r="D79" s="46">
        <f>IF(IF(DATA!W2="(blank)","",DATA!W2)&lt;0,DATA!W2-DATA!W2*2,DATA!W2)</f>
        <v>2.56</v>
      </c>
      <c r="E79" s="46">
        <f>IF(IF(DATA!Z2="(blank)","",DATA!Z2)&lt;0,DATA!Z2-DATA!Z2*2,DATA!Z2)</f>
        <v>0</v>
      </c>
      <c r="F79" s="44" t="s">
        <v>127</v>
      </c>
      <c r="G79" s="117"/>
      <c r="H79" s="117"/>
    </row>
    <row r="80" spans="3:8" x14ac:dyDescent="0.25">
      <c r="C80" s="40" t="s">
        <v>128</v>
      </c>
      <c r="D80" s="47"/>
      <c r="E80" s="46" t="s">
        <v>129</v>
      </c>
      <c r="F80" s="44">
        <f>IF(IF(DATA!AA2="(blank)","",DATA!AA2)&lt;0,DATA!AA2-DATA!AA2*2,DATA!AA2)</f>
        <v>181.79000000000002</v>
      </c>
      <c r="G80" s="117"/>
      <c r="H80" s="117"/>
    </row>
    <row r="81" spans="3:8" x14ac:dyDescent="0.25">
      <c r="C81" s="4"/>
      <c r="D81" s="4"/>
      <c r="E81" s="4"/>
      <c r="F81" s="4"/>
      <c r="G81" s="4"/>
      <c r="H81" s="4"/>
    </row>
  </sheetData>
  <sheetProtection algorithmName="SHA-512" hashValue="NLVxgBQpho3dHTyaafMDytRtqSdkQrXtyvInI9GTvKCPqVGtniamgFPoOB2HD8L1B/9etWSmQqr3D1fwUVz+WA==" saltValue="cFhc1pvd70TaPdH9bxVpAA==" spinCount="100000" sheet="1" objects="1" scenarios="1"/>
  <mergeCells count="6">
    <mergeCell ref="G76:H80"/>
    <mergeCell ref="E55:E56"/>
    <mergeCell ref="F55:F56"/>
    <mergeCell ref="D70:H70"/>
    <mergeCell ref="D72:H72"/>
    <mergeCell ref="E74:F74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boBox1">
          <controlPr defaultSize="0" autoLine="0" listFillRange="POLIZA" r:id="rId5">
            <anchor moveWithCells="1">
              <from>
                <xdr:col>1</xdr:col>
                <xdr:colOff>819150</xdr:colOff>
                <xdr:row>42</xdr:row>
                <xdr:rowOff>47625</xdr:rowOff>
              </from>
              <to>
                <xdr:col>3</xdr:col>
                <xdr:colOff>581025</xdr:colOff>
                <xdr:row>43</xdr:row>
                <xdr:rowOff>95250</xdr:rowOff>
              </to>
            </anchor>
          </controlPr>
        </control>
      </mc:Choice>
      <mc:Fallback>
        <control shapeId="102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E04676-7632-4DED-A022-C585CCF6DC87}">
          <x14:formula1>
            <xm:f>DATA!$AF$1:$AF$2</xm:f>
          </x14:formula1>
          <xm:sqref>E51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20AEA-5C30-4D06-A3C1-32A0DD53D366}">
  <sheetPr codeName="Sheet3"/>
  <dimension ref="A1:X91"/>
  <sheetViews>
    <sheetView workbookViewId="0">
      <pane xSplit="6" ySplit="1" topLeftCell="G5" activePane="bottomRight" state="frozen"/>
      <selection pane="topRight" activeCell="G1" sqref="G1"/>
      <selection pane="bottomLeft" activeCell="A2" sqref="A2"/>
      <selection pane="bottomRight" activeCell="A2" sqref="A2:X2"/>
    </sheetView>
  </sheetViews>
  <sheetFormatPr defaultColWidth="13" defaultRowHeight="15" x14ac:dyDescent="0.25"/>
  <cols>
    <col min="1" max="3" width="13" style="26"/>
    <col min="4" max="4" width="20.140625" style="26" bestFit="1" customWidth="1"/>
    <col min="5" max="5" width="33" style="27" customWidth="1"/>
    <col min="6" max="6" width="33.140625" style="27" customWidth="1"/>
    <col min="7" max="7" width="34.5703125" style="27" customWidth="1"/>
    <col min="8" max="8" width="24.85546875" style="27" customWidth="1"/>
    <col min="9" max="9" width="17.85546875" style="27" customWidth="1"/>
    <col min="10" max="10" width="26.7109375" style="27" customWidth="1"/>
    <col min="11" max="11" width="20.5703125" style="27" customWidth="1"/>
    <col min="12" max="12" width="17.140625" style="27" customWidth="1"/>
    <col min="13" max="13" width="13.42578125" style="28" customWidth="1"/>
    <col min="14" max="14" width="12.7109375" style="28" bestFit="1" customWidth="1"/>
    <col min="15" max="15" width="16.85546875" style="29" customWidth="1"/>
    <col min="16" max="18" width="18" style="29" customWidth="1"/>
    <col min="19" max="20" width="19.140625" style="29" customWidth="1"/>
    <col min="21" max="21" width="27.7109375" style="29" customWidth="1"/>
    <col min="22" max="22" width="24.140625" style="30" customWidth="1"/>
    <col min="23" max="24" width="13" style="30"/>
  </cols>
  <sheetData>
    <row r="1" spans="1:24" s="2" customFormat="1" x14ac:dyDescent="0.25">
      <c r="A1" s="15" t="s">
        <v>63</v>
      </c>
      <c r="B1" s="15" t="s">
        <v>64</v>
      </c>
      <c r="C1" s="15" t="s">
        <v>65</v>
      </c>
      <c r="D1" s="15" t="s">
        <v>66</v>
      </c>
      <c r="E1" s="16" t="s">
        <v>67</v>
      </c>
      <c r="F1" s="17" t="s">
        <v>68</v>
      </c>
      <c r="G1" s="17" t="s">
        <v>69</v>
      </c>
      <c r="H1" s="17" t="s">
        <v>70</v>
      </c>
      <c r="I1" s="17" t="s">
        <v>72</v>
      </c>
      <c r="J1" s="17" t="s">
        <v>71</v>
      </c>
      <c r="K1" s="17" t="s">
        <v>76</v>
      </c>
      <c r="L1" s="17" t="s">
        <v>73</v>
      </c>
      <c r="M1" s="18" t="s">
        <v>74</v>
      </c>
      <c r="N1" s="18" t="s">
        <v>75</v>
      </c>
      <c r="O1" s="19" t="s">
        <v>77</v>
      </c>
      <c r="P1" s="19" t="s">
        <v>78</v>
      </c>
      <c r="Q1" s="19" t="s">
        <v>79</v>
      </c>
      <c r="R1" s="19" t="s">
        <v>80</v>
      </c>
      <c r="S1" s="19" t="s">
        <v>81</v>
      </c>
      <c r="T1" s="19" t="s">
        <v>82</v>
      </c>
      <c r="U1" s="19" t="s">
        <v>84</v>
      </c>
      <c r="V1" s="20" t="s">
        <v>62</v>
      </c>
      <c r="W1" s="20" t="s">
        <v>83</v>
      </c>
      <c r="X1" s="21" t="s">
        <v>85</v>
      </c>
    </row>
    <row r="2" spans="1:24" hidden="1" x14ac:dyDescent="0.25">
      <c r="A2" s="32"/>
      <c r="B2" s="32"/>
      <c r="C2" s="32"/>
      <c r="D2" s="32"/>
      <c r="E2" s="33"/>
      <c r="F2" s="34"/>
      <c r="G2" s="34"/>
      <c r="H2" s="34"/>
      <c r="I2" s="34"/>
      <c r="J2" s="34"/>
      <c r="K2" s="22"/>
      <c r="L2" s="22"/>
      <c r="M2" s="23"/>
      <c r="N2" s="23"/>
      <c r="O2" s="24"/>
      <c r="P2" s="24"/>
      <c r="Q2" s="25"/>
      <c r="R2" s="24"/>
      <c r="S2" s="24"/>
      <c r="T2" s="24"/>
      <c r="U2" s="24"/>
      <c r="V2" s="60"/>
      <c r="W2" s="61"/>
      <c r="X2" s="61"/>
    </row>
    <row r="3" spans="1:24" hidden="1" x14ac:dyDescent="0.25">
      <c r="A3" s="32" t="s">
        <v>3</v>
      </c>
      <c r="B3" s="32" t="s">
        <v>152</v>
      </c>
      <c r="C3" s="32">
        <v>2023</v>
      </c>
      <c r="D3" s="32" t="s">
        <v>5</v>
      </c>
      <c r="E3" s="33">
        <v>1375000</v>
      </c>
      <c r="F3" s="34">
        <v>8868.75</v>
      </c>
      <c r="G3" s="34">
        <v>2217.1875</v>
      </c>
      <c r="H3" s="34">
        <v>798.1875</v>
      </c>
      <c r="I3" s="34">
        <v>0</v>
      </c>
      <c r="J3" s="34">
        <v>5853.375</v>
      </c>
      <c r="K3" s="22" t="s">
        <v>32</v>
      </c>
      <c r="L3" s="22">
        <v>3015.375</v>
      </c>
      <c r="M3" s="23">
        <v>0.34</v>
      </c>
      <c r="N3" s="23">
        <v>0</v>
      </c>
      <c r="O3" s="24">
        <v>0</v>
      </c>
      <c r="P3" s="24">
        <v>3015.375</v>
      </c>
      <c r="Q3" s="25">
        <v>0</v>
      </c>
      <c r="R3" s="24">
        <v>8868.75</v>
      </c>
      <c r="S3" s="24">
        <v>0</v>
      </c>
      <c r="T3" s="24">
        <v>0</v>
      </c>
      <c r="U3" s="24">
        <v>5853.375</v>
      </c>
      <c r="V3" s="60">
        <v>45156</v>
      </c>
      <c r="W3" s="61">
        <v>90</v>
      </c>
      <c r="X3" s="61">
        <v>45149</v>
      </c>
    </row>
    <row r="4" spans="1:24" hidden="1" x14ac:dyDescent="0.25">
      <c r="A4" s="32"/>
      <c r="B4" s="32"/>
      <c r="C4" s="32"/>
      <c r="D4" s="32"/>
      <c r="E4" s="33"/>
      <c r="F4" s="34"/>
      <c r="G4" s="34"/>
      <c r="H4" s="34"/>
      <c r="I4" s="34"/>
      <c r="J4" s="34"/>
      <c r="K4" s="22"/>
      <c r="L4" s="22"/>
      <c r="M4" s="23"/>
      <c r="N4" s="23"/>
      <c r="O4" s="24"/>
      <c r="P4" s="24"/>
      <c r="Q4" s="25"/>
      <c r="R4" s="24"/>
      <c r="S4" s="24"/>
      <c r="T4" s="24"/>
      <c r="U4" s="24"/>
      <c r="V4" s="60"/>
      <c r="W4" s="61"/>
      <c r="X4" s="61"/>
    </row>
    <row r="5" spans="1:24" x14ac:dyDescent="0.25">
      <c r="A5" s="32" t="s">
        <v>0</v>
      </c>
      <c r="B5" s="32" t="s">
        <v>138</v>
      </c>
      <c r="C5" s="32">
        <v>2023</v>
      </c>
      <c r="D5" s="32" t="s">
        <v>2</v>
      </c>
      <c r="E5" s="33">
        <v>19766111.632944442</v>
      </c>
      <c r="F5" s="34">
        <v>3953323.7686722223</v>
      </c>
      <c r="G5" s="34">
        <v>1778950.046965</v>
      </c>
      <c r="H5" s="34">
        <v>197665.22000000003</v>
      </c>
      <c r="I5" s="34">
        <v>13836172.597307222</v>
      </c>
      <c r="J5" s="34">
        <v>3604.4316510045046</v>
      </c>
      <c r="K5" s="22" t="s">
        <v>31</v>
      </c>
      <c r="L5" s="22">
        <v>1976615.266965</v>
      </c>
      <c r="M5" s="23">
        <v>0.4999882080563498</v>
      </c>
      <c r="N5" s="23">
        <v>3.4998834922023829</v>
      </c>
      <c r="O5" s="24">
        <v>0</v>
      </c>
      <c r="P5" s="24">
        <v>1976615.266965</v>
      </c>
      <c r="Q5" s="25">
        <v>13836172.597307222</v>
      </c>
      <c r="R5" s="24">
        <v>3953323.7686722223</v>
      </c>
      <c r="S5" s="24">
        <v>0</v>
      </c>
      <c r="T5" s="24">
        <v>0</v>
      </c>
      <c r="U5" s="24">
        <v>-11859464.0956</v>
      </c>
      <c r="V5" s="60">
        <v>45149</v>
      </c>
      <c r="W5" s="61">
        <v>90</v>
      </c>
      <c r="X5" s="61">
        <v>45149</v>
      </c>
    </row>
    <row r="6" spans="1:24" hidden="1" x14ac:dyDescent="0.25">
      <c r="A6" s="32"/>
      <c r="B6" s="32"/>
      <c r="C6" s="32"/>
      <c r="D6" s="32"/>
      <c r="E6" s="33"/>
      <c r="F6" s="34"/>
      <c r="G6" s="34"/>
      <c r="H6" s="34"/>
      <c r="I6" s="34"/>
      <c r="J6" s="34"/>
      <c r="K6" s="22"/>
      <c r="L6" s="22"/>
      <c r="M6" s="23"/>
      <c r="N6" s="23"/>
      <c r="O6" s="24"/>
      <c r="P6" s="24"/>
      <c r="Q6" s="25"/>
      <c r="R6" s="24"/>
      <c r="S6" s="24"/>
      <c r="T6" s="24"/>
      <c r="U6" s="24"/>
      <c r="V6" s="60"/>
      <c r="W6" s="61"/>
      <c r="X6" s="61"/>
    </row>
    <row r="7" spans="1:24" hidden="1" x14ac:dyDescent="0.25">
      <c r="A7" s="32" t="s">
        <v>8</v>
      </c>
      <c r="B7" s="32" t="s">
        <v>138</v>
      </c>
      <c r="C7" s="32">
        <v>2023</v>
      </c>
      <c r="D7" s="32" t="s">
        <v>12</v>
      </c>
      <c r="E7" s="33">
        <v>4980475.729979584</v>
      </c>
      <c r="F7" s="34">
        <v>318203.94402186404</v>
      </c>
      <c r="G7" s="34">
        <v>55368.986296135328</v>
      </c>
      <c r="H7" s="34">
        <v>28638.354961967769</v>
      </c>
      <c r="I7" s="34">
        <v>5154.627381489965</v>
      </c>
      <c r="J7" s="34">
        <v>229041.97538227099</v>
      </c>
      <c r="K7" s="22" t="s">
        <v>35</v>
      </c>
      <c r="L7" s="22">
        <v>84007.341258103101</v>
      </c>
      <c r="M7" s="23">
        <v>0.26400471407208859</v>
      </c>
      <c r="N7" s="23">
        <v>1.619913102376816E-2</v>
      </c>
      <c r="O7" s="24">
        <v>0</v>
      </c>
      <c r="P7" s="24">
        <v>84007.341258103101</v>
      </c>
      <c r="Q7" s="25">
        <v>5154.627381489965</v>
      </c>
      <c r="R7" s="24">
        <v>318203.94402186404</v>
      </c>
      <c r="S7" s="24">
        <v>0</v>
      </c>
      <c r="T7" s="24">
        <v>0</v>
      </c>
      <c r="U7" s="24">
        <v>229041.97538227099</v>
      </c>
      <c r="V7" s="60">
        <v>45149</v>
      </c>
      <c r="W7" s="61">
        <v>90</v>
      </c>
      <c r="X7" s="61">
        <v>45149</v>
      </c>
    </row>
    <row r="8" spans="1:24" hidden="1" x14ac:dyDescent="0.25">
      <c r="A8" s="32"/>
      <c r="B8" s="32"/>
      <c r="C8" s="32"/>
      <c r="D8" s="32"/>
      <c r="E8" s="33"/>
      <c r="F8" s="34"/>
      <c r="G8" s="34"/>
      <c r="H8" s="34"/>
      <c r="I8" s="34"/>
      <c r="J8" s="34"/>
      <c r="K8" s="22"/>
      <c r="L8" s="22"/>
      <c r="M8" s="23"/>
      <c r="N8" s="23"/>
      <c r="O8" s="24"/>
      <c r="P8" s="24"/>
      <c r="Q8" s="25"/>
      <c r="R8" s="24"/>
      <c r="S8" s="24"/>
      <c r="T8" s="24"/>
      <c r="U8" s="24"/>
      <c r="V8" s="60"/>
      <c r="W8" s="61"/>
      <c r="X8" s="61"/>
    </row>
    <row r="9" spans="1:24" hidden="1" x14ac:dyDescent="0.25">
      <c r="A9" s="32" t="s">
        <v>8</v>
      </c>
      <c r="B9" s="32" t="s">
        <v>152</v>
      </c>
      <c r="C9" s="32">
        <v>2023</v>
      </c>
      <c r="D9" s="32" t="s">
        <v>12</v>
      </c>
      <c r="E9" s="33">
        <v>4772031.5064596003</v>
      </c>
      <c r="F9" s="34">
        <v>950651.05616839649</v>
      </c>
      <c r="G9" s="34">
        <v>169250.38649775553</v>
      </c>
      <c r="H9" s="34">
        <v>85558.595055155674</v>
      </c>
      <c r="I9" s="34">
        <v>2878.7759061306174</v>
      </c>
      <c r="J9" s="34">
        <v>692963.2987093546</v>
      </c>
      <c r="K9" s="22" t="s">
        <v>35</v>
      </c>
      <c r="L9" s="22">
        <v>254808.98155291122</v>
      </c>
      <c r="M9" s="23">
        <v>0.26803628934040213</v>
      </c>
      <c r="N9" s="23">
        <v>3.0282151242050233E-3</v>
      </c>
      <c r="O9" s="24">
        <v>0</v>
      </c>
      <c r="P9" s="24">
        <v>254808.98155291122</v>
      </c>
      <c r="Q9" s="25">
        <v>2878.7759061306174</v>
      </c>
      <c r="R9" s="24">
        <v>950651.05616839649</v>
      </c>
      <c r="S9" s="24">
        <v>0</v>
      </c>
      <c r="T9" s="24">
        <v>0</v>
      </c>
      <c r="U9" s="24">
        <v>692963.2987093546</v>
      </c>
      <c r="V9" s="60">
        <v>45149</v>
      </c>
      <c r="W9" s="61">
        <v>90</v>
      </c>
      <c r="X9" s="61">
        <v>45149</v>
      </c>
    </row>
    <row r="10" spans="1:24" hidden="1" x14ac:dyDescent="0.25">
      <c r="A10" s="32"/>
      <c r="B10" s="32"/>
      <c r="C10" s="32"/>
      <c r="D10" s="32"/>
      <c r="E10" s="33"/>
      <c r="F10" s="34"/>
      <c r="G10" s="34"/>
      <c r="H10" s="34"/>
      <c r="I10" s="34"/>
      <c r="J10" s="34"/>
      <c r="K10" s="22"/>
      <c r="L10" s="22"/>
      <c r="M10" s="23"/>
      <c r="N10" s="23"/>
      <c r="O10" s="24"/>
      <c r="P10" s="24"/>
      <c r="Q10" s="25"/>
      <c r="R10" s="24"/>
      <c r="S10" s="24"/>
      <c r="T10" s="24"/>
      <c r="U10" s="24"/>
      <c r="V10" s="60"/>
      <c r="W10" s="61"/>
      <c r="X10" s="61"/>
    </row>
    <row r="11" spans="1:24" hidden="1" x14ac:dyDescent="0.25">
      <c r="A11" s="32" t="s">
        <v>23</v>
      </c>
      <c r="B11" s="32" t="s">
        <v>138</v>
      </c>
      <c r="C11" s="32">
        <v>2021</v>
      </c>
      <c r="D11" s="32" t="s">
        <v>150</v>
      </c>
      <c r="E11" s="33">
        <v>1504862.2097998634</v>
      </c>
      <c r="F11" s="34">
        <v>187.52542464703458</v>
      </c>
      <c r="G11" s="34">
        <v>37.50508492940692</v>
      </c>
      <c r="H11" s="34">
        <v>18.75254246470346</v>
      </c>
      <c r="I11" s="34">
        <v>6.5633898626462104</v>
      </c>
      <c r="J11" s="34">
        <v>124.70440739027796</v>
      </c>
      <c r="K11" s="22" t="s">
        <v>36</v>
      </c>
      <c r="L11" s="22">
        <v>56.257627394110379</v>
      </c>
      <c r="M11" s="23">
        <v>0.30000000000000004</v>
      </c>
      <c r="N11" s="23">
        <v>3.4999999999999996E-2</v>
      </c>
      <c r="O11" s="24">
        <v>0</v>
      </c>
      <c r="P11" s="24">
        <v>56.257627394110379</v>
      </c>
      <c r="Q11" s="25">
        <v>6.5633898626462104</v>
      </c>
      <c r="R11" s="24">
        <v>187.52542464703458</v>
      </c>
      <c r="S11" s="24">
        <v>0</v>
      </c>
      <c r="T11" s="24">
        <v>0</v>
      </c>
      <c r="U11" s="24">
        <v>124.70440739027799</v>
      </c>
      <c r="V11" s="60" t="s">
        <v>148</v>
      </c>
      <c r="W11" s="61">
        <v>45167</v>
      </c>
      <c r="X11" s="61">
        <v>45077</v>
      </c>
    </row>
    <row r="12" spans="1:24" hidden="1" x14ac:dyDescent="0.25">
      <c r="A12" s="32"/>
      <c r="B12" s="32"/>
      <c r="C12" s="32"/>
      <c r="D12" s="32"/>
      <c r="E12" s="33"/>
      <c r="F12" s="34"/>
      <c r="G12" s="34"/>
      <c r="H12" s="34"/>
      <c r="I12" s="34"/>
      <c r="J12" s="34"/>
      <c r="K12" s="22"/>
      <c r="L12" s="22"/>
      <c r="M12" s="23"/>
      <c r="N12" s="23"/>
      <c r="O12" s="24"/>
      <c r="P12" s="24"/>
      <c r="Q12" s="25"/>
      <c r="R12" s="24"/>
      <c r="S12" s="24"/>
      <c r="T12" s="24"/>
      <c r="U12" s="24"/>
      <c r="V12" s="60"/>
      <c r="W12" s="61"/>
      <c r="X12" s="61"/>
    </row>
    <row r="13" spans="1:24" hidden="1" x14ac:dyDescent="0.25">
      <c r="A13" s="32" t="s">
        <v>8</v>
      </c>
      <c r="B13" s="32" t="s">
        <v>149</v>
      </c>
      <c r="C13" s="32">
        <v>2023</v>
      </c>
      <c r="D13" s="32" t="s">
        <v>10</v>
      </c>
      <c r="E13" s="33">
        <v>2156862.745098039</v>
      </c>
      <c r="F13" s="34">
        <v>28937.292644474495</v>
      </c>
      <c r="G13" s="34">
        <v>2686.1515787598</v>
      </c>
      <c r="H13" s="34">
        <v>2604.3563380027049</v>
      </c>
      <c r="I13" s="34">
        <v>1447.4799999999996</v>
      </c>
      <c r="J13" s="34">
        <v>22199.304727711995</v>
      </c>
      <c r="K13" s="22" t="s">
        <v>34</v>
      </c>
      <c r="L13" s="22">
        <v>5290.5079167625045</v>
      </c>
      <c r="M13" s="23">
        <v>0.18282663764582394</v>
      </c>
      <c r="N13" s="23">
        <v>5.0021265561496553E-2</v>
      </c>
      <c r="O13" s="24">
        <v>0</v>
      </c>
      <c r="P13" s="24">
        <v>5290.5079167625045</v>
      </c>
      <c r="Q13" s="25">
        <v>1447.4799999999996</v>
      </c>
      <c r="R13" s="24">
        <v>28937.292644474495</v>
      </c>
      <c r="S13" s="24">
        <v>0</v>
      </c>
      <c r="T13" s="24">
        <v>0</v>
      </c>
      <c r="U13" s="24">
        <v>22199.304727711991</v>
      </c>
      <c r="V13" s="60" t="s">
        <v>148</v>
      </c>
      <c r="W13" s="61">
        <v>45167</v>
      </c>
      <c r="X13" s="61">
        <v>45077</v>
      </c>
    </row>
    <row r="14" spans="1:24" hidden="1" x14ac:dyDescent="0.25">
      <c r="A14" s="32"/>
      <c r="B14" s="32"/>
      <c r="C14" s="32"/>
      <c r="D14" s="32"/>
      <c r="E14" s="33"/>
      <c r="F14" s="34"/>
      <c r="G14" s="34"/>
      <c r="H14" s="34"/>
      <c r="I14" s="34"/>
      <c r="J14" s="34"/>
      <c r="K14" s="22"/>
      <c r="L14" s="22"/>
      <c r="M14" s="23"/>
      <c r="N14" s="23"/>
      <c r="O14" s="24"/>
      <c r="P14" s="24"/>
      <c r="Q14" s="25"/>
      <c r="R14" s="24"/>
      <c r="S14" s="24"/>
      <c r="T14" s="24"/>
      <c r="U14" s="24"/>
      <c r="V14" s="60"/>
      <c r="W14" s="61"/>
      <c r="X14" s="61"/>
    </row>
    <row r="15" spans="1:24" hidden="1" x14ac:dyDescent="0.25">
      <c r="A15" s="32" t="s">
        <v>8</v>
      </c>
      <c r="B15" s="32" t="s">
        <v>149</v>
      </c>
      <c r="C15" s="32">
        <v>2023</v>
      </c>
      <c r="D15" s="32" t="s">
        <v>12</v>
      </c>
      <c r="E15" s="33">
        <v>4839675.2890792293</v>
      </c>
      <c r="F15" s="34">
        <v>677231.75183740025</v>
      </c>
      <c r="G15" s="34">
        <v>117010.09832953668</v>
      </c>
      <c r="H15" s="34">
        <v>60950.857665366013</v>
      </c>
      <c r="I15" s="34">
        <v>11618.768698565038</v>
      </c>
      <c r="J15" s="34">
        <v>487652.02714393259</v>
      </c>
      <c r="K15" s="22" t="s">
        <v>35</v>
      </c>
      <c r="L15" s="22">
        <v>177960.9559949027</v>
      </c>
      <c r="M15" s="23">
        <v>0.26277704125962215</v>
      </c>
      <c r="N15" s="23">
        <v>1.7156266916077263E-2</v>
      </c>
      <c r="O15" s="24">
        <v>0</v>
      </c>
      <c r="P15" s="24">
        <v>177960.9559949027</v>
      </c>
      <c r="Q15" s="25">
        <v>11618.768698565038</v>
      </c>
      <c r="R15" s="24">
        <v>677231.75183740025</v>
      </c>
      <c r="S15" s="24">
        <v>0</v>
      </c>
      <c r="T15" s="24">
        <v>0</v>
      </c>
      <c r="U15" s="24">
        <v>487652.02714393253</v>
      </c>
      <c r="V15" s="60" t="s">
        <v>148</v>
      </c>
      <c r="W15" s="61">
        <v>45167</v>
      </c>
      <c r="X15" s="61">
        <v>45077</v>
      </c>
    </row>
    <row r="16" spans="1:24" hidden="1" x14ac:dyDescent="0.25">
      <c r="A16" s="32"/>
      <c r="B16" s="32"/>
      <c r="C16" s="32"/>
      <c r="D16" s="32"/>
      <c r="E16" s="33"/>
      <c r="F16" s="34"/>
      <c r="G16" s="34"/>
      <c r="H16" s="34"/>
      <c r="I16" s="34"/>
      <c r="J16" s="34"/>
      <c r="K16" s="22"/>
      <c r="L16" s="22"/>
      <c r="M16" s="23"/>
      <c r="N16" s="23"/>
      <c r="O16" s="24"/>
      <c r="P16" s="24"/>
      <c r="Q16" s="25"/>
      <c r="R16" s="24"/>
      <c r="S16" s="24"/>
      <c r="T16" s="24"/>
      <c r="U16" s="24"/>
      <c r="V16" s="60"/>
      <c r="W16" s="61"/>
      <c r="X16" s="61"/>
    </row>
    <row r="17" spans="1:24" hidden="1" x14ac:dyDescent="0.25">
      <c r="A17" s="32" t="s">
        <v>8</v>
      </c>
      <c r="B17" s="32" t="s">
        <v>149</v>
      </c>
      <c r="C17" s="32">
        <v>2022</v>
      </c>
      <c r="D17" s="32" t="s">
        <v>10</v>
      </c>
      <c r="E17" s="33">
        <v>2439945.317857143</v>
      </c>
      <c r="F17" s="34">
        <v>-492.22029017857136</v>
      </c>
      <c r="G17" s="34">
        <v>-123.05507254464284</v>
      </c>
      <c r="H17" s="34">
        <v>-44.299826116071422</v>
      </c>
      <c r="I17" s="34">
        <v>-17.23</v>
      </c>
      <c r="J17" s="34">
        <v>-307.6353915178571</v>
      </c>
      <c r="K17" s="22" t="s">
        <v>29</v>
      </c>
      <c r="L17" s="22">
        <v>-167.35489866071427</v>
      </c>
      <c r="M17" s="23">
        <v>0.34</v>
      </c>
      <c r="N17" s="23">
        <v>3.5004652071025294E-2</v>
      </c>
      <c r="O17" s="24">
        <v>-492.22029017857136</v>
      </c>
      <c r="P17" s="24">
        <v>0</v>
      </c>
      <c r="Q17" s="25">
        <v>0</v>
      </c>
      <c r="R17" s="24">
        <v>0</v>
      </c>
      <c r="S17" s="24">
        <v>-167.35489866071427</v>
      </c>
      <c r="T17" s="24">
        <v>-17.23</v>
      </c>
      <c r="U17" s="24">
        <v>-307.6353915178571</v>
      </c>
      <c r="V17" s="60" t="s">
        <v>133</v>
      </c>
      <c r="W17" s="61">
        <v>45167</v>
      </c>
      <c r="X17" s="61">
        <v>45077</v>
      </c>
    </row>
    <row r="18" spans="1:24" hidden="1" x14ac:dyDescent="0.25">
      <c r="A18" s="32"/>
      <c r="B18" s="32"/>
      <c r="C18" s="32"/>
      <c r="D18" s="32"/>
      <c r="E18" s="33"/>
      <c r="F18" s="34"/>
      <c r="G18" s="34"/>
      <c r="H18" s="34"/>
      <c r="I18" s="34"/>
      <c r="J18" s="34"/>
      <c r="K18" s="22"/>
      <c r="L18" s="22"/>
      <c r="M18" s="23"/>
      <c r="N18" s="23"/>
      <c r="O18" s="24"/>
      <c r="P18" s="24"/>
      <c r="Q18" s="25"/>
      <c r="R18" s="24"/>
      <c r="S18" s="24"/>
      <c r="T18" s="24"/>
      <c r="U18" s="24"/>
      <c r="V18" s="60"/>
      <c r="W18" s="61"/>
      <c r="X18" s="61"/>
    </row>
    <row r="19" spans="1:24" hidden="1" x14ac:dyDescent="0.25">
      <c r="A19" s="32" t="s">
        <v>8</v>
      </c>
      <c r="B19" s="32" t="s">
        <v>149</v>
      </c>
      <c r="C19" s="32">
        <v>2022</v>
      </c>
      <c r="D19" s="32" t="s">
        <v>12</v>
      </c>
      <c r="E19" s="33">
        <v>3445664.5210147672</v>
      </c>
      <c r="F19" s="34">
        <v>-44303.761992370964</v>
      </c>
      <c r="G19" s="34">
        <v>-7488.8837898151241</v>
      </c>
      <c r="H19" s="34">
        <v>-3987.3385793133866</v>
      </c>
      <c r="I19" s="34">
        <v>59.415940852064139</v>
      </c>
      <c r="J19" s="34">
        <v>-32886.955564094511</v>
      </c>
      <c r="K19" s="22" t="s">
        <v>30</v>
      </c>
      <c r="L19" s="22">
        <v>-11476.222369128511</v>
      </c>
      <c r="M19" s="23">
        <v>0.25903494089519302</v>
      </c>
      <c r="N19" s="23">
        <v>-1.3411037388268623E-3</v>
      </c>
      <c r="O19" s="24">
        <v>-44303.761992370964</v>
      </c>
      <c r="P19" s="24">
        <v>0</v>
      </c>
      <c r="Q19" s="25">
        <v>59.415940852064139</v>
      </c>
      <c r="R19" s="24">
        <v>0</v>
      </c>
      <c r="S19" s="24">
        <v>-11476.222369128511</v>
      </c>
      <c r="T19" s="24">
        <v>0</v>
      </c>
      <c r="U19" s="24">
        <v>-32886.955564094518</v>
      </c>
      <c r="V19" s="60" t="s">
        <v>133</v>
      </c>
      <c r="W19" s="61">
        <v>45167</v>
      </c>
      <c r="X19" s="61">
        <v>45077</v>
      </c>
    </row>
    <row r="20" spans="1:24" hidden="1" x14ac:dyDescent="0.25">
      <c r="A20" s="32"/>
      <c r="B20" s="32"/>
      <c r="C20" s="32"/>
      <c r="D20" s="32"/>
      <c r="E20" s="33"/>
      <c r="F20" s="34"/>
      <c r="G20" s="34"/>
      <c r="H20" s="34"/>
      <c r="I20" s="34"/>
      <c r="J20" s="34"/>
      <c r="K20" s="22"/>
      <c r="L20" s="22"/>
      <c r="M20" s="23"/>
      <c r="N20" s="23"/>
      <c r="O20" s="24"/>
      <c r="P20" s="24"/>
      <c r="Q20" s="25"/>
      <c r="R20" s="24"/>
      <c r="S20" s="24"/>
      <c r="T20" s="24"/>
      <c r="U20" s="24"/>
      <c r="V20" s="60"/>
      <c r="W20" s="61"/>
      <c r="X20" s="61"/>
    </row>
    <row r="21" spans="1:24" hidden="1" x14ac:dyDescent="0.25">
      <c r="A21" s="32" t="s">
        <v>8</v>
      </c>
      <c r="B21" s="32" t="s">
        <v>149</v>
      </c>
      <c r="C21" s="32">
        <v>2021</v>
      </c>
      <c r="D21" s="32" t="s">
        <v>10</v>
      </c>
      <c r="E21" s="33">
        <v>1856565.3608336044</v>
      </c>
      <c r="F21" s="34">
        <v>65.11987392458451</v>
      </c>
      <c r="G21" s="34">
        <v>6.5119873924584519</v>
      </c>
      <c r="H21" s="34">
        <v>5.8607886532126061</v>
      </c>
      <c r="I21" s="34">
        <v>1.5206958091918887</v>
      </c>
      <c r="J21" s="34">
        <v>51.226402069721559</v>
      </c>
      <c r="K21" s="22" t="s">
        <v>21</v>
      </c>
      <c r="L21" s="22">
        <v>12.372776045671058</v>
      </c>
      <c r="M21" s="23">
        <v>0.19000000000000003</v>
      </c>
      <c r="N21" s="23">
        <v>2.3352253583184303E-2</v>
      </c>
      <c r="O21" s="24">
        <v>0</v>
      </c>
      <c r="P21" s="24">
        <v>12.372776045671058</v>
      </c>
      <c r="Q21" s="25">
        <v>1.5206958091918887</v>
      </c>
      <c r="R21" s="24">
        <v>65.11987392458451</v>
      </c>
      <c r="S21" s="24">
        <v>0</v>
      </c>
      <c r="T21" s="24">
        <v>0</v>
      </c>
      <c r="U21" s="24">
        <v>51.226402069721566</v>
      </c>
      <c r="V21" s="60" t="s">
        <v>132</v>
      </c>
      <c r="W21" s="61">
        <v>45167</v>
      </c>
      <c r="X21" s="61">
        <v>45077</v>
      </c>
    </row>
    <row r="22" spans="1:24" hidden="1" x14ac:dyDescent="0.25">
      <c r="A22" s="32"/>
      <c r="B22" s="32"/>
      <c r="C22" s="32"/>
      <c r="D22" s="32"/>
      <c r="E22" s="33"/>
      <c r="F22" s="34"/>
      <c r="G22" s="34"/>
      <c r="H22" s="34"/>
      <c r="I22" s="34"/>
      <c r="J22" s="34"/>
      <c r="K22" s="22"/>
      <c r="L22" s="22"/>
      <c r="M22" s="23"/>
      <c r="N22" s="23"/>
      <c r="O22" s="24"/>
      <c r="P22" s="24"/>
      <c r="Q22" s="25"/>
      <c r="R22" s="24"/>
      <c r="S22" s="24"/>
      <c r="T22" s="24"/>
      <c r="U22" s="24"/>
      <c r="V22" s="60"/>
      <c r="W22" s="61"/>
      <c r="X22" s="61"/>
    </row>
    <row r="23" spans="1:24" hidden="1" x14ac:dyDescent="0.25">
      <c r="A23" s="32" t="s">
        <v>8</v>
      </c>
      <c r="B23" s="32" t="s">
        <v>149</v>
      </c>
      <c r="C23" s="32">
        <v>2021</v>
      </c>
      <c r="D23" s="32" t="s">
        <v>12</v>
      </c>
      <c r="E23" s="33">
        <v>4327868.8524590163</v>
      </c>
      <c r="F23" s="34">
        <v>-2.7219520152334553</v>
      </c>
      <c r="G23" s="34">
        <v>103.07693670591169</v>
      </c>
      <c r="H23" s="34">
        <v>-0.24497568137101666</v>
      </c>
      <c r="I23" s="34">
        <v>14.33</v>
      </c>
      <c r="J23" s="34">
        <v>-119.88391303977414</v>
      </c>
      <c r="K23" s="22" t="s">
        <v>22</v>
      </c>
      <c r="L23" s="22">
        <v>102.83196102454067</v>
      </c>
      <c r="M23" s="23">
        <v>-37.778755999018237</v>
      </c>
      <c r="N23" s="23">
        <v>-5.2646041957396337</v>
      </c>
      <c r="O23" s="24">
        <v>-2.7219520152334553</v>
      </c>
      <c r="P23" s="24">
        <v>102.83196102454067</v>
      </c>
      <c r="Q23" s="25">
        <v>14.33</v>
      </c>
      <c r="R23" s="24">
        <v>0</v>
      </c>
      <c r="S23" s="24">
        <v>0</v>
      </c>
      <c r="T23" s="24">
        <v>0</v>
      </c>
      <c r="U23" s="24">
        <v>-119.88391303977413</v>
      </c>
      <c r="V23" s="60" t="s">
        <v>132</v>
      </c>
      <c r="W23" s="61">
        <v>45167</v>
      </c>
      <c r="X23" s="61">
        <v>45077</v>
      </c>
    </row>
    <row r="24" spans="1:24" hidden="1" x14ac:dyDescent="0.25">
      <c r="A24" s="32"/>
      <c r="B24" s="32"/>
      <c r="C24" s="32"/>
      <c r="D24" s="32"/>
      <c r="E24" s="33"/>
      <c r="F24" s="34"/>
      <c r="G24" s="34"/>
      <c r="H24" s="34"/>
      <c r="I24" s="34"/>
      <c r="J24" s="34"/>
      <c r="K24" s="22"/>
      <c r="L24" s="22"/>
      <c r="M24" s="23"/>
      <c r="N24" s="23"/>
      <c r="O24" s="24"/>
      <c r="P24" s="24"/>
      <c r="Q24" s="25"/>
      <c r="R24" s="24"/>
      <c r="S24" s="24"/>
      <c r="T24" s="24"/>
      <c r="U24" s="24"/>
      <c r="V24" s="60"/>
      <c r="W24" s="61"/>
      <c r="X24" s="61"/>
    </row>
    <row r="25" spans="1:24" hidden="1" x14ac:dyDescent="0.25">
      <c r="A25" s="32" t="s">
        <v>8</v>
      </c>
      <c r="B25" s="32" t="s">
        <v>149</v>
      </c>
      <c r="C25" s="32">
        <v>2020</v>
      </c>
      <c r="D25" s="32" t="s">
        <v>12</v>
      </c>
      <c r="E25" s="33">
        <v>4806959.7714285711</v>
      </c>
      <c r="F25" s="34">
        <v>-308.9760280612245</v>
      </c>
      <c r="G25" s="34">
        <v>-44.811286862244899</v>
      </c>
      <c r="H25" s="34">
        <v>-30.89760280612245</v>
      </c>
      <c r="I25" s="34">
        <v>-15.88</v>
      </c>
      <c r="J25" s="34">
        <v>-217.38717436160712</v>
      </c>
      <c r="K25" s="22" t="s">
        <v>17</v>
      </c>
      <c r="L25" s="22">
        <v>-75.708889668367348</v>
      </c>
      <c r="M25" s="23">
        <v>0.2450315972518276</v>
      </c>
      <c r="N25" s="23">
        <v>5.1395572982294059E-2</v>
      </c>
      <c r="O25" s="24">
        <v>-308.9760280612245</v>
      </c>
      <c r="P25" s="24">
        <v>0</v>
      </c>
      <c r="Q25" s="25">
        <v>0</v>
      </c>
      <c r="R25" s="24">
        <v>0</v>
      </c>
      <c r="S25" s="24">
        <v>-75.708889668367348</v>
      </c>
      <c r="T25" s="24">
        <v>-15.88</v>
      </c>
      <c r="U25" s="24">
        <v>-217.38713839285714</v>
      </c>
      <c r="V25" s="60" t="s">
        <v>131</v>
      </c>
      <c r="W25" s="61">
        <v>45167</v>
      </c>
      <c r="X25" s="61">
        <v>45077</v>
      </c>
    </row>
    <row r="26" spans="1:24" hidden="1" x14ac:dyDescent="0.25">
      <c r="A26" s="32"/>
      <c r="B26" s="32"/>
      <c r="C26" s="32"/>
      <c r="D26" s="32"/>
      <c r="E26" s="33"/>
      <c r="F26" s="34"/>
      <c r="G26" s="34"/>
      <c r="H26" s="34"/>
      <c r="I26" s="34"/>
      <c r="J26" s="34"/>
      <c r="K26" s="22"/>
      <c r="L26" s="22"/>
      <c r="M26" s="23"/>
      <c r="N26" s="23"/>
      <c r="O26" s="24"/>
      <c r="P26" s="24"/>
      <c r="Q26" s="25"/>
      <c r="R26" s="24"/>
      <c r="S26" s="24"/>
      <c r="T26" s="24"/>
      <c r="U26" s="24"/>
      <c r="V26" s="60"/>
      <c r="W26" s="61"/>
      <c r="X26" s="61"/>
    </row>
    <row r="27" spans="1:24" x14ac:dyDescent="0.25">
      <c r="A27" s="32" t="s">
        <v>0</v>
      </c>
      <c r="B27" s="32" t="s">
        <v>138</v>
      </c>
      <c r="C27" s="32">
        <v>2023</v>
      </c>
      <c r="D27" s="32" t="s">
        <v>2</v>
      </c>
      <c r="E27" s="33">
        <v>4875000</v>
      </c>
      <c r="F27" s="34">
        <v>3604.4316510045046</v>
      </c>
      <c r="G27" s="34">
        <v>822.3284135342343</v>
      </c>
      <c r="H27" s="34">
        <v>324.39884859040546</v>
      </c>
      <c r="I27" s="34">
        <v>40.14712225292574</v>
      </c>
      <c r="J27" s="34">
        <v>2417.5616737342652</v>
      </c>
      <c r="K27" s="22" t="s">
        <v>31</v>
      </c>
      <c r="L27" s="22">
        <v>1146.7272621246398</v>
      </c>
      <c r="M27" s="23">
        <v>0.31814371117428819</v>
      </c>
      <c r="N27" s="23">
        <v>1.1138267039059348E-2</v>
      </c>
      <c r="O27" s="24">
        <v>0</v>
      </c>
      <c r="P27" s="24">
        <v>1146.7272621246398</v>
      </c>
      <c r="Q27" s="25">
        <v>40.14712225292574</v>
      </c>
      <c r="R27" s="24">
        <v>3604.4316510045046</v>
      </c>
      <c r="S27" s="24">
        <v>0</v>
      </c>
      <c r="T27" s="24">
        <v>0</v>
      </c>
      <c r="U27" s="24">
        <v>2417.5572666269391</v>
      </c>
      <c r="V27" s="60" t="s">
        <v>148</v>
      </c>
      <c r="W27" s="61">
        <v>45167</v>
      </c>
      <c r="X27" s="61">
        <v>45077</v>
      </c>
    </row>
    <row r="28" spans="1:24" hidden="1" x14ac:dyDescent="0.25">
      <c r="A28" s="32"/>
      <c r="B28" s="32"/>
      <c r="C28" s="32"/>
      <c r="D28" s="32"/>
      <c r="E28" s="33"/>
      <c r="F28" s="34"/>
      <c r="G28" s="34"/>
      <c r="H28" s="34"/>
      <c r="I28" s="34"/>
      <c r="J28" s="34"/>
      <c r="K28" s="22"/>
      <c r="L28" s="22"/>
      <c r="M28" s="23"/>
      <c r="N28" s="23"/>
      <c r="O28" s="24"/>
      <c r="P28" s="24"/>
      <c r="Q28" s="25"/>
      <c r="R28" s="24"/>
      <c r="S28" s="24"/>
      <c r="T28" s="24"/>
      <c r="U28" s="24"/>
      <c r="V28" s="60"/>
      <c r="W28" s="61"/>
      <c r="X28" s="61"/>
    </row>
    <row r="29" spans="1:24" hidden="1" x14ac:dyDescent="0.25">
      <c r="A29" s="32" t="s">
        <v>8</v>
      </c>
      <c r="B29" s="32" t="s">
        <v>138</v>
      </c>
      <c r="C29" s="32">
        <v>2023</v>
      </c>
      <c r="D29" s="32" t="s">
        <v>10</v>
      </c>
      <c r="E29" s="33">
        <v>1976562.5</v>
      </c>
      <c r="F29" s="34">
        <v>189273.83908630384</v>
      </c>
      <c r="G29" s="34">
        <v>37719.092556923271</v>
      </c>
      <c r="H29" s="34">
        <v>17034.645517767349</v>
      </c>
      <c r="I29" s="34">
        <v>5421.7</v>
      </c>
      <c r="J29" s="34">
        <v>129098.40101161326</v>
      </c>
      <c r="K29" s="22" t="s">
        <v>34</v>
      </c>
      <c r="L29" s="22">
        <v>54753.73807469062</v>
      </c>
      <c r="M29" s="23">
        <v>0.28928318006866427</v>
      </c>
      <c r="N29" s="23">
        <v>2.8644740478518265E-2</v>
      </c>
      <c r="O29" s="24">
        <v>0</v>
      </c>
      <c r="P29" s="24">
        <v>54753.73807469062</v>
      </c>
      <c r="Q29" s="25">
        <v>5421.7</v>
      </c>
      <c r="R29" s="24">
        <v>189273.83908630384</v>
      </c>
      <c r="S29" s="24">
        <v>0</v>
      </c>
      <c r="T29" s="24">
        <v>0</v>
      </c>
      <c r="U29" s="24">
        <v>129098.40101161323</v>
      </c>
      <c r="V29" s="60" t="s">
        <v>148</v>
      </c>
      <c r="W29" s="61">
        <v>45167</v>
      </c>
      <c r="X29" s="61">
        <v>45077</v>
      </c>
    </row>
    <row r="30" spans="1:24" hidden="1" x14ac:dyDescent="0.25">
      <c r="A30" s="32"/>
      <c r="B30" s="32"/>
      <c r="C30" s="32"/>
      <c r="D30" s="32"/>
      <c r="E30" s="33"/>
      <c r="F30" s="34"/>
      <c r="G30" s="34"/>
      <c r="H30" s="34"/>
      <c r="I30" s="34"/>
      <c r="J30" s="34"/>
      <c r="K30" s="22"/>
      <c r="L30" s="22"/>
      <c r="M30" s="23"/>
      <c r="N30" s="23"/>
      <c r="O30" s="24"/>
      <c r="P30" s="24"/>
      <c r="Q30" s="25"/>
      <c r="R30" s="24"/>
      <c r="S30" s="24"/>
      <c r="T30" s="24"/>
      <c r="U30" s="24"/>
      <c r="V30" s="60"/>
      <c r="W30" s="61"/>
      <c r="X30" s="61"/>
    </row>
    <row r="31" spans="1:24" hidden="1" x14ac:dyDescent="0.25">
      <c r="A31" s="32" t="s">
        <v>8</v>
      </c>
      <c r="B31" s="32" t="s">
        <v>138</v>
      </c>
      <c r="C31" s="32">
        <v>2023</v>
      </c>
      <c r="D31" s="32" t="s">
        <v>12</v>
      </c>
      <c r="E31" s="33">
        <v>4980475.729979584</v>
      </c>
      <c r="F31" s="34">
        <v>318203.94402186404</v>
      </c>
      <c r="G31" s="34">
        <v>55368.986296135328</v>
      </c>
      <c r="H31" s="34">
        <v>28638.354961967769</v>
      </c>
      <c r="I31" s="34">
        <v>5154.627381489965</v>
      </c>
      <c r="J31" s="34">
        <v>229041.97538227099</v>
      </c>
      <c r="K31" s="22" t="s">
        <v>35</v>
      </c>
      <c r="L31" s="22">
        <v>84007.341258103101</v>
      </c>
      <c r="M31" s="23">
        <v>0.26400471407208859</v>
      </c>
      <c r="N31" s="23">
        <v>1.619913102376816E-2</v>
      </c>
      <c r="O31" s="24">
        <v>0</v>
      </c>
      <c r="P31" s="24">
        <v>84007.341258103101</v>
      </c>
      <c r="Q31" s="25">
        <v>5154.627381489965</v>
      </c>
      <c r="R31" s="24">
        <v>318203.94402186404</v>
      </c>
      <c r="S31" s="24">
        <v>0</v>
      </c>
      <c r="T31" s="24">
        <v>0</v>
      </c>
      <c r="U31" s="24">
        <v>229041.97538227099</v>
      </c>
      <c r="V31" s="60" t="s">
        <v>148</v>
      </c>
      <c r="W31" s="61">
        <v>45167</v>
      </c>
      <c r="X31" s="61">
        <v>45077</v>
      </c>
    </row>
    <row r="32" spans="1:24" hidden="1" x14ac:dyDescent="0.25">
      <c r="A32" s="32"/>
      <c r="B32" s="32"/>
      <c r="C32" s="32"/>
      <c r="D32" s="32"/>
      <c r="E32" s="33"/>
      <c r="F32" s="34"/>
      <c r="G32" s="34"/>
      <c r="H32" s="34"/>
      <c r="I32" s="34"/>
      <c r="J32" s="34"/>
      <c r="K32" s="22"/>
      <c r="L32" s="22"/>
      <c r="M32" s="23"/>
      <c r="N32" s="23"/>
      <c r="O32" s="24"/>
      <c r="P32" s="24"/>
      <c r="Q32" s="25"/>
      <c r="R32" s="24"/>
      <c r="S32" s="24"/>
      <c r="T32" s="24"/>
      <c r="U32" s="24"/>
      <c r="V32" s="60"/>
      <c r="W32" s="61"/>
      <c r="X32" s="61"/>
    </row>
    <row r="33" spans="1:24" hidden="1" x14ac:dyDescent="0.25">
      <c r="A33" s="32" t="s">
        <v>3</v>
      </c>
      <c r="B33" s="32" t="s">
        <v>138</v>
      </c>
      <c r="C33" s="32">
        <v>2023</v>
      </c>
      <c r="D33" s="32" t="s">
        <v>5</v>
      </c>
      <c r="E33" s="33">
        <v>3780000</v>
      </c>
      <c r="F33" s="34">
        <v>-2195.4270000000001</v>
      </c>
      <c r="G33" s="34">
        <v>-33.399450000000002</v>
      </c>
      <c r="H33" s="34">
        <v>-197.58842999999999</v>
      </c>
      <c r="I33" s="34">
        <v>-1.3</v>
      </c>
      <c r="J33" s="34">
        <v>-1963.14</v>
      </c>
      <c r="K33" s="22" t="s">
        <v>32</v>
      </c>
      <c r="L33" s="22">
        <v>-230.98787999999999</v>
      </c>
      <c r="M33" s="23">
        <v>0.10521319087357492</v>
      </c>
      <c r="N33" s="23">
        <v>5.9213993450932321E-4</v>
      </c>
      <c r="O33" s="24">
        <v>-2195.4270000000001</v>
      </c>
      <c r="P33" s="24">
        <v>0</v>
      </c>
      <c r="Q33" s="25">
        <v>0</v>
      </c>
      <c r="R33" s="24">
        <v>0</v>
      </c>
      <c r="S33" s="24">
        <v>-230.98787999999999</v>
      </c>
      <c r="T33" s="24">
        <v>-1.3</v>
      </c>
      <c r="U33" s="24">
        <v>-1963.13912</v>
      </c>
      <c r="V33" s="60" t="s">
        <v>148</v>
      </c>
      <c r="W33" s="61">
        <v>45167</v>
      </c>
      <c r="X33" s="61">
        <v>45077</v>
      </c>
    </row>
    <row r="34" spans="1:24" hidden="1" x14ac:dyDescent="0.25">
      <c r="A34" s="32"/>
      <c r="B34" s="32"/>
      <c r="C34" s="32"/>
      <c r="D34" s="32"/>
      <c r="E34" s="33"/>
      <c r="F34" s="34"/>
      <c r="G34" s="34"/>
      <c r="H34" s="34"/>
      <c r="I34" s="34"/>
      <c r="J34" s="34"/>
      <c r="K34" s="22"/>
      <c r="L34" s="22"/>
      <c r="M34" s="23"/>
      <c r="N34" s="23"/>
      <c r="O34" s="24"/>
      <c r="P34" s="24"/>
      <c r="Q34" s="25"/>
      <c r="R34" s="24"/>
      <c r="S34" s="24"/>
      <c r="T34" s="24"/>
      <c r="U34" s="24"/>
      <c r="V34" s="60"/>
      <c r="W34" s="61"/>
      <c r="X34" s="61"/>
    </row>
    <row r="35" spans="1:24" x14ac:dyDescent="0.25">
      <c r="A35" s="32" t="s">
        <v>0</v>
      </c>
      <c r="B35" s="32" t="s">
        <v>138</v>
      </c>
      <c r="C35" s="32">
        <v>2022</v>
      </c>
      <c r="D35" s="32" t="s">
        <v>2</v>
      </c>
      <c r="E35" s="33">
        <v>1393107.8696976567</v>
      </c>
      <c r="F35" s="34">
        <v>-8357.1205245976325</v>
      </c>
      <c r="G35" s="34">
        <v>-2164.205448210505</v>
      </c>
      <c r="H35" s="34">
        <v>-752.14084721378686</v>
      </c>
      <c r="I35" s="34">
        <v>-83.571205421213136</v>
      </c>
      <c r="J35" s="34">
        <v>-5357.2030239273645</v>
      </c>
      <c r="K35" s="22" t="s">
        <v>26</v>
      </c>
      <c r="L35" s="22">
        <v>-2916.3462954242918</v>
      </c>
      <c r="M35" s="23">
        <v>0.34896544651241634</v>
      </c>
      <c r="N35" s="23">
        <v>1.0000000020968564E-2</v>
      </c>
      <c r="O35" s="24">
        <v>-8357.1205245976325</v>
      </c>
      <c r="P35" s="24">
        <v>0</v>
      </c>
      <c r="Q35" s="25">
        <v>0</v>
      </c>
      <c r="R35" s="24">
        <v>0</v>
      </c>
      <c r="S35" s="24">
        <v>-2916.3462954242918</v>
      </c>
      <c r="T35" s="24">
        <v>-83.571205421213136</v>
      </c>
      <c r="U35" s="24">
        <v>-5357.2030237521276</v>
      </c>
      <c r="V35" s="60" t="s">
        <v>133</v>
      </c>
      <c r="W35" s="61">
        <v>45167</v>
      </c>
      <c r="X35" s="61">
        <v>45077</v>
      </c>
    </row>
    <row r="36" spans="1:24" hidden="1" x14ac:dyDescent="0.25">
      <c r="A36" s="32"/>
      <c r="B36" s="32"/>
      <c r="C36" s="32"/>
      <c r="D36" s="32"/>
      <c r="E36" s="33"/>
      <c r="F36" s="34"/>
      <c r="G36" s="34"/>
      <c r="H36" s="34"/>
      <c r="I36" s="34"/>
      <c r="J36" s="34"/>
      <c r="K36" s="22"/>
      <c r="L36" s="22"/>
      <c r="M36" s="23"/>
      <c r="N36" s="23"/>
      <c r="O36" s="24"/>
      <c r="P36" s="24"/>
      <c r="Q36" s="25"/>
      <c r="R36" s="24"/>
      <c r="S36" s="24"/>
      <c r="T36" s="24"/>
      <c r="U36" s="24"/>
      <c r="V36" s="60"/>
      <c r="W36" s="61"/>
      <c r="X36" s="61"/>
    </row>
    <row r="37" spans="1:24" hidden="1" x14ac:dyDescent="0.25">
      <c r="A37" s="32" t="s">
        <v>8</v>
      </c>
      <c r="B37" s="32" t="s">
        <v>138</v>
      </c>
      <c r="C37" s="32">
        <v>2022</v>
      </c>
      <c r="D37" s="32" t="s">
        <v>10</v>
      </c>
      <c r="E37" s="33">
        <v>2267579.4094285714</v>
      </c>
      <c r="F37" s="34">
        <v>93835.201461877368</v>
      </c>
      <c r="G37" s="34">
        <v>20196.649707163993</v>
      </c>
      <c r="H37" s="34">
        <v>8445.1681315689639</v>
      </c>
      <c r="I37" s="34">
        <v>3330.073059350982</v>
      </c>
      <c r="J37" s="34">
        <v>61863.310563793442</v>
      </c>
      <c r="K37" s="22" t="s">
        <v>29</v>
      </c>
      <c r="L37" s="22">
        <v>28641.817838732957</v>
      </c>
      <c r="M37" s="23">
        <v>0.30523532099378858</v>
      </c>
      <c r="N37" s="23">
        <v>3.5488526773226975E-2</v>
      </c>
      <c r="O37" s="24">
        <v>0</v>
      </c>
      <c r="P37" s="24">
        <v>28641.817838732957</v>
      </c>
      <c r="Q37" s="25">
        <v>3330.073059350982</v>
      </c>
      <c r="R37" s="24">
        <v>93835.201461877368</v>
      </c>
      <c r="S37" s="24">
        <v>0</v>
      </c>
      <c r="T37" s="24">
        <v>0</v>
      </c>
      <c r="U37" s="24">
        <v>61863.310563793428</v>
      </c>
      <c r="V37" s="60" t="s">
        <v>133</v>
      </c>
      <c r="W37" s="61">
        <v>45167</v>
      </c>
      <c r="X37" s="61">
        <v>45077</v>
      </c>
    </row>
    <row r="38" spans="1:24" hidden="1" x14ac:dyDescent="0.25">
      <c r="A38" s="32"/>
      <c r="B38" s="32"/>
      <c r="C38" s="32"/>
      <c r="D38" s="32"/>
      <c r="E38" s="33"/>
      <c r="F38" s="34"/>
      <c r="G38" s="34"/>
      <c r="H38" s="34"/>
      <c r="I38" s="34"/>
      <c r="J38" s="34"/>
      <c r="K38" s="22"/>
      <c r="L38" s="22"/>
      <c r="M38" s="23"/>
      <c r="N38" s="23"/>
      <c r="O38" s="24"/>
      <c r="P38" s="24"/>
      <c r="Q38" s="25"/>
      <c r="R38" s="24"/>
      <c r="S38" s="24"/>
      <c r="T38" s="24"/>
      <c r="U38" s="24"/>
      <c r="V38" s="60"/>
      <c r="W38" s="61"/>
      <c r="X38" s="61"/>
    </row>
    <row r="39" spans="1:24" hidden="1" x14ac:dyDescent="0.25">
      <c r="A39" s="32" t="s">
        <v>8</v>
      </c>
      <c r="B39" s="32" t="s">
        <v>138</v>
      </c>
      <c r="C39" s="32">
        <v>2022</v>
      </c>
      <c r="D39" s="32" t="s">
        <v>12</v>
      </c>
      <c r="E39" s="33">
        <v>4979729.26771654</v>
      </c>
      <c r="F39" s="34">
        <v>-94628.034330813956</v>
      </c>
      <c r="G39" s="34">
        <v>-16754.373244539227</v>
      </c>
      <c r="H39" s="34">
        <v>-8516.523089773269</v>
      </c>
      <c r="I39" s="34">
        <v>2015.0787369079278</v>
      </c>
      <c r="J39" s="34">
        <v>-71372.21673340947</v>
      </c>
      <c r="K39" s="22" t="s">
        <v>30</v>
      </c>
      <c r="L39" s="22">
        <v>-25270.896334312496</v>
      </c>
      <c r="M39" s="23">
        <v>0.26705507002255752</v>
      </c>
      <c r="N39" s="23">
        <v>-2.1294733121723027E-2</v>
      </c>
      <c r="O39" s="24">
        <v>-94628.034330813956</v>
      </c>
      <c r="P39" s="24">
        <v>0</v>
      </c>
      <c r="Q39" s="25">
        <v>2015.0787369079278</v>
      </c>
      <c r="R39" s="24">
        <v>0</v>
      </c>
      <c r="S39" s="24">
        <v>-25270.896334312496</v>
      </c>
      <c r="T39" s="24">
        <v>0</v>
      </c>
      <c r="U39" s="24">
        <v>-71372.216733409383</v>
      </c>
      <c r="V39" s="60" t="s">
        <v>133</v>
      </c>
      <c r="W39" s="61">
        <v>45167</v>
      </c>
      <c r="X39" s="61">
        <v>45077</v>
      </c>
    </row>
    <row r="40" spans="1:24" hidden="1" x14ac:dyDescent="0.25">
      <c r="A40" s="32"/>
      <c r="B40" s="32"/>
      <c r="C40" s="32"/>
      <c r="D40" s="32"/>
      <c r="E40" s="33"/>
      <c r="F40" s="34"/>
      <c r="G40" s="34"/>
      <c r="H40" s="34"/>
      <c r="I40" s="34"/>
      <c r="J40" s="34"/>
      <c r="K40" s="22"/>
      <c r="L40" s="22"/>
      <c r="M40" s="23"/>
      <c r="N40" s="23"/>
      <c r="O40" s="24"/>
      <c r="P40" s="24"/>
      <c r="Q40" s="25"/>
      <c r="R40" s="24"/>
      <c r="S40" s="24"/>
      <c r="T40" s="24"/>
      <c r="U40" s="24"/>
      <c r="V40" s="60"/>
      <c r="W40" s="61"/>
      <c r="X40" s="61"/>
    </row>
    <row r="41" spans="1:24" hidden="1" x14ac:dyDescent="0.25">
      <c r="A41" s="32" t="s">
        <v>3</v>
      </c>
      <c r="B41" s="32" t="s">
        <v>138</v>
      </c>
      <c r="C41" s="32">
        <v>2022</v>
      </c>
      <c r="D41" s="32" t="s">
        <v>5</v>
      </c>
      <c r="E41" s="33">
        <v>3780000</v>
      </c>
      <c r="F41" s="34">
        <v>-2195.4270000000001</v>
      </c>
      <c r="G41" s="34">
        <v>-33.399450000000002</v>
      </c>
      <c r="H41" s="34">
        <v>-197.58842999999999</v>
      </c>
      <c r="I41" s="34">
        <v>-1.3</v>
      </c>
      <c r="J41" s="34">
        <v>-1963.14</v>
      </c>
      <c r="K41" s="22" t="s">
        <v>27</v>
      </c>
      <c r="L41" s="22">
        <v>-230.98787999999999</v>
      </c>
      <c r="M41" s="23">
        <v>0.10521319087357492</v>
      </c>
      <c r="N41" s="23">
        <v>5.9213993450932321E-4</v>
      </c>
      <c r="O41" s="24">
        <v>-2195.4270000000001</v>
      </c>
      <c r="P41" s="24">
        <v>0</v>
      </c>
      <c r="Q41" s="25">
        <v>0</v>
      </c>
      <c r="R41" s="24">
        <v>0</v>
      </c>
      <c r="S41" s="24">
        <v>-230.98787999999999</v>
      </c>
      <c r="T41" s="24">
        <v>-1.3</v>
      </c>
      <c r="U41" s="24">
        <v>-1963.13912</v>
      </c>
      <c r="V41" s="60" t="s">
        <v>133</v>
      </c>
      <c r="W41" s="61">
        <v>45167</v>
      </c>
      <c r="X41" s="61">
        <v>45077</v>
      </c>
    </row>
    <row r="42" spans="1:24" hidden="1" x14ac:dyDescent="0.25">
      <c r="A42" s="32"/>
      <c r="B42" s="32"/>
      <c r="C42" s="32"/>
      <c r="D42" s="32"/>
      <c r="E42" s="33"/>
      <c r="F42" s="34"/>
      <c r="G42" s="34"/>
      <c r="H42" s="34"/>
      <c r="I42" s="34"/>
      <c r="J42" s="34"/>
      <c r="K42" s="22"/>
      <c r="L42" s="22"/>
      <c r="M42" s="23"/>
      <c r="N42" s="23"/>
      <c r="O42" s="24"/>
      <c r="P42" s="24"/>
      <c r="Q42" s="25"/>
      <c r="R42" s="24"/>
      <c r="S42" s="24"/>
      <c r="T42" s="24"/>
      <c r="U42" s="24"/>
      <c r="V42" s="60"/>
      <c r="W42" s="61"/>
      <c r="X42" s="61"/>
    </row>
    <row r="43" spans="1:24" x14ac:dyDescent="0.25">
      <c r="A43" s="32" t="s">
        <v>0</v>
      </c>
      <c r="B43" s="32" t="s">
        <v>138</v>
      </c>
      <c r="C43" s="32">
        <v>2021</v>
      </c>
      <c r="D43" s="32" t="s">
        <v>2</v>
      </c>
      <c r="E43" s="33">
        <v>3758224.5409456994</v>
      </c>
      <c r="F43" s="34">
        <v>29005.643404415463</v>
      </c>
      <c r="G43" s="34">
        <v>6957.6527820597112</v>
      </c>
      <c r="H43" s="34">
        <v>2610.5079063973917</v>
      </c>
      <c r="I43" s="34">
        <v>290.68102466494685</v>
      </c>
      <c r="J43" s="34">
        <v>19146.807669414207</v>
      </c>
      <c r="K43" s="22" t="s">
        <v>18</v>
      </c>
      <c r="L43" s="22">
        <v>9568.1606884571029</v>
      </c>
      <c r="M43" s="23">
        <v>0.32987238224822701</v>
      </c>
      <c r="N43" s="23">
        <v>1.0021533417207257E-2</v>
      </c>
      <c r="O43" s="24">
        <v>0</v>
      </c>
      <c r="P43" s="24">
        <v>9568.1606884571029</v>
      </c>
      <c r="Q43" s="25">
        <v>290.68102466494685</v>
      </c>
      <c r="R43" s="24">
        <v>29005.643404415463</v>
      </c>
      <c r="S43" s="24">
        <v>0</v>
      </c>
      <c r="T43" s="24">
        <v>0</v>
      </c>
      <c r="U43" s="24">
        <v>19146.801691293411</v>
      </c>
      <c r="V43" s="60" t="s">
        <v>132</v>
      </c>
      <c r="W43" s="61">
        <v>45167</v>
      </c>
      <c r="X43" s="61">
        <v>45077</v>
      </c>
    </row>
    <row r="44" spans="1:24" hidden="1" x14ac:dyDescent="0.25">
      <c r="A44" s="32"/>
      <c r="B44" s="32"/>
      <c r="C44" s="32"/>
      <c r="D44" s="32"/>
      <c r="E44" s="33"/>
      <c r="F44" s="34"/>
      <c r="G44" s="34"/>
      <c r="H44" s="34"/>
      <c r="I44" s="34"/>
      <c r="J44" s="34"/>
      <c r="K44" s="22"/>
      <c r="L44" s="22"/>
      <c r="M44" s="23"/>
      <c r="N44" s="23"/>
      <c r="O44" s="24"/>
      <c r="P44" s="24"/>
      <c r="Q44" s="25"/>
      <c r="R44" s="24"/>
      <c r="S44" s="24"/>
      <c r="T44" s="24"/>
      <c r="U44" s="24"/>
      <c r="V44" s="60"/>
      <c r="W44" s="61"/>
      <c r="X44" s="61"/>
    </row>
    <row r="45" spans="1:24" hidden="1" x14ac:dyDescent="0.25">
      <c r="A45" s="32" t="s">
        <v>8</v>
      </c>
      <c r="B45" s="32" t="s">
        <v>138</v>
      </c>
      <c r="C45" s="32">
        <v>2021</v>
      </c>
      <c r="D45" s="32" t="s">
        <v>12</v>
      </c>
      <c r="E45" s="33">
        <v>4545384.7453202493</v>
      </c>
      <c r="F45" s="34">
        <v>12284.429007646324</v>
      </c>
      <c r="G45" s="34">
        <v>2270.0339963606366</v>
      </c>
      <c r="H45" s="34">
        <v>1105.5986106881692</v>
      </c>
      <c r="I45" s="34">
        <v>287.7141078167823</v>
      </c>
      <c r="J45" s="34">
        <v>8621.0822927807367</v>
      </c>
      <c r="K45" s="22" t="s">
        <v>22</v>
      </c>
      <c r="L45" s="22">
        <v>3375.6326070488058</v>
      </c>
      <c r="M45" s="23">
        <v>0.2747895408852683</v>
      </c>
      <c r="N45" s="23">
        <v>2.3421040378653127E-2</v>
      </c>
      <c r="O45" s="24">
        <v>0</v>
      </c>
      <c r="P45" s="24">
        <v>3375.6326070488058</v>
      </c>
      <c r="Q45" s="25">
        <v>287.7141078167823</v>
      </c>
      <c r="R45" s="24">
        <v>12284.429007646324</v>
      </c>
      <c r="S45" s="24">
        <v>0</v>
      </c>
      <c r="T45" s="24">
        <v>0</v>
      </c>
      <c r="U45" s="24">
        <v>8621.0822927807349</v>
      </c>
      <c r="V45" s="60" t="s">
        <v>132</v>
      </c>
      <c r="W45" s="61">
        <v>45167</v>
      </c>
      <c r="X45" s="61">
        <v>45077</v>
      </c>
    </row>
    <row r="46" spans="1:24" hidden="1" x14ac:dyDescent="0.25">
      <c r="A46" s="32"/>
      <c r="B46" s="32"/>
      <c r="C46" s="32"/>
      <c r="D46" s="32"/>
      <c r="E46" s="33"/>
      <c r="F46" s="34"/>
      <c r="G46" s="34"/>
      <c r="H46" s="34"/>
      <c r="I46" s="34"/>
      <c r="J46" s="34"/>
      <c r="K46" s="22"/>
      <c r="L46" s="22"/>
      <c r="M46" s="23"/>
      <c r="N46" s="23"/>
      <c r="O46" s="24"/>
      <c r="P46" s="24"/>
      <c r="Q46" s="25"/>
      <c r="R46" s="24"/>
      <c r="S46" s="24"/>
      <c r="T46" s="24"/>
      <c r="U46" s="24"/>
      <c r="V46" s="60"/>
      <c r="W46" s="61"/>
      <c r="X46" s="61"/>
    </row>
    <row r="47" spans="1:24" hidden="1" x14ac:dyDescent="0.25">
      <c r="A47" s="32" t="s">
        <v>3</v>
      </c>
      <c r="B47" s="32" t="s">
        <v>138</v>
      </c>
      <c r="C47" s="32">
        <v>2021</v>
      </c>
      <c r="D47" s="32" t="s">
        <v>5</v>
      </c>
      <c r="E47" s="33">
        <v>3000000</v>
      </c>
      <c r="F47" s="34">
        <v>-1172.3629999999998</v>
      </c>
      <c r="G47" s="34">
        <v>-410.32704999999993</v>
      </c>
      <c r="H47" s="34">
        <v>-105.51266999999999</v>
      </c>
      <c r="I47" s="34">
        <v>-16</v>
      </c>
      <c r="J47" s="34">
        <v>-640.52052504999995</v>
      </c>
      <c r="K47" s="22" t="s">
        <v>19</v>
      </c>
      <c r="L47" s="22">
        <v>-515.83971999999994</v>
      </c>
      <c r="M47" s="23">
        <v>0.44</v>
      </c>
      <c r="N47" s="23">
        <v>1.3647650087899399E-2</v>
      </c>
      <c r="O47" s="24">
        <v>-1172.3629999999998</v>
      </c>
      <c r="P47" s="24">
        <v>0</v>
      </c>
      <c r="Q47" s="25">
        <v>0</v>
      </c>
      <c r="R47" s="24">
        <v>0</v>
      </c>
      <c r="S47" s="24">
        <v>-515.83971999999994</v>
      </c>
      <c r="T47" s="24">
        <v>-16</v>
      </c>
      <c r="U47" s="24">
        <v>-640.52327999999989</v>
      </c>
      <c r="V47" s="60" t="s">
        <v>132</v>
      </c>
      <c r="W47" s="61">
        <v>45167</v>
      </c>
      <c r="X47" s="61">
        <v>45077</v>
      </c>
    </row>
    <row r="48" spans="1:24" hidden="1" x14ac:dyDescent="0.25">
      <c r="A48" s="32"/>
      <c r="B48" s="32"/>
      <c r="C48" s="32"/>
      <c r="D48" s="32"/>
      <c r="E48" s="33"/>
      <c r="F48" s="34"/>
      <c r="G48" s="34"/>
      <c r="H48" s="34"/>
      <c r="I48" s="34"/>
      <c r="J48" s="34"/>
      <c r="K48" s="22"/>
      <c r="L48" s="22"/>
      <c r="M48" s="23"/>
      <c r="N48" s="23"/>
      <c r="O48" s="24"/>
      <c r="P48" s="24"/>
      <c r="Q48" s="25"/>
      <c r="R48" s="24"/>
      <c r="S48" s="24"/>
      <c r="T48" s="24"/>
      <c r="U48" s="24"/>
      <c r="V48" s="60"/>
      <c r="W48" s="61"/>
      <c r="X48" s="61"/>
    </row>
    <row r="49" spans="1:24" x14ac:dyDescent="0.25">
      <c r="A49" s="32" t="s">
        <v>0</v>
      </c>
      <c r="B49" s="32" t="s">
        <v>138</v>
      </c>
      <c r="C49" s="32">
        <v>2020</v>
      </c>
      <c r="D49" s="32" t="s">
        <v>2</v>
      </c>
      <c r="E49" s="33">
        <v>200000</v>
      </c>
      <c r="F49" s="34">
        <v>-34.298000000000002</v>
      </c>
      <c r="G49" s="34">
        <v>-5.1447000000000003</v>
      </c>
      <c r="H49" s="34">
        <v>-3.4298000000000002</v>
      </c>
      <c r="I49" s="34">
        <v>-0.61221930000000002</v>
      </c>
      <c r="J49" s="34">
        <v>-25.111280700000002</v>
      </c>
      <c r="K49" s="22" t="s">
        <v>13</v>
      </c>
      <c r="L49" s="22">
        <v>-8.5745000000000005</v>
      </c>
      <c r="M49" s="23">
        <v>0.25</v>
      </c>
      <c r="N49" s="23">
        <v>1.7850000000000001E-2</v>
      </c>
      <c r="O49" s="24">
        <v>-34.298000000000002</v>
      </c>
      <c r="P49" s="24">
        <v>0</v>
      </c>
      <c r="Q49" s="25">
        <v>0</v>
      </c>
      <c r="R49" s="24">
        <v>0</v>
      </c>
      <c r="S49" s="24">
        <v>-8.5745000000000005</v>
      </c>
      <c r="T49" s="24">
        <v>-0.61221930000000002</v>
      </c>
      <c r="U49" s="24">
        <v>-25.111280700000002</v>
      </c>
      <c r="V49" s="60" t="s">
        <v>131</v>
      </c>
      <c r="W49" s="61">
        <v>45167</v>
      </c>
      <c r="X49" s="61">
        <v>45077</v>
      </c>
    </row>
    <row r="50" spans="1:24" hidden="1" x14ac:dyDescent="0.25">
      <c r="A50" s="32"/>
      <c r="B50" s="32"/>
      <c r="C50" s="32"/>
      <c r="D50" s="32"/>
      <c r="E50" s="33"/>
      <c r="F50" s="34"/>
      <c r="G50" s="34"/>
      <c r="H50" s="34"/>
      <c r="I50" s="34"/>
      <c r="J50" s="34"/>
      <c r="K50" s="22"/>
      <c r="L50" s="22"/>
      <c r="M50" s="23"/>
      <c r="N50" s="23"/>
      <c r="O50" s="24"/>
      <c r="P50" s="24"/>
      <c r="Q50" s="25"/>
      <c r="R50" s="24"/>
      <c r="S50" s="24"/>
      <c r="T50" s="24"/>
      <c r="U50" s="24"/>
      <c r="V50" s="60"/>
      <c r="W50" s="61"/>
      <c r="X50" s="61"/>
    </row>
    <row r="51" spans="1:24" hidden="1" x14ac:dyDescent="0.25">
      <c r="A51" s="32" t="s">
        <v>8</v>
      </c>
      <c r="B51" s="32" t="s">
        <v>138</v>
      </c>
      <c r="C51" s="32">
        <v>2020</v>
      </c>
      <c r="D51" s="32" t="s">
        <v>10</v>
      </c>
      <c r="E51" s="33">
        <v>4800000</v>
      </c>
      <c r="F51" s="34">
        <v>-1.8189894035458565E-12</v>
      </c>
      <c r="G51" s="34">
        <v>5249.2140320000008</v>
      </c>
      <c r="H51" s="34">
        <v>0</v>
      </c>
      <c r="I51" s="34">
        <v>918.61</v>
      </c>
      <c r="J51" s="34">
        <v>-6167.8240320000004</v>
      </c>
      <c r="K51" s="22" t="s">
        <v>16</v>
      </c>
      <c r="L51" s="22">
        <v>5249.2140320000008</v>
      </c>
      <c r="M51" s="23">
        <v>-2885785932434470.5</v>
      </c>
      <c r="N51" s="23">
        <v>-505011188195655.69</v>
      </c>
      <c r="O51" s="24">
        <v>-1.8189894035458565E-12</v>
      </c>
      <c r="P51" s="24">
        <v>5249.2140320000008</v>
      </c>
      <c r="Q51" s="25">
        <v>918.61</v>
      </c>
      <c r="R51" s="24">
        <v>0</v>
      </c>
      <c r="S51" s="24">
        <v>0</v>
      </c>
      <c r="T51" s="24">
        <v>0</v>
      </c>
      <c r="U51" s="24">
        <v>-6167.8240320000023</v>
      </c>
      <c r="V51" s="60" t="s">
        <v>131</v>
      </c>
      <c r="W51" s="61">
        <v>45167</v>
      </c>
      <c r="X51" s="61">
        <v>45077</v>
      </c>
    </row>
    <row r="52" spans="1:24" hidden="1" x14ac:dyDescent="0.25">
      <c r="A52" s="32"/>
      <c r="B52" s="32"/>
      <c r="C52" s="32"/>
      <c r="D52" s="32"/>
      <c r="E52" s="33"/>
      <c r="F52" s="34"/>
      <c r="G52" s="34"/>
      <c r="H52" s="34"/>
      <c r="I52" s="34"/>
      <c r="J52" s="34"/>
      <c r="K52" s="22"/>
      <c r="L52" s="22"/>
      <c r="M52" s="23"/>
      <c r="N52" s="23"/>
      <c r="O52" s="24"/>
      <c r="P52" s="24"/>
      <c r="Q52" s="25"/>
      <c r="R52" s="24"/>
      <c r="S52" s="24"/>
      <c r="T52" s="24"/>
      <c r="U52" s="24"/>
      <c r="V52" s="60"/>
      <c r="W52" s="61"/>
      <c r="X52" s="61"/>
    </row>
    <row r="53" spans="1:24" hidden="1" x14ac:dyDescent="0.25">
      <c r="A53" s="32" t="s">
        <v>8</v>
      </c>
      <c r="B53" s="32" t="s">
        <v>138</v>
      </c>
      <c r="C53" s="32">
        <v>2020</v>
      </c>
      <c r="D53" s="32" t="s">
        <v>12</v>
      </c>
      <c r="E53" s="33">
        <v>4999814.9468647027</v>
      </c>
      <c r="F53" s="34">
        <v>285.6115623030833</v>
      </c>
      <c r="G53" s="34">
        <v>148.63377232037107</v>
      </c>
      <c r="H53" s="34">
        <v>28.561156230308335</v>
      </c>
      <c r="I53" s="34">
        <v>11.00158154742865</v>
      </c>
      <c r="J53" s="34">
        <v>97.415052204976149</v>
      </c>
      <c r="K53" s="22" t="s">
        <v>17</v>
      </c>
      <c r="L53" s="22">
        <v>177.19492855067941</v>
      </c>
      <c r="M53" s="23">
        <v>0.62040530544994155</v>
      </c>
      <c r="N53" s="23">
        <v>3.8519384364958123E-2</v>
      </c>
      <c r="O53" s="24">
        <v>0</v>
      </c>
      <c r="P53" s="24">
        <v>177.19492855067941</v>
      </c>
      <c r="Q53" s="25">
        <v>11.00158154742865</v>
      </c>
      <c r="R53" s="24">
        <v>285.6115623030833</v>
      </c>
      <c r="S53" s="24">
        <v>0</v>
      </c>
      <c r="T53" s="24">
        <v>0</v>
      </c>
      <c r="U53" s="24">
        <v>97.41505220497524</v>
      </c>
      <c r="V53" s="60" t="s">
        <v>131</v>
      </c>
      <c r="W53" s="61">
        <v>45167</v>
      </c>
      <c r="X53" s="61">
        <v>45077</v>
      </c>
    </row>
    <row r="54" spans="1:24" hidden="1" x14ac:dyDescent="0.25">
      <c r="A54" s="32"/>
      <c r="B54" s="32"/>
      <c r="C54" s="32"/>
      <c r="D54" s="32"/>
      <c r="E54" s="33"/>
      <c r="F54" s="34"/>
      <c r="G54" s="34"/>
      <c r="H54" s="34"/>
      <c r="I54" s="34"/>
      <c r="J54" s="34"/>
      <c r="K54" s="22"/>
      <c r="L54" s="22"/>
      <c r="M54" s="23"/>
      <c r="N54" s="23"/>
      <c r="O54" s="24"/>
      <c r="P54" s="24"/>
      <c r="Q54" s="25"/>
      <c r="R54" s="24"/>
      <c r="S54" s="24"/>
      <c r="T54" s="24"/>
      <c r="U54" s="24"/>
      <c r="V54" s="60"/>
      <c r="W54" s="61"/>
      <c r="X54" s="61"/>
    </row>
    <row r="55" spans="1:24" hidden="1" x14ac:dyDescent="0.25">
      <c r="A55" s="32" t="s">
        <v>8</v>
      </c>
      <c r="B55" s="32" t="s">
        <v>138</v>
      </c>
      <c r="C55" s="32">
        <v>2019</v>
      </c>
      <c r="D55" s="32" t="s">
        <v>12</v>
      </c>
      <c r="E55" s="33">
        <v>589285.95000000007</v>
      </c>
      <c r="F55" s="34">
        <v>-376.49699999999996</v>
      </c>
      <c r="G55" s="34">
        <v>-86.594309999999993</v>
      </c>
      <c r="H55" s="34">
        <v>-47.062124999999995</v>
      </c>
      <c r="I55" s="34">
        <v>-7.5299399999999999</v>
      </c>
      <c r="J55" s="34">
        <v>-235.31062500000002</v>
      </c>
      <c r="K55" s="22" t="s">
        <v>11</v>
      </c>
      <c r="L55" s="22">
        <v>-133.65643499999999</v>
      </c>
      <c r="M55" s="23">
        <v>0.35499999999999998</v>
      </c>
      <c r="N55" s="23">
        <v>0.02</v>
      </c>
      <c r="O55" s="24">
        <v>-376.49699999999996</v>
      </c>
      <c r="P55" s="24">
        <v>0</v>
      </c>
      <c r="Q55" s="25">
        <v>0</v>
      </c>
      <c r="R55" s="24">
        <v>0</v>
      </c>
      <c r="S55" s="24">
        <v>-133.65643499999999</v>
      </c>
      <c r="T55" s="24">
        <v>-7.5299399999999999</v>
      </c>
      <c r="U55" s="24">
        <v>-235.31062499999996</v>
      </c>
      <c r="V55" s="60" t="s">
        <v>130</v>
      </c>
      <c r="W55" s="61">
        <v>45167</v>
      </c>
      <c r="X55" s="61">
        <v>45077</v>
      </c>
    </row>
    <row r="56" spans="1:24" hidden="1" x14ac:dyDescent="0.25">
      <c r="A56" s="32"/>
      <c r="B56" s="32"/>
      <c r="C56" s="32"/>
      <c r="D56" s="32"/>
      <c r="E56" s="33"/>
      <c r="F56" s="34"/>
      <c r="G56" s="34"/>
      <c r="H56" s="34"/>
      <c r="I56" s="34"/>
      <c r="J56" s="34"/>
      <c r="K56" s="22"/>
      <c r="L56" s="22"/>
      <c r="M56" s="23"/>
      <c r="N56" s="23"/>
      <c r="O56" s="24"/>
      <c r="P56" s="24"/>
      <c r="Q56" s="25"/>
      <c r="R56" s="24"/>
      <c r="S56" s="24"/>
      <c r="T56" s="24"/>
      <c r="U56" s="24"/>
      <c r="V56" s="60"/>
      <c r="W56" s="61"/>
      <c r="X56" s="61"/>
    </row>
    <row r="57" spans="1:24" hidden="1" x14ac:dyDescent="0.25">
      <c r="A57" s="32" t="s">
        <v>3</v>
      </c>
      <c r="B57" s="32" t="s">
        <v>138</v>
      </c>
      <c r="C57" s="32">
        <v>2019</v>
      </c>
      <c r="D57" s="32" t="s">
        <v>5</v>
      </c>
      <c r="E57" s="33">
        <v>1642857.1428571427</v>
      </c>
      <c r="F57" s="34">
        <v>-457.56970000000001</v>
      </c>
      <c r="G57" s="34">
        <v>-81.298538000000008</v>
      </c>
      <c r="H57" s="34">
        <v>-57.196212500000001</v>
      </c>
      <c r="I57" s="34">
        <v>-13.010409500000002</v>
      </c>
      <c r="J57" s="34">
        <v>-306.06453999999997</v>
      </c>
      <c r="K57" s="22" t="s">
        <v>4</v>
      </c>
      <c r="L57" s="22">
        <v>-138.49475050000001</v>
      </c>
      <c r="M57" s="23">
        <v>0.30267465371942243</v>
      </c>
      <c r="N57" s="23">
        <v>2.8433721682183066E-2</v>
      </c>
      <c r="O57" s="24">
        <v>-457.56970000000001</v>
      </c>
      <c r="P57" s="24">
        <v>0</v>
      </c>
      <c r="Q57" s="25">
        <v>0</v>
      </c>
      <c r="R57" s="24">
        <v>0</v>
      </c>
      <c r="S57" s="24">
        <v>-138.49475050000001</v>
      </c>
      <c r="T57" s="24">
        <v>-13.010409500000002</v>
      </c>
      <c r="U57" s="24">
        <v>-306.06453999999997</v>
      </c>
      <c r="V57" s="60" t="s">
        <v>130</v>
      </c>
      <c r="W57" s="61">
        <v>45167</v>
      </c>
      <c r="X57" s="61">
        <v>45077</v>
      </c>
    </row>
    <row r="58" spans="1:24" hidden="1" x14ac:dyDescent="0.25">
      <c r="A58" s="32"/>
      <c r="B58" s="32"/>
      <c r="C58" s="32"/>
      <c r="D58" s="32"/>
      <c r="E58" s="33"/>
      <c r="F58" s="34"/>
      <c r="G58" s="34"/>
      <c r="H58" s="34"/>
      <c r="I58" s="34"/>
      <c r="J58" s="34"/>
      <c r="K58" s="22"/>
      <c r="L58" s="22"/>
      <c r="M58" s="23"/>
      <c r="N58" s="23"/>
      <c r="O58" s="24"/>
      <c r="P58" s="24"/>
      <c r="Q58" s="25"/>
      <c r="R58" s="24"/>
      <c r="S58" s="24"/>
      <c r="T58" s="24"/>
      <c r="U58" s="24"/>
      <c r="V58" s="60"/>
      <c r="W58" s="61"/>
      <c r="X58" s="61"/>
    </row>
    <row r="59" spans="1:24" x14ac:dyDescent="0.25">
      <c r="A59" s="32" t="s">
        <v>147</v>
      </c>
      <c r="B59" s="32" t="s">
        <v>138</v>
      </c>
      <c r="C59" s="32">
        <v>2021</v>
      </c>
      <c r="D59" s="32" t="s">
        <v>2</v>
      </c>
      <c r="E59" s="33">
        <v>1504862.2097998634</v>
      </c>
      <c r="F59" s="34">
        <v>187.52542464703458</v>
      </c>
      <c r="G59" s="34">
        <v>37.50508492940692</v>
      </c>
      <c r="H59" s="34">
        <v>18.75254246470346</v>
      </c>
      <c r="I59" s="34">
        <v>6.5633898626462104</v>
      </c>
      <c r="J59" s="34">
        <v>124.70440739027796</v>
      </c>
      <c r="K59" s="22" t="s">
        <v>36</v>
      </c>
      <c r="L59" s="22">
        <v>56.257627394110379</v>
      </c>
      <c r="M59" s="23">
        <v>0.30000000000000004</v>
      </c>
      <c r="N59" s="23">
        <v>3.4999999999999996E-2</v>
      </c>
      <c r="O59" s="24">
        <v>0</v>
      </c>
      <c r="P59" s="24">
        <v>56.257627394110379</v>
      </c>
      <c r="Q59" s="25">
        <v>6.5633898626462104</v>
      </c>
      <c r="R59" s="24">
        <v>187.52542464703458</v>
      </c>
      <c r="S59" s="24">
        <v>0</v>
      </c>
      <c r="T59" s="24">
        <v>0</v>
      </c>
      <c r="U59" s="24">
        <v>124.70440739027799</v>
      </c>
      <c r="V59" s="60" t="s">
        <v>133</v>
      </c>
      <c r="W59" s="61">
        <v>45145</v>
      </c>
      <c r="X59" s="61">
        <v>45055</v>
      </c>
    </row>
    <row r="60" spans="1:24" hidden="1" x14ac:dyDescent="0.25">
      <c r="A60" s="32"/>
      <c r="B60" s="32"/>
      <c r="C60" s="32"/>
      <c r="D60" s="32"/>
      <c r="E60" s="33"/>
      <c r="F60" s="34"/>
      <c r="G60" s="34"/>
      <c r="H60" s="34"/>
      <c r="I60" s="34"/>
      <c r="J60" s="34"/>
      <c r="K60" s="22"/>
      <c r="L60" s="22"/>
      <c r="M60" s="23"/>
      <c r="N60" s="23"/>
      <c r="O60" s="24"/>
      <c r="P60" s="24"/>
      <c r="Q60" s="25"/>
      <c r="R60" s="24"/>
      <c r="S60" s="24"/>
      <c r="T60" s="24"/>
      <c r="U60" s="24"/>
      <c r="V60" s="60"/>
      <c r="W60" s="61"/>
      <c r="X60" s="61"/>
    </row>
    <row r="61" spans="1:24" x14ac:dyDescent="0.25">
      <c r="A61" s="32" t="s">
        <v>0</v>
      </c>
      <c r="B61" s="32" t="s">
        <v>138</v>
      </c>
      <c r="C61" s="32">
        <v>2023</v>
      </c>
      <c r="D61" s="32" t="s">
        <v>2</v>
      </c>
      <c r="E61" s="33">
        <v>4875000</v>
      </c>
      <c r="F61" s="34">
        <v>3604.4316510045046</v>
      </c>
      <c r="G61" s="34">
        <v>822.3284135342343</v>
      </c>
      <c r="H61" s="34">
        <v>324.39884859040546</v>
      </c>
      <c r="I61" s="34">
        <v>40.14712225292574</v>
      </c>
      <c r="J61" s="34">
        <v>2417.5616737342652</v>
      </c>
      <c r="K61" s="22" t="s">
        <v>31</v>
      </c>
      <c r="L61" s="22">
        <v>1146.7272621246398</v>
      </c>
      <c r="M61" s="23">
        <v>0.31814371117428819</v>
      </c>
      <c r="N61" s="23">
        <v>1.1138267039059348E-2</v>
      </c>
      <c r="O61" s="24">
        <v>0</v>
      </c>
      <c r="P61" s="24">
        <v>1146.7272621246398</v>
      </c>
      <c r="Q61" s="25">
        <v>40.14712225292574</v>
      </c>
      <c r="R61" s="24">
        <v>3604.4316510045046</v>
      </c>
      <c r="S61" s="24">
        <v>0</v>
      </c>
      <c r="T61" s="24">
        <v>0</v>
      </c>
      <c r="U61" s="24">
        <v>2417.5572666269391</v>
      </c>
      <c r="V61" s="60" t="s">
        <v>133</v>
      </c>
      <c r="W61" s="61">
        <v>45145</v>
      </c>
      <c r="X61" s="61">
        <v>45055</v>
      </c>
    </row>
    <row r="62" spans="1:24" hidden="1" x14ac:dyDescent="0.25">
      <c r="A62" s="32"/>
      <c r="B62" s="32"/>
      <c r="C62" s="32"/>
      <c r="D62" s="32"/>
      <c r="E62" s="33"/>
      <c r="F62" s="34"/>
      <c r="G62" s="34"/>
      <c r="H62" s="34"/>
      <c r="I62" s="34"/>
      <c r="J62" s="34"/>
      <c r="K62" s="22"/>
      <c r="L62" s="22"/>
      <c r="M62" s="23"/>
      <c r="N62" s="23"/>
      <c r="O62" s="24"/>
      <c r="P62" s="24"/>
      <c r="Q62" s="25"/>
      <c r="R62" s="24"/>
      <c r="S62" s="24"/>
      <c r="T62" s="24"/>
      <c r="U62" s="24"/>
      <c r="V62" s="60"/>
      <c r="W62" s="61"/>
      <c r="X62" s="61"/>
    </row>
    <row r="63" spans="1:24" hidden="1" x14ac:dyDescent="0.25">
      <c r="A63" s="32" t="s">
        <v>8</v>
      </c>
      <c r="B63" s="32" t="s">
        <v>138</v>
      </c>
      <c r="C63" s="32">
        <v>2023</v>
      </c>
      <c r="D63" s="32" t="s">
        <v>10</v>
      </c>
      <c r="E63" s="33">
        <v>1976562.5</v>
      </c>
      <c r="F63" s="34">
        <v>189273.83908630384</v>
      </c>
      <c r="G63" s="34">
        <v>37719.092556923271</v>
      </c>
      <c r="H63" s="34">
        <v>17034.645517767349</v>
      </c>
      <c r="I63" s="34">
        <v>5421.7</v>
      </c>
      <c r="J63" s="34">
        <v>129098.40101161326</v>
      </c>
      <c r="K63" s="22" t="s">
        <v>34</v>
      </c>
      <c r="L63" s="22">
        <v>54753.73807469062</v>
      </c>
      <c r="M63" s="23">
        <v>0.28928318006866427</v>
      </c>
      <c r="N63" s="23">
        <v>2.8644740478518265E-2</v>
      </c>
      <c r="O63" s="24">
        <v>0</v>
      </c>
      <c r="P63" s="24">
        <v>54753.73807469062</v>
      </c>
      <c r="Q63" s="25">
        <v>5421.7</v>
      </c>
      <c r="R63" s="24">
        <v>189273.83908630384</v>
      </c>
      <c r="S63" s="24">
        <v>0</v>
      </c>
      <c r="T63" s="24">
        <v>0</v>
      </c>
      <c r="U63" s="24">
        <v>129098.40101161323</v>
      </c>
      <c r="V63" s="60" t="s">
        <v>139</v>
      </c>
      <c r="W63" s="61">
        <v>45145</v>
      </c>
      <c r="X63" s="61">
        <v>45055</v>
      </c>
    </row>
    <row r="64" spans="1:24" hidden="1" x14ac:dyDescent="0.25">
      <c r="A64" s="32"/>
      <c r="B64" s="32"/>
      <c r="C64" s="32"/>
      <c r="D64" s="32"/>
      <c r="E64" s="33"/>
      <c r="F64" s="34"/>
      <c r="G64" s="34"/>
      <c r="H64" s="34"/>
      <c r="I64" s="34"/>
      <c r="J64" s="34"/>
      <c r="K64" s="22"/>
      <c r="L64" s="22"/>
      <c r="M64" s="23"/>
      <c r="N64" s="23"/>
      <c r="O64" s="24"/>
      <c r="P64" s="24"/>
      <c r="Q64" s="25"/>
      <c r="R64" s="24"/>
      <c r="S64" s="24"/>
      <c r="T64" s="24"/>
      <c r="U64" s="24"/>
      <c r="V64" s="60"/>
      <c r="W64" s="61"/>
      <c r="X64" s="61"/>
    </row>
    <row r="65" spans="1:24" hidden="1" x14ac:dyDescent="0.25">
      <c r="A65" s="32" t="s">
        <v>8</v>
      </c>
      <c r="B65" s="32" t="s">
        <v>138</v>
      </c>
      <c r="C65" s="32">
        <v>2023</v>
      </c>
      <c r="D65" s="32" t="s">
        <v>12</v>
      </c>
      <c r="E65" s="33">
        <v>4980475.729979584</v>
      </c>
      <c r="F65" s="34">
        <v>318203.94402186404</v>
      </c>
      <c r="G65" s="34">
        <v>55368.986296135328</v>
      </c>
      <c r="H65" s="34">
        <v>28638.354961967769</v>
      </c>
      <c r="I65" s="34">
        <v>5154.627381489965</v>
      </c>
      <c r="J65" s="34">
        <v>229041.97538227099</v>
      </c>
      <c r="K65" s="22" t="s">
        <v>35</v>
      </c>
      <c r="L65" s="22">
        <v>84007.341258103101</v>
      </c>
      <c r="M65" s="23">
        <v>0.26400471407208859</v>
      </c>
      <c r="N65" s="23">
        <v>1.619913102376816E-2</v>
      </c>
      <c r="O65" s="24">
        <v>0</v>
      </c>
      <c r="P65" s="24">
        <v>84007.341258103101</v>
      </c>
      <c r="Q65" s="25">
        <v>5154.627381489965</v>
      </c>
      <c r="R65" s="24">
        <v>318203.94402186404</v>
      </c>
      <c r="S65" s="24">
        <v>0</v>
      </c>
      <c r="T65" s="24">
        <v>0</v>
      </c>
      <c r="U65" s="24">
        <v>229041.97538227099</v>
      </c>
      <c r="V65" s="60">
        <v>45174</v>
      </c>
      <c r="W65" s="61">
        <v>45145</v>
      </c>
      <c r="X65" s="61">
        <v>45055</v>
      </c>
    </row>
    <row r="66" spans="1:24" hidden="1" x14ac:dyDescent="0.25">
      <c r="A66" s="32"/>
      <c r="B66" s="32"/>
      <c r="C66" s="32"/>
      <c r="D66" s="32"/>
      <c r="E66" s="33"/>
      <c r="F66" s="34"/>
      <c r="G66" s="34"/>
      <c r="H66" s="34"/>
      <c r="I66" s="34"/>
      <c r="J66" s="34"/>
      <c r="K66" s="22"/>
      <c r="L66" s="22"/>
      <c r="M66" s="23"/>
      <c r="N66" s="23"/>
      <c r="O66" s="24"/>
      <c r="P66" s="24"/>
      <c r="Q66" s="25"/>
      <c r="R66" s="24"/>
      <c r="S66" s="24"/>
      <c r="T66" s="24"/>
      <c r="U66" s="24"/>
      <c r="V66" s="60"/>
      <c r="W66" s="61"/>
      <c r="X66" s="61"/>
    </row>
    <row r="67" spans="1:24" x14ac:dyDescent="0.25">
      <c r="A67" s="32" t="s">
        <v>0</v>
      </c>
      <c r="B67" s="32" t="s">
        <v>138</v>
      </c>
      <c r="C67" s="32">
        <v>2022</v>
      </c>
      <c r="D67" s="32" t="s">
        <v>2</v>
      </c>
      <c r="E67" s="33">
        <v>1393107.8696976567</v>
      </c>
      <c r="F67" s="34">
        <v>-8357.1205245976325</v>
      </c>
      <c r="G67" s="34">
        <v>-2164.205448210505</v>
      </c>
      <c r="H67" s="34">
        <v>-752.14084721378686</v>
      </c>
      <c r="I67" s="34">
        <v>-83.571205421213136</v>
      </c>
      <c r="J67" s="34">
        <v>-5357.2030239273645</v>
      </c>
      <c r="K67" s="22" t="s">
        <v>26</v>
      </c>
      <c r="L67" s="22">
        <v>-2916.3462954242918</v>
      </c>
      <c r="M67" s="23">
        <v>0.34896544651241634</v>
      </c>
      <c r="N67" s="23">
        <v>1.0000000020968564E-2</v>
      </c>
      <c r="O67" s="24">
        <v>-8357.1205245976325</v>
      </c>
      <c r="P67" s="24">
        <v>0</v>
      </c>
      <c r="Q67" s="25">
        <v>0</v>
      </c>
      <c r="R67" s="24">
        <v>0</v>
      </c>
      <c r="S67" s="24">
        <v>-2916.3462954242918</v>
      </c>
      <c r="T67" s="24">
        <v>-83.571205421213136</v>
      </c>
      <c r="U67" s="24">
        <v>-5357.2030237521276</v>
      </c>
      <c r="V67" s="60" t="s">
        <v>133</v>
      </c>
      <c r="W67" s="61">
        <v>45145</v>
      </c>
      <c r="X67" s="61">
        <v>45055</v>
      </c>
    </row>
    <row r="68" spans="1:24" hidden="1" x14ac:dyDescent="0.25">
      <c r="A68" s="32"/>
      <c r="B68" s="32"/>
      <c r="C68" s="32"/>
      <c r="D68" s="32"/>
      <c r="E68" s="33"/>
      <c r="F68" s="34"/>
      <c r="G68" s="34"/>
      <c r="H68" s="34"/>
      <c r="I68" s="34"/>
      <c r="J68" s="34"/>
      <c r="K68" s="22"/>
      <c r="L68" s="22"/>
      <c r="M68" s="23"/>
      <c r="N68" s="23"/>
      <c r="O68" s="24"/>
      <c r="P68" s="24"/>
      <c r="Q68" s="25"/>
      <c r="R68" s="24"/>
      <c r="S68" s="24"/>
      <c r="T68" s="24"/>
      <c r="U68" s="24"/>
      <c r="V68" s="60"/>
      <c r="W68" s="61"/>
      <c r="X68" s="61"/>
    </row>
    <row r="69" spans="1:24" hidden="1" x14ac:dyDescent="0.25">
      <c r="A69" s="32" t="s">
        <v>8</v>
      </c>
      <c r="B69" s="32" t="s">
        <v>138</v>
      </c>
      <c r="C69" s="32">
        <v>2022</v>
      </c>
      <c r="D69" s="32" t="s">
        <v>10</v>
      </c>
      <c r="E69" s="33">
        <v>2267579.4094285714</v>
      </c>
      <c r="F69" s="34">
        <v>93835.201461877368</v>
      </c>
      <c r="G69" s="34">
        <v>20196.649707163993</v>
      </c>
      <c r="H69" s="34">
        <v>8445.1681315689639</v>
      </c>
      <c r="I69" s="34">
        <v>3330.073059350982</v>
      </c>
      <c r="J69" s="34">
        <v>61863.310563793442</v>
      </c>
      <c r="K69" s="22" t="s">
        <v>29</v>
      </c>
      <c r="L69" s="22">
        <v>28641.817838732957</v>
      </c>
      <c r="M69" s="23">
        <v>0.30523532099378858</v>
      </c>
      <c r="N69" s="23">
        <v>3.5488526773226975E-2</v>
      </c>
      <c r="O69" s="24">
        <v>0</v>
      </c>
      <c r="P69" s="24">
        <v>28641.817838732957</v>
      </c>
      <c r="Q69" s="25">
        <v>3330.073059350982</v>
      </c>
      <c r="R69" s="24">
        <v>93835.201461877368</v>
      </c>
      <c r="S69" s="24">
        <v>0</v>
      </c>
      <c r="T69" s="24">
        <v>0</v>
      </c>
      <c r="U69" s="24">
        <v>61863.310563793428</v>
      </c>
      <c r="V69" s="60" t="s">
        <v>133</v>
      </c>
      <c r="W69" s="61">
        <v>45145</v>
      </c>
      <c r="X69" s="61">
        <v>45055</v>
      </c>
    </row>
    <row r="70" spans="1:24" hidden="1" x14ac:dyDescent="0.25">
      <c r="A70" s="32"/>
      <c r="B70" s="32"/>
      <c r="C70" s="32"/>
      <c r="D70" s="32"/>
      <c r="E70" s="33"/>
      <c r="F70" s="34"/>
      <c r="G70" s="34"/>
      <c r="H70" s="34"/>
      <c r="I70" s="34"/>
      <c r="J70" s="34"/>
      <c r="K70" s="22"/>
      <c r="L70" s="22"/>
      <c r="M70" s="23"/>
      <c r="N70" s="23"/>
      <c r="O70" s="24"/>
      <c r="P70" s="24"/>
      <c r="Q70" s="25"/>
      <c r="R70" s="24"/>
      <c r="S70" s="24"/>
      <c r="T70" s="24"/>
      <c r="U70" s="24"/>
      <c r="V70" s="60"/>
      <c r="W70" s="61"/>
      <c r="X70" s="61"/>
    </row>
    <row r="71" spans="1:24" hidden="1" x14ac:dyDescent="0.25">
      <c r="A71" s="32" t="s">
        <v>8</v>
      </c>
      <c r="B71" s="32" t="s">
        <v>138</v>
      </c>
      <c r="C71" s="32">
        <v>2022</v>
      </c>
      <c r="D71" s="32" t="s">
        <v>12</v>
      </c>
      <c r="E71" s="33">
        <v>4979729.26771654</v>
      </c>
      <c r="F71" s="34">
        <v>-94628.034330813956</v>
      </c>
      <c r="G71" s="34">
        <v>-16754.373244539227</v>
      </c>
      <c r="H71" s="34">
        <v>-8516.523089773269</v>
      </c>
      <c r="I71" s="34">
        <v>2015.0787369079278</v>
      </c>
      <c r="J71" s="34">
        <v>-71372.21673340947</v>
      </c>
      <c r="K71" s="22" t="s">
        <v>30</v>
      </c>
      <c r="L71" s="22">
        <v>-25270.896334312496</v>
      </c>
      <c r="M71" s="23">
        <v>0.26705507002255752</v>
      </c>
      <c r="N71" s="23">
        <v>-2.1294733121723027E-2</v>
      </c>
      <c r="O71" s="24">
        <v>-94628.034330813956</v>
      </c>
      <c r="P71" s="24">
        <v>0</v>
      </c>
      <c r="Q71" s="25">
        <v>2015.0787369079278</v>
      </c>
      <c r="R71" s="24">
        <v>0</v>
      </c>
      <c r="S71" s="24">
        <v>-25270.896334312496</v>
      </c>
      <c r="T71" s="24">
        <v>0</v>
      </c>
      <c r="U71" s="24">
        <v>-71372.216733409383</v>
      </c>
      <c r="V71" s="60" t="s">
        <v>133</v>
      </c>
      <c r="W71" s="61">
        <v>45145</v>
      </c>
      <c r="X71" s="61">
        <v>45055</v>
      </c>
    </row>
    <row r="72" spans="1:24" hidden="1" x14ac:dyDescent="0.25">
      <c r="A72" s="32"/>
      <c r="B72" s="32"/>
      <c r="C72" s="32"/>
      <c r="D72" s="32"/>
      <c r="E72" s="33"/>
      <c r="F72" s="34"/>
      <c r="G72" s="34"/>
      <c r="H72" s="34"/>
      <c r="I72" s="34"/>
      <c r="J72" s="34"/>
      <c r="K72" s="22"/>
      <c r="L72" s="22"/>
      <c r="M72" s="23"/>
      <c r="N72" s="23"/>
      <c r="O72" s="24"/>
      <c r="P72" s="24"/>
      <c r="Q72" s="25"/>
      <c r="R72" s="24"/>
      <c r="S72" s="24"/>
      <c r="T72" s="24"/>
      <c r="U72" s="24"/>
      <c r="V72" s="60"/>
      <c r="W72" s="61"/>
      <c r="X72" s="61"/>
    </row>
    <row r="73" spans="1:24" hidden="1" x14ac:dyDescent="0.25">
      <c r="A73" s="32" t="s">
        <v>3</v>
      </c>
      <c r="B73" s="32" t="s">
        <v>138</v>
      </c>
      <c r="C73" s="32">
        <v>2022</v>
      </c>
      <c r="D73" s="32" t="s">
        <v>5</v>
      </c>
      <c r="E73" s="33">
        <v>3780000</v>
      </c>
      <c r="F73" s="34">
        <v>-2195.4270000000001</v>
      </c>
      <c r="G73" s="34">
        <v>-33.399450000000002</v>
      </c>
      <c r="H73" s="34">
        <v>-197.58842999999999</v>
      </c>
      <c r="I73" s="34">
        <v>-1.3</v>
      </c>
      <c r="J73" s="34">
        <v>-1963.14</v>
      </c>
      <c r="K73" s="22" t="s">
        <v>27</v>
      </c>
      <c r="L73" s="22">
        <v>-230.98787999999999</v>
      </c>
      <c r="M73" s="23">
        <v>0.10521319087357492</v>
      </c>
      <c r="N73" s="23">
        <v>5.9213993450932321E-4</v>
      </c>
      <c r="O73" s="24">
        <v>-2195.4270000000001</v>
      </c>
      <c r="P73" s="24">
        <v>0</v>
      </c>
      <c r="Q73" s="25">
        <v>0</v>
      </c>
      <c r="R73" s="24">
        <v>0</v>
      </c>
      <c r="S73" s="24">
        <v>-230.98787999999999</v>
      </c>
      <c r="T73" s="24">
        <v>-1.3</v>
      </c>
      <c r="U73" s="24">
        <v>-1963.13912</v>
      </c>
      <c r="V73" s="60" t="s">
        <v>133</v>
      </c>
      <c r="W73" s="61">
        <v>45145</v>
      </c>
      <c r="X73" s="61">
        <v>45055</v>
      </c>
    </row>
    <row r="74" spans="1:24" hidden="1" x14ac:dyDescent="0.25">
      <c r="A74" s="32"/>
      <c r="B74" s="32"/>
      <c r="C74" s="32"/>
      <c r="D74" s="32"/>
      <c r="E74" s="33"/>
      <c r="F74" s="34"/>
      <c r="G74" s="34"/>
      <c r="H74" s="34"/>
      <c r="I74" s="34"/>
      <c r="J74" s="34"/>
      <c r="K74" s="22"/>
      <c r="L74" s="22"/>
      <c r="M74" s="23"/>
      <c r="N74" s="23"/>
      <c r="O74" s="24"/>
      <c r="P74" s="24"/>
      <c r="Q74" s="25"/>
      <c r="R74" s="24"/>
      <c r="S74" s="24"/>
      <c r="T74" s="24"/>
      <c r="U74" s="24"/>
      <c r="V74" s="60"/>
      <c r="W74" s="61"/>
      <c r="X74" s="61"/>
    </row>
    <row r="75" spans="1:24" x14ac:dyDescent="0.25">
      <c r="A75" s="32" t="s">
        <v>0</v>
      </c>
      <c r="B75" s="32" t="s">
        <v>138</v>
      </c>
      <c r="C75" s="32">
        <v>2021</v>
      </c>
      <c r="D75" s="32" t="s">
        <v>2</v>
      </c>
      <c r="E75" s="33">
        <v>3758224.5409456994</v>
      </c>
      <c r="F75" s="34">
        <v>29005.643404415463</v>
      </c>
      <c r="G75" s="34">
        <v>6957.6527820597112</v>
      </c>
      <c r="H75" s="34">
        <v>2610.5079063973917</v>
      </c>
      <c r="I75" s="34">
        <v>290.68102466494685</v>
      </c>
      <c r="J75" s="34">
        <v>19146.807669414207</v>
      </c>
      <c r="K75" s="22" t="s">
        <v>18</v>
      </c>
      <c r="L75" s="22">
        <v>9568.1606884571029</v>
      </c>
      <c r="M75" s="23">
        <v>0.32987238224822701</v>
      </c>
      <c r="N75" s="23">
        <v>1.0021533417207257E-2</v>
      </c>
      <c r="O75" s="24">
        <v>0</v>
      </c>
      <c r="P75" s="24">
        <v>9568.1606884571029</v>
      </c>
      <c r="Q75" s="25">
        <v>290.68102466494685</v>
      </c>
      <c r="R75" s="24">
        <v>29005.643404415463</v>
      </c>
      <c r="S75" s="24">
        <v>0</v>
      </c>
      <c r="T75" s="24">
        <v>0</v>
      </c>
      <c r="U75" s="24">
        <v>19146.801691293411</v>
      </c>
      <c r="V75" s="60" t="s">
        <v>132</v>
      </c>
      <c r="W75" s="61">
        <v>45145</v>
      </c>
      <c r="X75" s="61">
        <v>45055</v>
      </c>
    </row>
    <row r="76" spans="1:24" hidden="1" x14ac:dyDescent="0.25">
      <c r="A76" s="32"/>
      <c r="B76" s="32"/>
      <c r="C76" s="32"/>
      <c r="D76" s="32"/>
      <c r="E76" s="33"/>
      <c r="F76" s="34"/>
      <c r="G76" s="34"/>
      <c r="H76" s="34"/>
      <c r="I76" s="34"/>
      <c r="J76" s="34"/>
      <c r="K76" s="22"/>
      <c r="L76" s="22"/>
      <c r="M76" s="23"/>
      <c r="N76" s="23"/>
      <c r="O76" s="24"/>
      <c r="P76" s="24"/>
      <c r="Q76" s="25"/>
      <c r="R76" s="24"/>
      <c r="S76" s="24"/>
      <c r="T76" s="24"/>
      <c r="U76" s="24"/>
      <c r="V76" s="60"/>
      <c r="W76" s="61"/>
      <c r="X76" s="61"/>
    </row>
    <row r="77" spans="1:24" hidden="1" x14ac:dyDescent="0.25">
      <c r="A77" s="32" t="s">
        <v>8</v>
      </c>
      <c r="B77" s="32" t="s">
        <v>138</v>
      </c>
      <c r="C77" s="32">
        <v>2021</v>
      </c>
      <c r="D77" s="32" t="s">
        <v>12</v>
      </c>
      <c r="E77" s="33">
        <v>4545384.7453202493</v>
      </c>
      <c r="F77" s="34">
        <v>12284.429007646324</v>
      </c>
      <c r="G77" s="34">
        <v>2270.0339963606366</v>
      </c>
      <c r="H77" s="34">
        <v>1105.5986106881692</v>
      </c>
      <c r="I77" s="34">
        <v>287.7141078167823</v>
      </c>
      <c r="J77" s="34">
        <v>8621.0822927807367</v>
      </c>
      <c r="K77" s="22" t="s">
        <v>22</v>
      </c>
      <c r="L77" s="22">
        <v>3375.6326070488058</v>
      </c>
      <c r="M77" s="23">
        <v>0.2747895408852683</v>
      </c>
      <c r="N77" s="23">
        <v>2.3421040378653127E-2</v>
      </c>
      <c r="O77" s="24">
        <v>0</v>
      </c>
      <c r="P77" s="24">
        <v>3375.6326070488058</v>
      </c>
      <c r="Q77" s="25">
        <v>287.7141078167823</v>
      </c>
      <c r="R77" s="24">
        <v>12284.429007646324</v>
      </c>
      <c r="S77" s="24">
        <v>0</v>
      </c>
      <c r="T77" s="24">
        <v>0</v>
      </c>
      <c r="U77" s="24">
        <v>8621.0822927807349</v>
      </c>
      <c r="V77" s="60" t="s">
        <v>132</v>
      </c>
      <c r="W77" s="61">
        <v>45145</v>
      </c>
      <c r="X77" s="61">
        <v>45055</v>
      </c>
    </row>
    <row r="78" spans="1:24" hidden="1" x14ac:dyDescent="0.25">
      <c r="A78" s="32"/>
      <c r="B78" s="32"/>
      <c r="C78" s="32"/>
      <c r="D78" s="32"/>
      <c r="E78" s="33"/>
      <c r="F78" s="34"/>
      <c r="G78" s="34"/>
      <c r="H78" s="34"/>
      <c r="I78" s="34"/>
      <c r="J78" s="34"/>
      <c r="K78" s="22"/>
      <c r="L78" s="22"/>
      <c r="M78" s="23"/>
      <c r="N78" s="23"/>
      <c r="O78" s="24"/>
      <c r="P78" s="24"/>
      <c r="Q78" s="25"/>
      <c r="R78" s="24"/>
      <c r="S78" s="24"/>
      <c r="T78" s="24"/>
      <c r="U78" s="24"/>
      <c r="V78" s="60"/>
      <c r="W78" s="61"/>
      <c r="X78" s="61"/>
    </row>
    <row r="79" spans="1:24" hidden="1" x14ac:dyDescent="0.25">
      <c r="A79" s="32" t="s">
        <v>3</v>
      </c>
      <c r="B79" s="32" t="s">
        <v>138</v>
      </c>
      <c r="C79" s="32">
        <v>2021</v>
      </c>
      <c r="D79" s="32" t="s">
        <v>5</v>
      </c>
      <c r="E79" s="33">
        <v>3000000</v>
      </c>
      <c r="F79" s="34">
        <v>-1172.3629999999998</v>
      </c>
      <c r="G79" s="34">
        <v>-410.32704999999993</v>
      </c>
      <c r="H79" s="34">
        <v>-105.51266999999999</v>
      </c>
      <c r="I79" s="34">
        <v>-16</v>
      </c>
      <c r="J79" s="34">
        <v>-640.52052504999995</v>
      </c>
      <c r="K79" s="22" t="s">
        <v>19</v>
      </c>
      <c r="L79" s="22">
        <v>-515.83971999999994</v>
      </c>
      <c r="M79" s="23">
        <v>0.44</v>
      </c>
      <c r="N79" s="23">
        <v>1.3647650087899399E-2</v>
      </c>
      <c r="O79" s="24">
        <v>-1172.3629999999998</v>
      </c>
      <c r="P79" s="24">
        <v>0</v>
      </c>
      <c r="Q79" s="25">
        <v>0</v>
      </c>
      <c r="R79" s="24">
        <v>0</v>
      </c>
      <c r="S79" s="24">
        <v>-515.83971999999994</v>
      </c>
      <c r="T79" s="24">
        <v>-16</v>
      </c>
      <c r="U79" s="24">
        <v>-640.52327999999989</v>
      </c>
      <c r="V79" s="60" t="s">
        <v>132</v>
      </c>
      <c r="W79" s="61">
        <v>45145</v>
      </c>
      <c r="X79" s="61">
        <v>45055</v>
      </c>
    </row>
    <row r="80" spans="1:24" hidden="1" x14ac:dyDescent="0.25">
      <c r="A80" s="32"/>
      <c r="B80" s="32"/>
      <c r="C80" s="32"/>
      <c r="D80" s="32"/>
      <c r="E80" s="33"/>
      <c r="F80" s="34"/>
      <c r="G80" s="34"/>
      <c r="H80" s="34"/>
      <c r="I80" s="34"/>
      <c r="J80" s="34"/>
      <c r="K80" s="22"/>
      <c r="L80" s="22"/>
      <c r="M80" s="23"/>
      <c r="N80" s="23"/>
      <c r="O80" s="24"/>
      <c r="P80" s="24"/>
      <c r="Q80" s="25"/>
      <c r="R80" s="24"/>
      <c r="S80" s="24"/>
      <c r="T80" s="24"/>
      <c r="U80" s="24"/>
      <c r="V80" s="60"/>
      <c r="W80" s="61"/>
      <c r="X80" s="61"/>
    </row>
    <row r="81" spans="1:24" x14ac:dyDescent="0.25">
      <c r="A81" s="32" t="s">
        <v>0</v>
      </c>
      <c r="B81" s="32" t="s">
        <v>138</v>
      </c>
      <c r="C81" s="32">
        <v>2020</v>
      </c>
      <c r="D81" s="32" t="s">
        <v>2</v>
      </c>
      <c r="E81" s="33">
        <v>200000</v>
      </c>
      <c r="F81" s="34">
        <v>-34.298000000000002</v>
      </c>
      <c r="G81" s="34">
        <v>-5.1447000000000003</v>
      </c>
      <c r="H81" s="34">
        <v>-3.4298000000000002</v>
      </c>
      <c r="I81" s="34">
        <v>-0.61221930000000002</v>
      </c>
      <c r="J81" s="34">
        <v>-25.111280700000002</v>
      </c>
      <c r="K81" s="22" t="s">
        <v>13</v>
      </c>
      <c r="L81" s="22">
        <v>-8.5745000000000005</v>
      </c>
      <c r="M81" s="23">
        <v>0.25</v>
      </c>
      <c r="N81" s="23">
        <v>1.7850000000000001E-2</v>
      </c>
      <c r="O81" s="24">
        <v>-34.298000000000002</v>
      </c>
      <c r="P81" s="24">
        <v>0</v>
      </c>
      <c r="Q81" s="25">
        <v>0</v>
      </c>
      <c r="R81" s="24">
        <v>0</v>
      </c>
      <c r="S81" s="24">
        <v>-8.5745000000000005</v>
      </c>
      <c r="T81" s="24">
        <v>-0.61221930000000002</v>
      </c>
      <c r="U81" s="24">
        <v>-25.111280700000002</v>
      </c>
      <c r="V81" s="60" t="s">
        <v>131</v>
      </c>
      <c r="W81" s="61">
        <v>45145</v>
      </c>
      <c r="X81" s="61">
        <v>45055</v>
      </c>
    </row>
    <row r="82" spans="1:24" hidden="1" x14ac:dyDescent="0.25">
      <c r="A82" s="32"/>
      <c r="B82" s="32"/>
      <c r="C82" s="32"/>
      <c r="D82" s="32"/>
      <c r="E82" s="33"/>
      <c r="F82" s="34"/>
      <c r="G82" s="34"/>
      <c r="H82" s="34"/>
      <c r="I82" s="34"/>
      <c r="J82" s="34"/>
      <c r="K82" s="22"/>
      <c r="L82" s="22"/>
      <c r="M82" s="23"/>
      <c r="N82" s="23"/>
      <c r="O82" s="24"/>
      <c r="P82" s="24"/>
      <c r="Q82" s="25"/>
      <c r="R82" s="24"/>
      <c r="S82" s="24"/>
      <c r="T82" s="24"/>
      <c r="U82" s="24"/>
      <c r="V82" s="60"/>
      <c r="W82" s="61"/>
      <c r="X82" s="61"/>
    </row>
    <row r="83" spans="1:24" hidden="1" x14ac:dyDescent="0.25">
      <c r="A83" s="32" t="s">
        <v>8</v>
      </c>
      <c r="B83" s="32" t="s">
        <v>138</v>
      </c>
      <c r="C83" s="32">
        <v>2020</v>
      </c>
      <c r="D83" s="32" t="s">
        <v>10</v>
      </c>
      <c r="E83" s="33">
        <v>4800000</v>
      </c>
      <c r="F83" s="34">
        <v>0</v>
      </c>
      <c r="G83" s="34">
        <v>5249.2140320000008</v>
      </c>
      <c r="H83" s="34">
        <v>0</v>
      </c>
      <c r="I83" s="34">
        <v>918.61</v>
      </c>
      <c r="J83" s="34">
        <v>-6167.8240320000004</v>
      </c>
      <c r="K83" s="22" t="s">
        <v>16</v>
      </c>
      <c r="L83" s="22">
        <v>5249.2140320000008</v>
      </c>
      <c r="M83" s="23">
        <v>0</v>
      </c>
      <c r="N83" s="23">
        <v>0</v>
      </c>
      <c r="O83" s="24">
        <v>0</v>
      </c>
      <c r="P83" s="24">
        <v>5249.2140320000008</v>
      </c>
      <c r="Q83" s="25">
        <v>918.61</v>
      </c>
      <c r="R83" s="24">
        <v>0</v>
      </c>
      <c r="S83" s="24">
        <v>0</v>
      </c>
      <c r="T83" s="24">
        <v>0</v>
      </c>
      <c r="U83" s="24">
        <v>-6167.8240320000004</v>
      </c>
      <c r="V83" s="60" t="s">
        <v>131</v>
      </c>
      <c r="W83" s="61">
        <v>45145</v>
      </c>
      <c r="X83" s="61">
        <v>45055</v>
      </c>
    </row>
    <row r="84" spans="1:24" hidden="1" x14ac:dyDescent="0.25">
      <c r="A84" s="32"/>
      <c r="B84" s="32"/>
      <c r="C84" s="32"/>
      <c r="D84" s="32"/>
      <c r="E84" s="33"/>
      <c r="F84" s="34"/>
      <c r="G84" s="34"/>
      <c r="H84" s="34"/>
      <c r="I84" s="34"/>
      <c r="J84" s="34"/>
      <c r="K84" s="22"/>
      <c r="L84" s="22"/>
      <c r="M84" s="23"/>
      <c r="N84" s="23"/>
      <c r="O84" s="24"/>
      <c r="P84" s="24"/>
      <c r="Q84" s="25"/>
      <c r="R84" s="24"/>
      <c r="S84" s="24"/>
      <c r="T84" s="24"/>
      <c r="U84" s="24"/>
      <c r="V84" s="60"/>
      <c r="W84" s="61"/>
      <c r="X84" s="61"/>
    </row>
    <row r="85" spans="1:24" hidden="1" x14ac:dyDescent="0.25">
      <c r="A85" s="32" t="s">
        <v>8</v>
      </c>
      <c r="B85" s="32" t="s">
        <v>138</v>
      </c>
      <c r="C85" s="32">
        <v>2020</v>
      </c>
      <c r="D85" s="32" t="s">
        <v>12</v>
      </c>
      <c r="E85" s="33">
        <v>4999814.9468647027</v>
      </c>
      <c r="F85" s="34">
        <v>285.6115623030833</v>
      </c>
      <c r="G85" s="34">
        <v>148.63377232037107</v>
      </c>
      <c r="H85" s="34">
        <v>28.561156230308335</v>
      </c>
      <c r="I85" s="34">
        <v>11.00158154742865</v>
      </c>
      <c r="J85" s="34">
        <v>97.415052204976149</v>
      </c>
      <c r="K85" s="22" t="s">
        <v>17</v>
      </c>
      <c r="L85" s="22">
        <v>177.19492855067941</v>
      </c>
      <c r="M85" s="23">
        <v>0.62040530544994155</v>
      </c>
      <c r="N85" s="23">
        <v>3.8519384364958123E-2</v>
      </c>
      <c r="O85" s="24">
        <v>0</v>
      </c>
      <c r="P85" s="24">
        <v>177.19492855067941</v>
      </c>
      <c r="Q85" s="25">
        <v>11.00158154742865</v>
      </c>
      <c r="R85" s="24">
        <v>285.6115623030833</v>
      </c>
      <c r="S85" s="24">
        <v>0</v>
      </c>
      <c r="T85" s="24">
        <v>0</v>
      </c>
      <c r="U85" s="24">
        <v>97.41505220497524</v>
      </c>
      <c r="V85" s="60" t="s">
        <v>131</v>
      </c>
      <c r="W85" s="61">
        <v>45145</v>
      </c>
      <c r="X85" s="61">
        <v>45055</v>
      </c>
    </row>
    <row r="86" spans="1:24" hidden="1" x14ac:dyDescent="0.25">
      <c r="A86" s="32"/>
      <c r="B86" s="32"/>
      <c r="C86" s="32"/>
      <c r="D86" s="32"/>
      <c r="E86" s="33"/>
      <c r="F86" s="34"/>
      <c r="G86" s="34"/>
      <c r="H86" s="34"/>
      <c r="I86" s="34"/>
      <c r="J86" s="34"/>
      <c r="K86" s="22"/>
      <c r="L86" s="22"/>
      <c r="M86" s="23"/>
      <c r="N86" s="23"/>
      <c r="O86" s="24"/>
      <c r="P86" s="24"/>
      <c r="Q86" s="25"/>
      <c r="R86" s="24"/>
      <c r="S86" s="24"/>
      <c r="T86" s="24"/>
      <c r="U86" s="24"/>
      <c r="V86" s="60"/>
      <c r="W86" s="61"/>
      <c r="X86" s="61"/>
    </row>
    <row r="87" spans="1:24" x14ac:dyDescent="0.25">
      <c r="A87" s="32" t="s">
        <v>0</v>
      </c>
      <c r="B87" s="32" t="s">
        <v>138</v>
      </c>
      <c r="C87" s="32">
        <v>2019</v>
      </c>
      <c r="D87" s="32" t="s">
        <v>2</v>
      </c>
      <c r="E87" s="33">
        <v>1841887.6355294117</v>
      </c>
      <c r="F87" s="34">
        <v>-27.935294117647057</v>
      </c>
      <c r="G87" s="34">
        <v>-1.4976949235294117</v>
      </c>
      <c r="H87" s="34">
        <v>-3.4919117647058822</v>
      </c>
      <c r="I87" s="34">
        <v>0</v>
      </c>
      <c r="J87" s="34">
        <v>-22.945687429411763</v>
      </c>
      <c r="K87" s="22" t="s">
        <v>1</v>
      </c>
      <c r="L87" s="22">
        <v>-4.9896066882352939</v>
      </c>
      <c r="M87" s="23">
        <v>0.17861299999999999</v>
      </c>
      <c r="N87" s="23">
        <v>0</v>
      </c>
      <c r="O87" s="24">
        <v>-27.935294117647057</v>
      </c>
      <c r="P87" s="24">
        <v>0</v>
      </c>
      <c r="Q87" s="25">
        <v>0</v>
      </c>
      <c r="R87" s="24">
        <v>0</v>
      </c>
      <c r="S87" s="24">
        <v>-4.9896066882352939</v>
      </c>
      <c r="T87" s="24">
        <v>0</v>
      </c>
      <c r="U87" s="24">
        <v>-22.945687429411763</v>
      </c>
      <c r="V87" s="60" t="s">
        <v>130</v>
      </c>
      <c r="W87" s="61">
        <v>45145</v>
      </c>
      <c r="X87" s="61">
        <v>45055</v>
      </c>
    </row>
    <row r="88" spans="1:24" hidden="1" x14ac:dyDescent="0.25">
      <c r="A88" s="32"/>
      <c r="B88" s="32"/>
      <c r="C88" s="32"/>
      <c r="D88" s="32"/>
      <c r="E88" s="33"/>
      <c r="F88" s="34"/>
      <c r="G88" s="34"/>
      <c r="H88" s="34"/>
      <c r="I88" s="34"/>
      <c r="J88" s="34"/>
      <c r="K88" s="22"/>
      <c r="L88" s="22"/>
      <c r="M88" s="23"/>
      <c r="N88" s="23"/>
      <c r="O88" s="24"/>
      <c r="P88" s="24"/>
      <c r="Q88" s="25"/>
      <c r="R88" s="24"/>
      <c r="S88" s="24"/>
      <c r="T88" s="24"/>
      <c r="U88" s="24"/>
      <c r="V88" s="60"/>
      <c r="W88" s="61"/>
      <c r="X88" s="61"/>
    </row>
    <row r="89" spans="1:24" hidden="1" x14ac:dyDescent="0.25">
      <c r="A89" s="32" t="s">
        <v>8</v>
      </c>
      <c r="B89" s="32" t="s">
        <v>138</v>
      </c>
      <c r="C89" s="32">
        <v>2019</v>
      </c>
      <c r="D89" s="32" t="s">
        <v>12</v>
      </c>
      <c r="E89" s="33">
        <v>589285.95000000007</v>
      </c>
      <c r="F89" s="34">
        <v>-376.49699999999996</v>
      </c>
      <c r="G89" s="34">
        <v>-86.594309999999993</v>
      </c>
      <c r="H89" s="34">
        <v>-47.062124999999995</v>
      </c>
      <c r="I89" s="34">
        <v>-7.5299399999999999</v>
      </c>
      <c r="J89" s="34">
        <v>-235.31062500000002</v>
      </c>
      <c r="K89" s="22" t="s">
        <v>11</v>
      </c>
      <c r="L89" s="22">
        <v>-133.65643499999999</v>
      </c>
      <c r="M89" s="23">
        <v>0.35499999999999998</v>
      </c>
      <c r="N89" s="23">
        <v>0.02</v>
      </c>
      <c r="O89" s="24">
        <v>-376.49699999999996</v>
      </c>
      <c r="P89" s="24">
        <v>0</v>
      </c>
      <c r="Q89" s="25">
        <v>0</v>
      </c>
      <c r="R89" s="24">
        <v>0</v>
      </c>
      <c r="S89" s="24">
        <v>-133.65643499999999</v>
      </c>
      <c r="T89" s="24">
        <v>-7.5299399999999999</v>
      </c>
      <c r="U89" s="24">
        <v>-235.31062499999996</v>
      </c>
      <c r="V89" s="60" t="s">
        <v>130</v>
      </c>
      <c r="W89" s="61">
        <v>45145</v>
      </c>
      <c r="X89" s="61">
        <v>45055</v>
      </c>
    </row>
    <row r="90" spans="1:24" hidden="1" x14ac:dyDescent="0.25">
      <c r="A90" s="32"/>
      <c r="B90" s="32"/>
      <c r="C90" s="32"/>
      <c r="D90" s="32"/>
      <c r="E90" s="33"/>
      <c r="F90" s="34"/>
      <c r="G90" s="34"/>
      <c r="H90" s="34"/>
      <c r="I90" s="34"/>
      <c r="J90" s="34"/>
      <c r="K90" s="22"/>
      <c r="L90" s="22"/>
      <c r="M90" s="23"/>
      <c r="N90" s="23"/>
      <c r="O90" s="24"/>
      <c r="P90" s="24"/>
      <c r="Q90" s="25"/>
      <c r="R90" s="24"/>
      <c r="S90" s="24"/>
      <c r="T90" s="24"/>
      <c r="U90" s="24"/>
      <c r="V90" s="60"/>
      <c r="W90" s="61"/>
      <c r="X90" s="61"/>
    </row>
    <row r="91" spans="1:24" hidden="1" x14ac:dyDescent="0.25">
      <c r="A91" s="32" t="s">
        <v>3</v>
      </c>
      <c r="B91" s="32" t="s">
        <v>138</v>
      </c>
      <c r="C91" s="32">
        <v>2019</v>
      </c>
      <c r="D91" s="32" t="s">
        <v>5</v>
      </c>
      <c r="E91" s="33">
        <v>1642857.1428571427</v>
      </c>
      <c r="F91" s="34">
        <v>-457.56970000000001</v>
      </c>
      <c r="G91" s="34">
        <v>-81.298538000000008</v>
      </c>
      <c r="H91" s="34">
        <v>-57.196212500000001</v>
      </c>
      <c r="I91" s="34">
        <v>-13.010409500000002</v>
      </c>
      <c r="J91" s="34">
        <v>-306.06453999999997</v>
      </c>
      <c r="K91" s="22" t="s">
        <v>4</v>
      </c>
      <c r="L91" s="22">
        <v>-138.49475050000001</v>
      </c>
      <c r="M91" s="23">
        <v>0.30267465371942243</v>
      </c>
      <c r="N91" s="23">
        <v>2.8433721682183066E-2</v>
      </c>
      <c r="O91" s="24">
        <v>-457.56970000000001</v>
      </c>
      <c r="P91" s="24">
        <v>0</v>
      </c>
      <c r="Q91" s="25">
        <v>0</v>
      </c>
      <c r="R91" s="24">
        <v>0</v>
      </c>
      <c r="S91" s="24">
        <v>-138.49475050000001</v>
      </c>
      <c r="T91" s="24">
        <v>-13.010409500000002</v>
      </c>
      <c r="U91" s="24">
        <v>-306.06453999999997</v>
      </c>
      <c r="V91" s="60" t="s">
        <v>130</v>
      </c>
      <c r="W91" s="61">
        <v>45145</v>
      </c>
      <c r="X91" s="61">
        <v>45055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22E6-30ED-4553-853B-E40584AE3F40}">
  <sheetPr codeName="Sheet4"/>
  <dimension ref="A1:X1"/>
  <sheetViews>
    <sheetView topLeftCell="M1" workbookViewId="0">
      <selection activeCell="Q22" sqref="Q22"/>
    </sheetView>
  </sheetViews>
  <sheetFormatPr defaultColWidth="22.42578125" defaultRowHeight="15" x14ac:dyDescent="0.25"/>
  <cols>
    <col min="24" max="24" width="11.85546875" bestFit="1" customWidth="1"/>
  </cols>
  <sheetData>
    <row r="1" spans="1:24" s="31" customFormat="1" x14ac:dyDescent="0.25">
      <c r="A1" s="3" t="s">
        <v>63</v>
      </c>
      <c r="B1" s="3" t="s">
        <v>64</v>
      </c>
      <c r="C1" s="3" t="s">
        <v>65</v>
      </c>
      <c r="D1" s="3" t="s">
        <v>66</v>
      </c>
      <c r="E1" s="3" t="s">
        <v>67</v>
      </c>
      <c r="F1" s="3" t="s">
        <v>68</v>
      </c>
      <c r="G1" s="3" t="s">
        <v>69</v>
      </c>
      <c r="H1" s="3" t="s">
        <v>70</v>
      </c>
      <c r="I1" s="3" t="s">
        <v>72</v>
      </c>
      <c r="J1" s="3" t="s">
        <v>71</v>
      </c>
      <c r="K1" s="3" t="s">
        <v>76</v>
      </c>
      <c r="L1" s="3" t="s">
        <v>73</v>
      </c>
      <c r="M1" s="3" t="s">
        <v>74</v>
      </c>
      <c r="N1" s="3" t="s">
        <v>75</v>
      </c>
      <c r="O1" s="3" t="s">
        <v>77</v>
      </c>
      <c r="P1" s="3" t="s">
        <v>78</v>
      </c>
      <c r="Q1" s="3" t="s">
        <v>79</v>
      </c>
      <c r="R1" s="3" t="s">
        <v>80</v>
      </c>
      <c r="S1" s="3" t="s">
        <v>81</v>
      </c>
      <c r="T1" s="3" t="s">
        <v>82</v>
      </c>
      <c r="U1" s="3" t="s">
        <v>84</v>
      </c>
      <c r="V1" s="3" t="s">
        <v>62</v>
      </c>
      <c r="W1" s="3" t="s">
        <v>83</v>
      </c>
      <c r="X1" s="3" t="s">
        <v>85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0C45D-3535-4233-93B9-BC1B896D7008}">
  <sheetPr codeName="Sheet5"/>
  <dimension ref="A1:N31"/>
  <sheetViews>
    <sheetView topLeftCell="A2" workbookViewId="0">
      <selection activeCell="D6" sqref="D6:D7"/>
    </sheetView>
  </sheetViews>
  <sheetFormatPr defaultRowHeight="15" x14ac:dyDescent="0.25"/>
  <cols>
    <col min="1" max="1" width="26.140625" style="101" customWidth="1"/>
    <col min="2" max="2" width="17.42578125" style="101" customWidth="1"/>
    <col min="3" max="3" width="30.42578125" style="101" customWidth="1"/>
    <col min="4" max="4" width="23.5703125" style="101" customWidth="1"/>
    <col min="5" max="5" width="14.28515625" style="101" bestFit="1" customWidth="1"/>
    <col min="6" max="6" width="5.5703125" style="49" bestFit="1" customWidth="1"/>
    <col min="7" max="16384" width="9.140625" style="49"/>
  </cols>
  <sheetData>
    <row r="1" spans="1:14" ht="45" x14ac:dyDescent="0.25">
      <c r="A1" s="68" t="s">
        <v>87</v>
      </c>
      <c r="B1" s="69" t="s">
        <v>88</v>
      </c>
      <c r="C1" s="69" t="s">
        <v>89</v>
      </c>
      <c r="D1" s="70" t="s">
        <v>88</v>
      </c>
      <c r="E1" s="71" t="s">
        <v>151</v>
      </c>
      <c r="F1" s="48"/>
    </row>
    <row r="2" spans="1:14" ht="36.75" customHeight="1" x14ac:dyDescent="0.25">
      <c r="A2" s="72" t="s">
        <v>90</v>
      </c>
      <c r="B2" s="63" t="s">
        <v>91</v>
      </c>
      <c r="C2" s="63" t="s">
        <v>92</v>
      </c>
      <c r="D2" s="73" t="s">
        <v>93</v>
      </c>
      <c r="E2" s="67"/>
      <c r="F2" s="48"/>
    </row>
    <row r="3" spans="1:14" x14ac:dyDescent="0.25">
      <c r="A3" s="72" t="s">
        <v>62</v>
      </c>
      <c r="B3" s="74">
        <f>+'SEND MAIL'!D52</f>
        <v>44926</v>
      </c>
      <c r="C3" s="63" t="s">
        <v>94</v>
      </c>
      <c r="D3" s="73" t="s">
        <v>95</v>
      </c>
      <c r="E3" s="31"/>
      <c r="F3" s="48"/>
    </row>
    <row r="4" spans="1:14" x14ac:dyDescent="0.25">
      <c r="A4" s="72" t="s">
        <v>96</v>
      </c>
      <c r="B4" s="63">
        <f>+'SEND MAIL'!D53</f>
        <v>90</v>
      </c>
      <c r="C4" s="63" t="s">
        <v>97</v>
      </c>
      <c r="D4" s="65">
        <f>+'SEND MAIL'!F53</f>
        <v>256.05</v>
      </c>
      <c r="E4" s="31"/>
      <c r="F4" s="48"/>
    </row>
    <row r="5" spans="1:14" ht="30" x14ac:dyDescent="0.25">
      <c r="A5" s="72" t="s">
        <v>98</v>
      </c>
      <c r="B5" s="75">
        <f>+'SEND MAIL'!D54</f>
        <v>0.28002343292325715</v>
      </c>
      <c r="C5" s="63" t="s">
        <v>99</v>
      </c>
      <c r="D5" s="81" t="str">
        <f>+'SEND MAIL'!F54</f>
        <v>12/31/2022</v>
      </c>
      <c r="E5" s="31"/>
      <c r="F5" s="48"/>
    </row>
    <row r="6" spans="1:14" x14ac:dyDescent="0.25">
      <c r="A6" s="72" t="s">
        <v>100</v>
      </c>
      <c r="B6" s="76">
        <f>+'SEND MAIL'!D55</f>
        <v>1546714.06</v>
      </c>
      <c r="C6" s="124" t="s">
        <v>101</v>
      </c>
      <c r="D6" s="126" t="s">
        <v>102</v>
      </c>
      <c r="E6" s="31"/>
      <c r="F6" s="48"/>
    </row>
    <row r="7" spans="1:14" ht="15.75" thickBot="1" x14ac:dyDescent="0.3">
      <c r="A7" s="77" t="s">
        <v>103</v>
      </c>
      <c r="B7" s="78">
        <f>+'SEND MAIL'!D56</f>
        <v>2.56</v>
      </c>
      <c r="C7" s="125"/>
      <c r="D7" s="127"/>
      <c r="E7" s="31"/>
      <c r="F7" s="48"/>
    </row>
    <row r="8" spans="1:14" ht="15.75" thickBot="1" x14ac:dyDescent="0.3">
      <c r="A8" s="31"/>
      <c r="B8" s="31"/>
      <c r="C8" s="31"/>
      <c r="D8" s="31"/>
      <c r="E8" s="31"/>
      <c r="F8" s="48"/>
    </row>
    <row r="9" spans="1:14" x14ac:dyDescent="0.25">
      <c r="A9" s="68" t="s">
        <v>104</v>
      </c>
      <c r="B9" s="79">
        <v>2</v>
      </c>
      <c r="C9" s="31"/>
      <c r="D9" s="31"/>
      <c r="E9" s="31"/>
      <c r="F9" s="48"/>
    </row>
    <row r="10" spans="1:14" x14ac:dyDescent="0.25">
      <c r="A10" s="80" t="s">
        <v>105</v>
      </c>
      <c r="B10" s="73">
        <v>1</v>
      </c>
      <c r="C10" s="31"/>
      <c r="D10" s="31"/>
      <c r="E10" s="31"/>
      <c r="F10" s="48"/>
    </row>
    <row r="11" spans="1:14" x14ac:dyDescent="0.25">
      <c r="A11" s="80" t="s">
        <v>106</v>
      </c>
      <c r="B11" s="81">
        <f>+'SEND MAIL'!D60</f>
        <v>44926</v>
      </c>
      <c r="C11" s="31"/>
      <c r="D11" s="31"/>
      <c r="E11" s="31"/>
      <c r="F11" s="48"/>
    </row>
    <row r="12" spans="1:14" x14ac:dyDescent="0.25">
      <c r="A12" s="80" t="s">
        <v>107</v>
      </c>
      <c r="B12" s="73" t="s">
        <v>108</v>
      </c>
      <c r="C12" s="31"/>
      <c r="D12" s="31"/>
      <c r="E12" s="31"/>
      <c r="F12" s="48"/>
    </row>
    <row r="13" spans="1:14" x14ac:dyDescent="0.25">
      <c r="A13" s="82"/>
      <c r="B13" s="83"/>
      <c r="C13" s="31"/>
      <c r="D13" s="31"/>
      <c r="E13" s="31"/>
      <c r="F13" s="48"/>
    </row>
    <row r="14" spans="1:14" x14ac:dyDescent="0.25">
      <c r="A14" s="80" t="s">
        <v>56</v>
      </c>
      <c r="B14" s="73" t="str">
        <f>+'SEND MAIL'!D63</f>
        <v>Section D</v>
      </c>
      <c r="C14" s="31"/>
      <c r="D14" s="31"/>
      <c r="E14" s="31"/>
      <c r="F14" s="48"/>
    </row>
    <row r="15" spans="1:14" x14ac:dyDescent="0.25">
      <c r="A15" s="84" t="s">
        <v>109</v>
      </c>
      <c r="B15" s="64">
        <f>+'SEND MAIL'!D64</f>
        <v>1546714.06</v>
      </c>
      <c r="C15" s="31"/>
      <c r="D15" s="31"/>
      <c r="E15" s="31"/>
      <c r="F15" s="48"/>
    </row>
    <row r="16" spans="1:14" ht="45" customHeight="1" x14ac:dyDescent="0.25">
      <c r="A16" s="84" t="s">
        <v>110</v>
      </c>
      <c r="B16" s="65">
        <f>+'SEND MAIL'!D65</f>
        <v>256.05</v>
      </c>
      <c r="C16" s="31"/>
      <c r="D16" s="31"/>
      <c r="E16" s="31"/>
      <c r="F16" s="48"/>
      <c r="N16"/>
    </row>
    <row r="17" spans="1:6" x14ac:dyDescent="0.25">
      <c r="A17" s="84" t="s">
        <v>111</v>
      </c>
      <c r="B17" s="85">
        <f>+'SEND MAIL'!D66</f>
        <v>0.28002343292325715</v>
      </c>
      <c r="C17" s="31"/>
      <c r="D17" s="31"/>
      <c r="E17" s="31"/>
      <c r="F17" s="48"/>
    </row>
    <row r="18" spans="1:6" x14ac:dyDescent="0.25">
      <c r="A18" s="84" t="s">
        <v>112</v>
      </c>
      <c r="B18" s="86">
        <f>+'SEND MAIL'!D67</f>
        <v>9.9980472563952344E-3</v>
      </c>
      <c r="C18" s="31"/>
      <c r="D18" s="31"/>
      <c r="E18" s="31"/>
      <c r="F18" s="48"/>
    </row>
    <row r="19" spans="1:6" ht="15.75" thickBot="1" x14ac:dyDescent="0.3">
      <c r="A19" s="87" t="s">
        <v>113</v>
      </c>
      <c r="B19" s="88">
        <f ca="1">+'SEND MAIL'!D68</f>
        <v>45372.293330555556</v>
      </c>
      <c r="C19" s="31"/>
      <c r="D19" s="31"/>
      <c r="E19" s="31"/>
      <c r="F19" s="48"/>
    </row>
    <row r="20" spans="1:6" ht="15.75" thickBot="1" x14ac:dyDescent="0.3">
      <c r="A20" s="31"/>
      <c r="B20" s="31"/>
      <c r="C20" s="31"/>
      <c r="D20" s="31"/>
      <c r="E20" s="31"/>
      <c r="F20" s="48"/>
    </row>
    <row r="21" spans="1:6" ht="30" customHeight="1" x14ac:dyDescent="0.25">
      <c r="A21" s="89" t="s">
        <v>114</v>
      </c>
      <c r="B21" s="128" t="str">
        <f>+'SEND MAIL'!D70</f>
        <v>MRLN19AONBCON-4</v>
      </c>
      <c r="C21" s="129"/>
      <c r="D21" s="129"/>
      <c r="E21" s="129"/>
      <c r="F21" s="130"/>
    </row>
    <row r="22" spans="1:6" x14ac:dyDescent="0.25">
      <c r="A22" s="90"/>
      <c r="B22" s="91"/>
      <c r="C22" s="91"/>
      <c r="D22" s="91"/>
      <c r="E22" s="91"/>
      <c r="F22" s="50"/>
    </row>
    <row r="23" spans="1:6" x14ac:dyDescent="0.25">
      <c r="A23" s="92" t="s">
        <v>115</v>
      </c>
      <c r="B23" s="120" t="str">
        <f>+'SEND MAIL'!D72</f>
        <v>Section D</v>
      </c>
      <c r="C23" s="120"/>
      <c r="D23" s="120"/>
      <c r="E23" s="120"/>
      <c r="F23" s="121"/>
    </row>
    <row r="24" spans="1:6" x14ac:dyDescent="0.25">
      <c r="A24" s="92" t="s">
        <v>116</v>
      </c>
      <c r="B24" s="93">
        <v>1</v>
      </c>
      <c r="C24" s="94" t="s">
        <v>117</v>
      </c>
      <c r="D24" s="93">
        <v>1</v>
      </c>
      <c r="E24" s="94" t="s">
        <v>118</v>
      </c>
      <c r="F24" s="51">
        <v>1</v>
      </c>
    </row>
    <row r="25" spans="1:6" x14ac:dyDescent="0.25">
      <c r="A25" s="92" t="s">
        <v>119</v>
      </c>
      <c r="B25" s="93">
        <v>1</v>
      </c>
      <c r="C25" s="124"/>
      <c r="D25" s="124"/>
      <c r="E25" s="94" t="s">
        <v>120</v>
      </c>
      <c r="F25" s="50">
        <v>2</v>
      </c>
    </row>
    <row r="26" spans="1:6" x14ac:dyDescent="0.25">
      <c r="A26" s="90"/>
      <c r="B26" s="91"/>
      <c r="C26" s="91"/>
      <c r="D26" s="91"/>
      <c r="E26" s="91"/>
      <c r="F26" s="50"/>
    </row>
    <row r="27" spans="1:6" x14ac:dyDescent="0.25">
      <c r="A27" s="92" t="s">
        <v>121</v>
      </c>
      <c r="B27" s="95" t="s">
        <v>122</v>
      </c>
      <c r="C27" s="95" t="s">
        <v>123</v>
      </c>
      <c r="D27" s="95" t="s">
        <v>124</v>
      </c>
      <c r="E27" s="120"/>
      <c r="F27" s="121"/>
    </row>
    <row r="28" spans="1:6" x14ac:dyDescent="0.25">
      <c r="A28" s="92" t="s">
        <v>125</v>
      </c>
      <c r="B28" s="96">
        <f>+'SEND MAIL'!D77</f>
        <v>0</v>
      </c>
      <c r="C28" s="96">
        <f>+'SEND MAIL'!E77</f>
        <v>256.05</v>
      </c>
      <c r="D28" s="76"/>
      <c r="E28" s="120"/>
      <c r="F28" s="121"/>
    </row>
    <row r="29" spans="1:6" x14ac:dyDescent="0.25">
      <c r="A29" s="92" t="s">
        <v>126</v>
      </c>
      <c r="B29" s="96">
        <f>+'SEND MAIL'!D78</f>
        <v>71.7</v>
      </c>
      <c r="C29" s="96">
        <f>+'SEND MAIL'!E78</f>
        <v>0</v>
      </c>
      <c r="D29" s="76"/>
      <c r="E29" s="120"/>
      <c r="F29" s="121"/>
    </row>
    <row r="30" spans="1:6" x14ac:dyDescent="0.25">
      <c r="A30" s="92" t="s">
        <v>112</v>
      </c>
      <c r="B30" s="96">
        <f>+'SEND MAIL'!D79</f>
        <v>2.56</v>
      </c>
      <c r="C30" s="96">
        <f>+'SEND MAIL'!E79</f>
        <v>0</v>
      </c>
      <c r="D30" s="96" t="s">
        <v>127</v>
      </c>
      <c r="E30" s="120"/>
      <c r="F30" s="121"/>
    </row>
    <row r="31" spans="1:6" ht="15.75" thickBot="1" x14ac:dyDescent="0.3">
      <c r="A31" s="97" t="s">
        <v>128</v>
      </c>
      <c r="B31" s="98"/>
      <c r="C31" s="99" t="s">
        <v>129</v>
      </c>
      <c r="D31" s="100">
        <f>+'SEND MAIL'!F80</f>
        <v>181.79000000000002</v>
      </c>
      <c r="E31" s="122"/>
      <c r="F31" s="123"/>
    </row>
  </sheetData>
  <mergeCells count="6">
    <mergeCell ref="E27:F31"/>
    <mergeCell ref="C6:C7"/>
    <mergeCell ref="D6:D7"/>
    <mergeCell ref="B21:F21"/>
    <mergeCell ref="B23:F23"/>
    <mergeCell ref="C25:D25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SEND MAIL</vt:lpstr>
      <vt:lpstr>POLIZA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Ramo, Wikin</dc:creator>
  <cp:lastModifiedBy>Ramo, Wikin</cp:lastModifiedBy>
  <dcterms:created xsi:type="dcterms:W3CDTF">2023-04-12T13:51:43Z</dcterms:created>
  <dcterms:modified xsi:type="dcterms:W3CDTF">2023-12-22T12:03:02Z</dcterms:modified>
</cp:coreProperties>
</file>