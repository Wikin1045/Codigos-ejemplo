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bertymutual-my.sharepoint.com/personal/wikin_ramo_libertymutual_com/Documents/Desktop/MARLIN/"/>
    </mc:Choice>
  </mc:AlternateContent>
  <xr:revisionPtr revIDLastSave="2" documentId="8_{2DF107A5-D5A0-4BDC-BDE7-0D1E6DE5E84C}" xr6:coauthVersionLast="47" xr6:coauthVersionMax="47" xr10:uidLastSave="{7E6E55CD-68D3-41E4-B4C3-693E56B51BEF}"/>
  <bookViews>
    <workbookView xWindow="-120" yWindow="-120" windowWidth="20730" windowHeight="11040" activeTab="2" xr2:uid="{00000000-000D-0000-FFFF-FFFF00000000}"/>
  </bookViews>
  <sheets>
    <sheet name="FILL OUT" sheetId="2" r:id="rId1"/>
    <sheet name="Base de Datos" sheetId="1" r:id="rId2"/>
    <sheet name="Plantilla Envio" sheetId="6" r:id="rId3"/>
    <sheet name="Sheet1" sheetId="9" state="hidden" r:id="rId4"/>
    <sheet name="Sheet2" sheetId="7" state="hidden" r:id="rId5"/>
    <sheet name="Recepcion" sheetId="3" r:id="rId6"/>
    <sheet name="Control" sheetId="8" r:id="rId7"/>
    <sheet name="Resumen Ago_Sep_Oct" sheetId="11" state="hidden" r:id="rId8"/>
    <sheet name="Sheet3" sheetId="10" r:id="rId9"/>
    <sheet name="ENQUIRY" sheetId="5" state="hidden" r:id="rId10"/>
    <sheet name="Emision" sheetId="4" state="hidden" r:id="rId11"/>
  </sheets>
  <externalReferences>
    <externalReference r:id="rId12"/>
    <externalReference r:id="rId13"/>
  </externalReferences>
  <definedNames>
    <definedName name="_xlnm._FilterDatabase" localSheetId="6" hidden="1">Control!$A$2:$Y$665</definedName>
    <definedName name="_xlnm._FilterDatabase" localSheetId="2" hidden="1">'Plantilla Envio'!$A$1:$AB$64</definedName>
  </definedNames>
  <calcPr calcId="191029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8" l="1"/>
  <c r="L3" i="8"/>
  <c r="M3" i="8"/>
  <c r="N3" i="8"/>
  <c r="K4" i="8"/>
  <c r="L4" i="8"/>
  <c r="M4" i="8"/>
  <c r="N4" i="8"/>
  <c r="AC2" i="6"/>
  <c r="AC3" i="6"/>
  <c r="M2" i="6"/>
  <c r="N2" i="6"/>
  <c r="O2" i="6"/>
  <c r="P2" i="6"/>
  <c r="Q2" i="6" s="1"/>
  <c r="T2" i="6"/>
  <c r="X2" i="6"/>
  <c r="AA2" i="6"/>
  <c r="AB2" i="6"/>
  <c r="M3" i="6"/>
  <c r="N3" i="6"/>
  <c r="O3" i="6"/>
  <c r="P3" i="6"/>
  <c r="Q3" i="6" s="1"/>
  <c r="R3" i="6" s="1"/>
  <c r="S3" i="6" s="1"/>
  <c r="T3" i="6"/>
  <c r="U3" i="6" s="1"/>
  <c r="V3" i="6" s="1"/>
  <c r="X3" i="6"/>
  <c r="AA3" i="6"/>
  <c r="AB3" i="6"/>
  <c r="G2" i="6"/>
  <c r="H2" i="6"/>
  <c r="I2" i="6"/>
  <c r="J2" i="6"/>
  <c r="L2" i="6"/>
  <c r="G3" i="6"/>
  <c r="H3" i="6"/>
  <c r="I3" i="6"/>
  <c r="J3" i="6"/>
  <c r="L3" i="6"/>
  <c r="M2" i="3"/>
  <c r="N2" i="3"/>
  <c r="O2" i="3"/>
  <c r="M3" i="3"/>
  <c r="N3" i="3" s="1"/>
  <c r="O3" i="3"/>
  <c r="K5" i="8"/>
  <c r="L5" i="8"/>
  <c r="M5" i="8"/>
  <c r="N5" i="8"/>
  <c r="K6" i="8"/>
  <c r="L6" i="8"/>
  <c r="M6" i="8"/>
  <c r="N6" i="8"/>
  <c r="AC4" i="6"/>
  <c r="AC5" i="6"/>
  <c r="M4" i="6"/>
  <c r="N4" i="6"/>
  <c r="O4" i="6"/>
  <c r="P4" i="6"/>
  <c r="T4" i="6"/>
  <c r="X4" i="6"/>
  <c r="AA4" i="6"/>
  <c r="AB4" i="6"/>
  <c r="M5" i="6"/>
  <c r="N5" i="6"/>
  <c r="O5" i="6"/>
  <c r="P5" i="6"/>
  <c r="T5" i="6"/>
  <c r="X5" i="6"/>
  <c r="AA5" i="6"/>
  <c r="AB5" i="6"/>
  <c r="G4" i="6"/>
  <c r="I4" i="6"/>
  <c r="J4" i="6"/>
  <c r="L4" i="6"/>
  <c r="G5" i="6"/>
  <c r="I5" i="6"/>
  <c r="J5" i="6"/>
  <c r="L5" i="6"/>
  <c r="M4" i="3"/>
  <c r="N4" i="3" s="1"/>
  <c r="O4" i="3"/>
  <c r="M5" i="3"/>
  <c r="N5" i="3" s="1"/>
  <c r="O5" i="3"/>
  <c r="B12" i="2" a="1"/>
  <c r="B12" i="2" s="1"/>
  <c r="B11" i="2" a="1"/>
  <c r="B11" i="2" s="1"/>
  <c r="K7" i="8"/>
  <c r="L7" i="8"/>
  <c r="M7" i="8"/>
  <c r="N7" i="8"/>
  <c r="K8" i="8"/>
  <c r="L8" i="8"/>
  <c r="M8" i="8"/>
  <c r="N8" i="8"/>
  <c r="AC6" i="6"/>
  <c r="AC7" i="6"/>
  <c r="M6" i="6"/>
  <c r="N6" i="6"/>
  <c r="O6" i="6"/>
  <c r="P6" i="6"/>
  <c r="T6" i="6"/>
  <c r="X6" i="6"/>
  <c r="AA6" i="6"/>
  <c r="AB6" i="6"/>
  <c r="M7" i="6"/>
  <c r="N7" i="6"/>
  <c r="O7" i="6"/>
  <c r="P7" i="6"/>
  <c r="T7" i="6"/>
  <c r="X7" i="6"/>
  <c r="AA7" i="6"/>
  <c r="AB7" i="6"/>
  <c r="G6" i="6"/>
  <c r="I6" i="6"/>
  <c r="J6" i="6"/>
  <c r="L6" i="6"/>
  <c r="G7" i="6"/>
  <c r="I7" i="6"/>
  <c r="J7" i="6"/>
  <c r="L7" i="6"/>
  <c r="M6" i="3"/>
  <c r="N6" i="3" s="1"/>
  <c r="O6" i="3"/>
  <c r="M7" i="3"/>
  <c r="N7" i="3" s="1"/>
  <c r="O7" i="3"/>
  <c r="K9" i="8"/>
  <c r="L9" i="8"/>
  <c r="M9" i="8"/>
  <c r="N9" i="8"/>
  <c r="K10" i="8"/>
  <c r="L10" i="8"/>
  <c r="M10" i="8"/>
  <c r="N10" i="8"/>
  <c r="AC8" i="6"/>
  <c r="AC9" i="6"/>
  <c r="M8" i="6"/>
  <c r="N8" i="6"/>
  <c r="O8" i="6"/>
  <c r="P8" i="6"/>
  <c r="T8" i="6"/>
  <c r="X8" i="6"/>
  <c r="AA8" i="6"/>
  <c r="AB8" i="6"/>
  <c r="M9" i="6"/>
  <c r="N9" i="6"/>
  <c r="O9" i="6"/>
  <c r="P9" i="6"/>
  <c r="T9" i="6"/>
  <c r="X9" i="6"/>
  <c r="AA9" i="6"/>
  <c r="AB9" i="6"/>
  <c r="G8" i="6"/>
  <c r="I8" i="6"/>
  <c r="J8" i="6"/>
  <c r="L8" i="6"/>
  <c r="G9" i="6"/>
  <c r="I9" i="6"/>
  <c r="J9" i="6"/>
  <c r="L9" i="6"/>
  <c r="M8" i="3"/>
  <c r="N8" i="3" s="1"/>
  <c r="O8" i="3"/>
  <c r="M9" i="3"/>
  <c r="N9" i="3" s="1"/>
  <c r="O9" i="3"/>
  <c r="G10" i="6"/>
  <c r="I10" i="6"/>
  <c r="J10" i="6"/>
  <c r="L10" i="6"/>
  <c r="M10" i="6"/>
  <c r="N10" i="6"/>
  <c r="O10" i="6"/>
  <c r="P10" i="6"/>
  <c r="T10" i="6"/>
  <c r="X10" i="6"/>
  <c r="AA10" i="6"/>
  <c r="AB10" i="6"/>
  <c r="AC10" i="6"/>
  <c r="G11" i="6"/>
  <c r="I11" i="6"/>
  <c r="J11" i="6"/>
  <c r="L11" i="6"/>
  <c r="M11" i="6"/>
  <c r="N11" i="6"/>
  <c r="O11" i="6"/>
  <c r="P11" i="6"/>
  <c r="T11" i="6"/>
  <c r="X11" i="6"/>
  <c r="AA11" i="6"/>
  <c r="AB11" i="6"/>
  <c r="AC11" i="6"/>
  <c r="G12" i="6"/>
  <c r="I12" i="6"/>
  <c r="J12" i="6"/>
  <c r="L12" i="6"/>
  <c r="M12" i="6"/>
  <c r="N12" i="6"/>
  <c r="O12" i="6"/>
  <c r="P12" i="6"/>
  <c r="T12" i="6"/>
  <c r="X12" i="6"/>
  <c r="AA12" i="6"/>
  <c r="AB12" i="6"/>
  <c r="AC12" i="6"/>
  <c r="G13" i="6"/>
  <c r="I13" i="6"/>
  <c r="J13" i="6"/>
  <c r="L13" i="6"/>
  <c r="M13" i="6"/>
  <c r="N13" i="6"/>
  <c r="O13" i="6"/>
  <c r="P13" i="6"/>
  <c r="T13" i="6"/>
  <c r="X13" i="6"/>
  <c r="AA13" i="6"/>
  <c r="AB13" i="6"/>
  <c r="AC13" i="6"/>
  <c r="G14" i="6"/>
  <c r="I14" i="6"/>
  <c r="J14" i="6"/>
  <c r="L14" i="6"/>
  <c r="M14" i="6"/>
  <c r="N14" i="6"/>
  <c r="O14" i="6"/>
  <c r="P14" i="6"/>
  <c r="T14" i="6"/>
  <c r="X14" i="6"/>
  <c r="AA14" i="6"/>
  <c r="AB14" i="6"/>
  <c r="AC14" i="6"/>
  <c r="G15" i="6"/>
  <c r="I15" i="6"/>
  <c r="J15" i="6"/>
  <c r="L15" i="6"/>
  <c r="M15" i="6"/>
  <c r="N15" i="6"/>
  <c r="O15" i="6"/>
  <c r="P15" i="6"/>
  <c r="T15" i="6"/>
  <c r="X15" i="6"/>
  <c r="AA15" i="6"/>
  <c r="AB15" i="6"/>
  <c r="AC15" i="6"/>
  <c r="G16" i="6"/>
  <c r="I16" i="6"/>
  <c r="J16" i="6"/>
  <c r="L16" i="6"/>
  <c r="M16" i="6"/>
  <c r="N16" i="6"/>
  <c r="O16" i="6"/>
  <c r="P16" i="6"/>
  <c r="T16" i="6"/>
  <c r="X16" i="6"/>
  <c r="AA16" i="6"/>
  <c r="AB16" i="6"/>
  <c r="AC16" i="6"/>
  <c r="G17" i="6"/>
  <c r="I17" i="6"/>
  <c r="J17" i="6"/>
  <c r="L17" i="6"/>
  <c r="M17" i="6"/>
  <c r="N17" i="6"/>
  <c r="O17" i="6"/>
  <c r="P17" i="6"/>
  <c r="T17" i="6"/>
  <c r="X17" i="6"/>
  <c r="AA17" i="6"/>
  <c r="AB17" i="6"/>
  <c r="AC17" i="6"/>
  <c r="G18" i="6"/>
  <c r="I18" i="6"/>
  <c r="J18" i="6"/>
  <c r="L18" i="6"/>
  <c r="M18" i="6"/>
  <c r="N18" i="6"/>
  <c r="O18" i="6"/>
  <c r="P18" i="6"/>
  <c r="T18" i="6"/>
  <c r="X18" i="6"/>
  <c r="AA18" i="6"/>
  <c r="AB18" i="6"/>
  <c r="AC18" i="6"/>
  <c r="G19" i="6"/>
  <c r="I19" i="6"/>
  <c r="J19" i="6"/>
  <c r="L19" i="6"/>
  <c r="M19" i="6"/>
  <c r="N19" i="6"/>
  <c r="O19" i="6"/>
  <c r="P19" i="6"/>
  <c r="T19" i="6"/>
  <c r="X19" i="6"/>
  <c r="AA19" i="6"/>
  <c r="AB19" i="6"/>
  <c r="AC19" i="6"/>
  <c r="G20" i="6"/>
  <c r="I20" i="6"/>
  <c r="J20" i="6"/>
  <c r="L20" i="6"/>
  <c r="M20" i="6"/>
  <c r="N20" i="6"/>
  <c r="O20" i="6"/>
  <c r="P20" i="6"/>
  <c r="T20" i="6"/>
  <c r="X20" i="6"/>
  <c r="AA20" i="6"/>
  <c r="AB20" i="6"/>
  <c r="AC20" i="6"/>
  <c r="G21" i="6"/>
  <c r="I21" i="6"/>
  <c r="J21" i="6"/>
  <c r="L21" i="6"/>
  <c r="M21" i="6"/>
  <c r="N21" i="6"/>
  <c r="O21" i="6"/>
  <c r="P21" i="6"/>
  <c r="T21" i="6"/>
  <c r="X21" i="6"/>
  <c r="AA21" i="6"/>
  <c r="AB21" i="6"/>
  <c r="AC21" i="6"/>
  <c r="G22" i="6"/>
  <c r="I22" i="6"/>
  <c r="J22" i="6"/>
  <c r="L22" i="6"/>
  <c r="M22" i="6"/>
  <c r="N22" i="6"/>
  <c r="O22" i="6"/>
  <c r="P22" i="6"/>
  <c r="T22" i="6"/>
  <c r="X22" i="6"/>
  <c r="AA22" i="6"/>
  <c r="AB22" i="6"/>
  <c r="AC22" i="6"/>
  <c r="G23" i="6"/>
  <c r="I23" i="6"/>
  <c r="J23" i="6"/>
  <c r="L23" i="6"/>
  <c r="M23" i="6"/>
  <c r="N23" i="6"/>
  <c r="O23" i="6"/>
  <c r="P23" i="6"/>
  <c r="T23" i="6"/>
  <c r="X23" i="6"/>
  <c r="AA23" i="6"/>
  <c r="AB23" i="6"/>
  <c r="AC23" i="6"/>
  <c r="G24" i="6"/>
  <c r="I24" i="6"/>
  <c r="J24" i="6"/>
  <c r="L24" i="6"/>
  <c r="M24" i="6"/>
  <c r="N24" i="6"/>
  <c r="O24" i="6"/>
  <c r="P24" i="6"/>
  <c r="T24" i="6"/>
  <c r="X24" i="6"/>
  <c r="AA24" i="6"/>
  <c r="AB24" i="6"/>
  <c r="AC24" i="6"/>
  <c r="G25" i="6"/>
  <c r="I25" i="6"/>
  <c r="J25" i="6"/>
  <c r="L25" i="6"/>
  <c r="M25" i="6"/>
  <c r="N25" i="6"/>
  <c r="O25" i="6"/>
  <c r="P25" i="6"/>
  <c r="T25" i="6"/>
  <c r="X25" i="6"/>
  <c r="AA25" i="6"/>
  <c r="AB25" i="6"/>
  <c r="AC25" i="6"/>
  <c r="G26" i="6"/>
  <c r="I26" i="6"/>
  <c r="J26" i="6"/>
  <c r="L26" i="6"/>
  <c r="M26" i="6"/>
  <c r="N26" i="6"/>
  <c r="O26" i="6"/>
  <c r="P26" i="6"/>
  <c r="T26" i="6"/>
  <c r="X26" i="6"/>
  <c r="AA26" i="6"/>
  <c r="AB26" i="6"/>
  <c r="AC26" i="6"/>
  <c r="G27" i="6"/>
  <c r="I27" i="6"/>
  <c r="J27" i="6"/>
  <c r="L27" i="6"/>
  <c r="M27" i="6"/>
  <c r="N27" i="6"/>
  <c r="O27" i="6"/>
  <c r="P27" i="6"/>
  <c r="T27" i="6"/>
  <c r="X27" i="6"/>
  <c r="AA27" i="6"/>
  <c r="AB27" i="6"/>
  <c r="AC27" i="6"/>
  <c r="G28" i="6"/>
  <c r="I28" i="6"/>
  <c r="J28" i="6"/>
  <c r="L28" i="6"/>
  <c r="M28" i="6"/>
  <c r="N28" i="6"/>
  <c r="O28" i="6"/>
  <c r="P28" i="6"/>
  <c r="T28" i="6"/>
  <c r="X28" i="6"/>
  <c r="AA28" i="6"/>
  <c r="AB28" i="6"/>
  <c r="AC28" i="6"/>
  <c r="G29" i="6"/>
  <c r="I29" i="6"/>
  <c r="J29" i="6"/>
  <c r="L29" i="6"/>
  <c r="M29" i="6"/>
  <c r="N29" i="6"/>
  <c r="O29" i="6"/>
  <c r="P29" i="6"/>
  <c r="T29" i="6"/>
  <c r="X29" i="6"/>
  <c r="AA29" i="6"/>
  <c r="AB29" i="6"/>
  <c r="AC29" i="6"/>
  <c r="G30" i="6"/>
  <c r="I30" i="6"/>
  <c r="J30" i="6"/>
  <c r="L30" i="6"/>
  <c r="M30" i="6"/>
  <c r="N30" i="6"/>
  <c r="O30" i="6"/>
  <c r="P30" i="6"/>
  <c r="T30" i="6"/>
  <c r="X30" i="6"/>
  <c r="AA30" i="6"/>
  <c r="AB30" i="6"/>
  <c r="AC30" i="6"/>
  <c r="G31" i="6"/>
  <c r="I31" i="6"/>
  <c r="J31" i="6"/>
  <c r="L31" i="6"/>
  <c r="M31" i="6"/>
  <c r="N31" i="6"/>
  <c r="O31" i="6"/>
  <c r="P31" i="6"/>
  <c r="T31" i="6"/>
  <c r="X31" i="6"/>
  <c r="AA31" i="6"/>
  <c r="AB31" i="6"/>
  <c r="AC31" i="6"/>
  <c r="G32" i="6"/>
  <c r="I32" i="6"/>
  <c r="J32" i="6"/>
  <c r="L32" i="6"/>
  <c r="M32" i="6"/>
  <c r="N32" i="6"/>
  <c r="O32" i="6"/>
  <c r="P32" i="6"/>
  <c r="T32" i="6"/>
  <c r="X32" i="6"/>
  <c r="AA32" i="6"/>
  <c r="AB32" i="6"/>
  <c r="AC32" i="6"/>
  <c r="G33" i="6"/>
  <c r="I33" i="6"/>
  <c r="J33" i="6"/>
  <c r="L33" i="6"/>
  <c r="M33" i="6"/>
  <c r="N33" i="6"/>
  <c r="O33" i="6"/>
  <c r="P33" i="6"/>
  <c r="T33" i="6"/>
  <c r="X33" i="6"/>
  <c r="AA33" i="6"/>
  <c r="AB33" i="6"/>
  <c r="AC33" i="6"/>
  <c r="G34" i="6"/>
  <c r="I34" i="6"/>
  <c r="J34" i="6"/>
  <c r="L34" i="6"/>
  <c r="M34" i="6"/>
  <c r="N34" i="6"/>
  <c r="O34" i="6"/>
  <c r="P34" i="6"/>
  <c r="T34" i="6"/>
  <c r="X34" i="6"/>
  <c r="AA34" i="6"/>
  <c r="AB34" i="6"/>
  <c r="AC34" i="6"/>
  <c r="G35" i="6"/>
  <c r="I35" i="6"/>
  <c r="J35" i="6"/>
  <c r="L35" i="6"/>
  <c r="M35" i="6"/>
  <c r="N35" i="6"/>
  <c r="O35" i="6"/>
  <c r="P35" i="6"/>
  <c r="T35" i="6"/>
  <c r="X35" i="6"/>
  <c r="AA35" i="6"/>
  <c r="AB35" i="6"/>
  <c r="AC35" i="6"/>
  <c r="K11" i="8"/>
  <c r="L11" i="8"/>
  <c r="M11" i="8"/>
  <c r="N11" i="8"/>
  <c r="K12" i="8"/>
  <c r="L12" i="8"/>
  <c r="M12" i="8"/>
  <c r="N12" i="8"/>
  <c r="M10" i="3"/>
  <c r="N10" i="3" s="1"/>
  <c r="O10" i="3"/>
  <c r="M11" i="3"/>
  <c r="N11" i="3" s="1"/>
  <c r="O11" i="3"/>
  <c r="K13" i="8"/>
  <c r="L13" i="8"/>
  <c r="M13" i="8"/>
  <c r="N13" i="8"/>
  <c r="K14" i="8"/>
  <c r="L14" i="8"/>
  <c r="M14" i="8"/>
  <c r="N14" i="8"/>
  <c r="M12" i="3"/>
  <c r="N12" i="3" s="1"/>
  <c r="O12" i="3"/>
  <c r="M13" i="3"/>
  <c r="N13" i="3" s="1"/>
  <c r="O13" i="3"/>
  <c r="K15" i="8"/>
  <c r="L15" i="8"/>
  <c r="M15" i="8"/>
  <c r="N15" i="8"/>
  <c r="K16" i="8"/>
  <c r="L16" i="8"/>
  <c r="M16" i="8"/>
  <c r="N16" i="8"/>
  <c r="M14" i="3"/>
  <c r="N14" i="3" s="1"/>
  <c r="O14" i="3"/>
  <c r="M15" i="3"/>
  <c r="N15" i="3" s="1"/>
  <c r="O15" i="3"/>
  <c r="K17" i="8"/>
  <c r="L17" i="8"/>
  <c r="M17" i="8"/>
  <c r="N17" i="8"/>
  <c r="K18" i="8"/>
  <c r="L18" i="8"/>
  <c r="M18" i="8"/>
  <c r="N18" i="8"/>
  <c r="M16" i="3"/>
  <c r="N16" i="3" s="1"/>
  <c r="O16" i="3"/>
  <c r="M17" i="3"/>
  <c r="N17" i="3" s="1"/>
  <c r="O17" i="3"/>
  <c r="K19" i="8"/>
  <c r="L19" i="8"/>
  <c r="M19" i="8"/>
  <c r="N19" i="8"/>
  <c r="K20" i="8"/>
  <c r="L20" i="8"/>
  <c r="M20" i="8"/>
  <c r="N20" i="8"/>
  <c r="M18" i="3"/>
  <c r="N18" i="3" s="1"/>
  <c r="O18" i="3"/>
  <c r="M19" i="3"/>
  <c r="N19" i="3" s="1"/>
  <c r="O19" i="3"/>
  <c r="K21" i="8"/>
  <c r="L21" i="8"/>
  <c r="M21" i="8"/>
  <c r="N21" i="8"/>
  <c r="K22" i="8"/>
  <c r="L22" i="8"/>
  <c r="M22" i="8"/>
  <c r="N22" i="8"/>
  <c r="M20" i="3"/>
  <c r="N20" i="3" s="1"/>
  <c r="O20" i="3"/>
  <c r="M21" i="3"/>
  <c r="N21" i="3" s="1"/>
  <c r="O21" i="3"/>
  <c r="K23" i="8"/>
  <c r="L23" i="8"/>
  <c r="M23" i="8"/>
  <c r="N23" i="8"/>
  <c r="K24" i="8"/>
  <c r="L24" i="8"/>
  <c r="M24" i="8"/>
  <c r="N24" i="8"/>
  <c r="M22" i="3"/>
  <c r="N22" i="3" s="1"/>
  <c r="O22" i="3"/>
  <c r="M23" i="3"/>
  <c r="N23" i="3" s="1"/>
  <c r="O23" i="3"/>
  <c r="K25" i="8"/>
  <c r="L25" i="8"/>
  <c r="M25" i="8"/>
  <c r="N25" i="8"/>
  <c r="K26" i="8"/>
  <c r="L26" i="8"/>
  <c r="M26" i="8"/>
  <c r="N26" i="8"/>
  <c r="M24" i="3"/>
  <c r="N24" i="3" s="1"/>
  <c r="O24" i="3"/>
  <c r="M25" i="3"/>
  <c r="N25" i="3" s="1"/>
  <c r="O25" i="3"/>
  <c r="K27" i="8"/>
  <c r="L27" i="8"/>
  <c r="M27" i="8"/>
  <c r="N27" i="8"/>
  <c r="K28" i="8"/>
  <c r="L28" i="8"/>
  <c r="M28" i="8"/>
  <c r="N28" i="8"/>
  <c r="M26" i="3"/>
  <c r="N26" i="3" s="1"/>
  <c r="O26" i="3"/>
  <c r="M27" i="3"/>
  <c r="N27" i="3" s="1"/>
  <c r="O27" i="3"/>
  <c r="K29" i="8"/>
  <c r="L29" i="8"/>
  <c r="M29" i="8"/>
  <c r="N29" i="8"/>
  <c r="K30" i="8"/>
  <c r="L30" i="8"/>
  <c r="M30" i="8"/>
  <c r="N30" i="8"/>
  <c r="M28" i="3"/>
  <c r="N28" i="3" s="1"/>
  <c r="O28" i="3"/>
  <c r="M29" i="3"/>
  <c r="N29" i="3" s="1"/>
  <c r="O29" i="3"/>
  <c r="K31" i="8"/>
  <c r="L31" i="8"/>
  <c r="M31" i="8"/>
  <c r="N31" i="8"/>
  <c r="K32" i="8"/>
  <c r="L32" i="8"/>
  <c r="M32" i="8"/>
  <c r="N32" i="8"/>
  <c r="M30" i="3"/>
  <c r="N30" i="3" s="1"/>
  <c r="O30" i="3"/>
  <c r="M31" i="3"/>
  <c r="N31" i="3" s="1"/>
  <c r="O31" i="3"/>
  <c r="K33" i="8"/>
  <c r="L33" i="8"/>
  <c r="M33" i="8"/>
  <c r="N33" i="8"/>
  <c r="K34" i="8"/>
  <c r="L34" i="8"/>
  <c r="M34" i="8"/>
  <c r="N34" i="8"/>
  <c r="M32" i="3"/>
  <c r="N32" i="3" s="1"/>
  <c r="O32" i="3"/>
  <c r="M33" i="3"/>
  <c r="N33" i="3" s="1"/>
  <c r="O33" i="3"/>
  <c r="K35" i="8"/>
  <c r="L35" i="8"/>
  <c r="M35" i="8"/>
  <c r="N35" i="8"/>
  <c r="K36" i="8"/>
  <c r="L36" i="8"/>
  <c r="M36" i="8"/>
  <c r="N36" i="8"/>
  <c r="M34" i="3"/>
  <c r="N34" i="3" s="1"/>
  <c r="O34" i="3"/>
  <c r="M35" i="3"/>
  <c r="N35" i="3" s="1"/>
  <c r="O35" i="3"/>
  <c r="K37" i="8"/>
  <c r="L37" i="8"/>
  <c r="M37" i="8"/>
  <c r="N37" i="8"/>
  <c r="K38" i="8"/>
  <c r="L38" i="8"/>
  <c r="M38" i="8"/>
  <c r="N38" i="8"/>
  <c r="AC36" i="6"/>
  <c r="AC37" i="6"/>
  <c r="M36" i="3"/>
  <c r="N36" i="3" s="1"/>
  <c r="O36" i="3"/>
  <c r="M37" i="3"/>
  <c r="N37" i="3" s="1"/>
  <c r="O37" i="3"/>
  <c r="K39" i="8"/>
  <c r="L39" i="8"/>
  <c r="M39" i="8"/>
  <c r="N39" i="8"/>
  <c r="K40" i="8"/>
  <c r="L40" i="8"/>
  <c r="M40" i="8"/>
  <c r="N40" i="8"/>
  <c r="M38" i="3"/>
  <c r="N38" i="3" s="1"/>
  <c r="O38" i="3"/>
  <c r="M39" i="3"/>
  <c r="N39" i="3" s="1"/>
  <c r="O39" i="3"/>
  <c r="K41" i="8"/>
  <c r="L41" i="8"/>
  <c r="M41" i="8"/>
  <c r="N41" i="8"/>
  <c r="K42" i="8"/>
  <c r="L42" i="8"/>
  <c r="M42" i="8"/>
  <c r="N42" i="8"/>
  <c r="M40" i="3"/>
  <c r="N40" i="3" s="1"/>
  <c r="O40" i="3"/>
  <c r="M41" i="3"/>
  <c r="N41" i="3" s="1"/>
  <c r="O41" i="3"/>
  <c r="K43" i="8"/>
  <c r="L43" i="8"/>
  <c r="M43" i="8"/>
  <c r="N43" i="8"/>
  <c r="K44" i="8"/>
  <c r="L44" i="8"/>
  <c r="M44" i="8"/>
  <c r="N44" i="8"/>
  <c r="M42" i="3"/>
  <c r="N42" i="3" s="1"/>
  <c r="O42" i="3"/>
  <c r="M43" i="3"/>
  <c r="N43" i="3" s="1"/>
  <c r="O43" i="3"/>
  <c r="K45" i="8"/>
  <c r="L45" i="8"/>
  <c r="M45" i="8"/>
  <c r="N45" i="8"/>
  <c r="K46" i="8"/>
  <c r="L46" i="8"/>
  <c r="M46" i="8"/>
  <c r="N46" i="8"/>
  <c r="M44" i="3"/>
  <c r="N44" i="3" s="1"/>
  <c r="O44" i="3"/>
  <c r="M45" i="3"/>
  <c r="K19" i="6" s="1"/>
  <c r="O45" i="3"/>
  <c r="K47" i="8"/>
  <c r="L47" i="8"/>
  <c r="M47" i="8"/>
  <c r="N47" i="8"/>
  <c r="K48" i="8"/>
  <c r="L48" i="8"/>
  <c r="M48" i="8"/>
  <c r="N48" i="8"/>
  <c r="M46" i="3"/>
  <c r="N46" i="3" s="1"/>
  <c r="O46" i="3"/>
  <c r="M47" i="3"/>
  <c r="N47" i="3" s="1"/>
  <c r="O47" i="3"/>
  <c r="K49" i="8"/>
  <c r="L49" i="8"/>
  <c r="M49" i="8"/>
  <c r="N49" i="8"/>
  <c r="K50" i="8"/>
  <c r="L50" i="8"/>
  <c r="M50" i="8"/>
  <c r="N50" i="8"/>
  <c r="M48" i="3"/>
  <c r="N48" i="3" s="1"/>
  <c r="O48" i="3"/>
  <c r="M49" i="3"/>
  <c r="N49" i="3" s="1"/>
  <c r="O49" i="3"/>
  <c r="K51" i="8"/>
  <c r="L51" i="8"/>
  <c r="M51" i="8"/>
  <c r="N51" i="8"/>
  <c r="K52" i="8"/>
  <c r="L52" i="8"/>
  <c r="M52" i="8"/>
  <c r="N52" i="8"/>
  <c r="M50" i="3"/>
  <c r="N50" i="3" s="1"/>
  <c r="O50" i="3"/>
  <c r="M51" i="3"/>
  <c r="N51" i="3" s="1"/>
  <c r="O51" i="3"/>
  <c r="K53" i="8"/>
  <c r="L53" i="8"/>
  <c r="M53" i="8"/>
  <c r="N53" i="8"/>
  <c r="K54" i="8"/>
  <c r="L54" i="8"/>
  <c r="M54" i="8"/>
  <c r="N54" i="8"/>
  <c r="M52" i="3"/>
  <c r="N52" i="3" s="1"/>
  <c r="O52" i="3"/>
  <c r="M53" i="3"/>
  <c r="N53" i="3" s="1"/>
  <c r="O53" i="3"/>
  <c r="K55" i="8"/>
  <c r="L55" i="8"/>
  <c r="M55" i="8"/>
  <c r="N55" i="8"/>
  <c r="K56" i="8"/>
  <c r="L56" i="8"/>
  <c r="M56" i="8"/>
  <c r="N56" i="8"/>
  <c r="M54" i="3"/>
  <c r="N54" i="3" s="1"/>
  <c r="O54" i="3"/>
  <c r="M55" i="3"/>
  <c r="N55" i="3" s="1"/>
  <c r="O55" i="3"/>
  <c r="K57" i="8"/>
  <c r="L57" i="8"/>
  <c r="M57" i="8"/>
  <c r="N57" i="8"/>
  <c r="K58" i="8"/>
  <c r="L58" i="8"/>
  <c r="M58" i="8"/>
  <c r="N58" i="8"/>
  <c r="M56" i="3"/>
  <c r="N56" i="3" s="1"/>
  <c r="O56" i="3"/>
  <c r="M57" i="3"/>
  <c r="N57" i="3" s="1"/>
  <c r="O57" i="3"/>
  <c r="K59" i="8"/>
  <c r="L59" i="8"/>
  <c r="M59" i="8"/>
  <c r="N59" i="8"/>
  <c r="K60" i="8"/>
  <c r="L60" i="8"/>
  <c r="M60" i="8"/>
  <c r="N60" i="8"/>
  <c r="M58" i="3"/>
  <c r="N58" i="3" s="1"/>
  <c r="O58" i="3"/>
  <c r="M59" i="3"/>
  <c r="N59" i="3" s="1"/>
  <c r="O59" i="3"/>
  <c r="K61" i="8"/>
  <c r="L61" i="8"/>
  <c r="M61" i="8"/>
  <c r="N61" i="8"/>
  <c r="K62" i="8"/>
  <c r="L62" i="8"/>
  <c r="M62" i="8"/>
  <c r="N62" i="8"/>
  <c r="M60" i="3"/>
  <c r="N60" i="3" s="1"/>
  <c r="O60" i="3"/>
  <c r="M61" i="3"/>
  <c r="N61" i="3" s="1"/>
  <c r="O61" i="3"/>
  <c r="K63" i="8"/>
  <c r="L63" i="8"/>
  <c r="M63" i="8"/>
  <c r="N63" i="8"/>
  <c r="K64" i="8"/>
  <c r="L64" i="8"/>
  <c r="M64" i="8"/>
  <c r="N64" i="8"/>
  <c r="K65" i="8"/>
  <c r="L65" i="8"/>
  <c r="M65" i="8"/>
  <c r="N65" i="8"/>
  <c r="K66" i="8"/>
  <c r="L66" i="8"/>
  <c r="M66" i="8"/>
  <c r="N66" i="8"/>
  <c r="K67" i="8"/>
  <c r="L67" i="8"/>
  <c r="M67" i="8"/>
  <c r="N67" i="8"/>
  <c r="K68" i="8"/>
  <c r="L68" i="8"/>
  <c r="M68" i="8"/>
  <c r="N68" i="8"/>
  <c r="K69" i="8"/>
  <c r="L69" i="8"/>
  <c r="M69" i="8"/>
  <c r="N69" i="8"/>
  <c r="K70" i="8"/>
  <c r="L70" i="8"/>
  <c r="M70" i="8"/>
  <c r="N70" i="8"/>
  <c r="K71" i="8"/>
  <c r="L71" i="8"/>
  <c r="M71" i="8"/>
  <c r="N71" i="8"/>
  <c r="K72" i="8"/>
  <c r="L72" i="8"/>
  <c r="M72" i="8"/>
  <c r="N72" i="8"/>
  <c r="K73" i="8"/>
  <c r="L73" i="8"/>
  <c r="M73" i="8"/>
  <c r="N73" i="8"/>
  <c r="K74" i="8"/>
  <c r="L74" i="8"/>
  <c r="M74" i="8"/>
  <c r="N74" i="8"/>
  <c r="K75" i="8"/>
  <c r="L75" i="8"/>
  <c r="M75" i="8"/>
  <c r="N75" i="8"/>
  <c r="K76" i="8"/>
  <c r="L76" i="8"/>
  <c r="M76" i="8"/>
  <c r="N76" i="8"/>
  <c r="K77" i="8"/>
  <c r="L77" i="8"/>
  <c r="M77" i="8"/>
  <c r="N77" i="8"/>
  <c r="K78" i="8"/>
  <c r="L78" i="8"/>
  <c r="M78" i="8"/>
  <c r="N78" i="8"/>
  <c r="K79" i="8"/>
  <c r="L79" i="8"/>
  <c r="M79" i="8"/>
  <c r="N79" i="8"/>
  <c r="K80" i="8"/>
  <c r="L80" i="8"/>
  <c r="M80" i="8"/>
  <c r="N80" i="8"/>
  <c r="K81" i="8"/>
  <c r="L81" i="8"/>
  <c r="M81" i="8"/>
  <c r="N81" i="8"/>
  <c r="K82" i="8"/>
  <c r="L82" i="8"/>
  <c r="M82" i="8"/>
  <c r="N82" i="8"/>
  <c r="K83" i="8"/>
  <c r="L83" i="8"/>
  <c r="M83" i="8"/>
  <c r="N83" i="8"/>
  <c r="K84" i="8"/>
  <c r="L84" i="8"/>
  <c r="M84" i="8"/>
  <c r="N84" i="8"/>
  <c r="K85" i="8"/>
  <c r="L85" i="8"/>
  <c r="M85" i="8"/>
  <c r="N85" i="8"/>
  <c r="K86" i="8"/>
  <c r="L86" i="8"/>
  <c r="M86" i="8"/>
  <c r="N86" i="8"/>
  <c r="K87" i="8"/>
  <c r="L87" i="8"/>
  <c r="M87" i="8"/>
  <c r="N87" i="8"/>
  <c r="K88" i="8"/>
  <c r="L88" i="8"/>
  <c r="M88" i="8"/>
  <c r="N88" i="8"/>
  <c r="K89" i="8"/>
  <c r="L89" i="8"/>
  <c r="M89" i="8"/>
  <c r="N89" i="8"/>
  <c r="K90" i="8"/>
  <c r="L90" i="8"/>
  <c r="M90" i="8"/>
  <c r="N90" i="8"/>
  <c r="K91" i="8"/>
  <c r="L91" i="8"/>
  <c r="M91" i="8"/>
  <c r="N91" i="8"/>
  <c r="K92" i="8"/>
  <c r="L92" i="8"/>
  <c r="M92" i="8"/>
  <c r="N92" i="8"/>
  <c r="K93" i="8"/>
  <c r="L93" i="8"/>
  <c r="M93" i="8"/>
  <c r="N93" i="8"/>
  <c r="K94" i="8"/>
  <c r="L94" i="8"/>
  <c r="M94" i="8"/>
  <c r="N94" i="8"/>
  <c r="K95" i="8"/>
  <c r="L95" i="8"/>
  <c r="M95" i="8"/>
  <c r="N95" i="8"/>
  <c r="K96" i="8"/>
  <c r="L96" i="8"/>
  <c r="M96" i="8"/>
  <c r="N96" i="8"/>
  <c r="K97" i="8"/>
  <c r="L97" i="8"/>
  <c r="M97" i="8"/>
  <c r="N97" i="8"/>
  <c r="K98" i="8"/>
  <c r="L98" i="8"/>
  <c r="M98" i="8"/>
  <c r="N98" i="8"/>
  <c r="K99" i="8"/>
  <c r="L99" i="8"/>
  <c r="M99" i="8"/>
  <c r="N99" i="8"/>
  <c r="K100" i="8"/>
  <c r="L100" i="8"/>
  <c r="M100" i="8"/>
  <c r="N100" i="8"/>
  <c r="K101" i="8"/>
  <c r="L101" i="8"/>
  <c r="M101" i="8"/>
  <c r="N101" i="8"/>
  <c r="K102" i="8"/>
  <c r="L102" i="8"/>
  <c r="M102" i="8"/>
  <c r="N102" i="8"/>
  <c r="K103" i="8"/>
  <c r="L103" i="8"/>
  <c r="M103" i="8"/>
  <c r="N103" i="8"/>
  <c r="K104" i="8"/>
  <c r="L104" i="8"/>
  <c r="M104" i="8"/>
  <c r="N104" i="8"/>
  <c r="K105" i="8"/>
  <c r="L105" i="8"/>
  <c r="M105" i="8"/>
  <c r="N105" i="8"/>
  <c r="K106" i="8"/>
  <c r="L106" i="8"/>
  <c r="M106" i="8"/>
  <c r="N106" i="8"/>
  <c r="K107" i="8"/>
  <c r="L107" i="8"/>
  <c r="M107" i="8"/>
  <c r="N107" i="8"/>
  <c r="K108" i="8"/>
  <c r="L108" i="8"/>
  <c r="M108" i="8"/>
  <c r="N108" i="8"/>
  <c r="K109" i="8"/>
  <c r="L109" i="8"/>
  <c r="M109" i="8"/>
  <c r="N109" i="8"/>
  <c r="K110" i="8"/>
  <c r="L110" i="8"/>
  <c r="M110" i="8"/>
  <c r="N110" i="8"/>
  <c r="K111" i="8"/>
  <c r="L111" i="8"/>
  <c r="M111" i="8"/>
  <c r="N111" i="8"/>
  <c r="K112" i="8"/>
  <c r="L112" i="8"/>
  <c r="M112" i="8"/>
  <c r="N112" i="8"/>
  <c r="K113" i="8"/>
  <c r="L113" i="8"/>
  <c r="M113" i="8"/>
  <c r="N113" i="8"/>
  <c r="K114" i="8"/>
  <c r="L114" i="8"/>
  <c r="M114" i="8"/>
  <c r="N114" i="8"/>
  <c r="K115" i="8"/>
  <c r="L115" i="8"/>
  <c r="M115" i="8"/>
  <c r="N115" i="8"/>
  <c r="K116" i="8"/>
  <c r="L116" i="8"/>
  <c r="M116" i="8"/>
  <c r="N116" i="8"/>
  <c r="K117" i="8"/>
  <c r="L117" i="8"/>
  <c r="M117" i="8"/>
  <c r="N117" i="8"/>
  <c r="K118" i="8"/>
  <c r="L118" i="8"/>
  <c r="M118" i="8"/>
  <c r="N118" i="8"/>
  <c r="K119" i="8"/>
  <c r="L119" i="8"/>
  <c r="M119" i="8"/>
  <c r="N119" i="8"/>
  <c r="K120" i="8"/>
  <c r="L120" i="8"/>
  <c r="M120" i="8"/>
  <c r="N120" i="8"/>
  <c r="K121" i="8"/>
  <c r="L121" i="8"/>
  <c r="M121" i="8"/>
  <c r="N121" i="8"/>
  <c r="K122" i="8"/>
  <c r="L122" i="8"/>
  <c r="M122" i="8"/>
  <c r="N122" i="8"/>
  <c r="K123" i="8"/>
  <c r="L123" i="8"/>
  <c r="M123" i="8"/>
  <c r="N123" i="8"/>
  <c r="K124" i="8"/>
  <c r="L124" i="8"/>
  <c r="M124" i="8"/>
  <c r="N124" i="8"/>
  <c r="K125" i="8"/>
  <c r="L125" i="8"/>
  <c r="M125" i="8"/>
  <c r="N125" i="8"/>
  <c r="K126" i="8"/>
  <c r="L126" i="8"/>
  <c r="M126" i="8"/>
  <c r="N126" i="8"/>
  <c r="K127" i="8"/>
  <c r="L127" i="8"/>
  <c r="M127" i="8"/>
  <c r="N127" i="8"/>
  <c r="K128" i="8"/>
  <c r="L128" i="8"/>
  <c r="M128" i="8"/>
  <c r="N128" i="8"/>
  <c r="K129" i="8"/>
  <c r="L129" i="8"/>
  <c r="M129" i="8"/>
  <c r="N129" i="8"/>
  <c r="K130" i="8"/>
  <c r="L130" i="8"/>
  <c r="M130" i="8"/>
  <c r="N130" i="8"/>
  <c r="K131" i="8"/>
  <c r="L131" i="8"/>
  <c r="M131" i="8"/>
  <c r="N131" i="8"/>
  <c r="K132" i="8"/>
  <c r="L132" i="8"/>
  <c r="M132" i="8"/>
  <c r="N132" i="8"/>
  <c r="K133" i="8"/>
  <c r="L133" i="8"/>
  <c r="M133" i="8"/>
  <c r="N133" i="8"/>
  <c r="K134" i="8"/>
  <c r="L134" i="8"/>
  <c r="M134" i="8"/>
  <c r="N134" i="8"/>
  <c r="K135" i="8"/>
  <c r="L135" i="8"/>
  <c r="M135" i="8"/>
  <c r="N135" i="8"/>
  <c r="K136" i="8"/>
  <c r="L136" i="8"/>
  <c r="M136" i="8"/>
  <c r="N136" i="8"/>
  <c r="K137" i="8"/>
  <c r="L137" i="8"/>
  <c r="M137" i="8"/>
  <c r="N137" i="8"/>
  <c r="K138" i="8"/>
  <c r="L138" i="8"/>
  <c r="M138" i="8"/>
  <c r="N138" i="8"/>
  <c r="K139" i="8"/>
  <c r="L139" i="8"/>
  <c r="M139" i="8"/>
  <c r="N139" i="8"/>
  <c r="K140" i="8"/>
  <c r="L140" i="8"/>
  <c r="M140" i="8"/>
  <c r="N140" i="8"/>
  <c r="K141" i="8"/>
  <c r="L141" i="8"/>
  <c r="M141" i="8"/>
  <c r="N141" i="8"/>
  <c r="K142" i="8"/>
  <c r="L142" i="8"/>
  <c r="M142" i="8"/>
  <c r="N142" i="8"/>
  <c r="K143" i="8"/>
  <c r="L143" i="8"/>
  <c r="M143" i="8"/>
  <c r="N143" i="8"/>
  <c r="K144" i="8"/>
  <c r="L144" i="8"/>
  <c r="M144" i="8"/>
  <c r="N144" i="8"/>
  <c r="K145" i="8"/>
  <c r="L145" i="8"/>
  <c r="M145" i="8"/>
  <c r="N145" i="8"/>
  <c r="K146" i="8"/>
  <c r="L146" i="8"/>
  <c r="M146" i="8"/>
  <c r="N146" i="8"/>
  <c r="K147" i="8"/>
  <c r="L147" i="8"/>
  <c r="M147" i="8"/>
  <c r="N147" i="8"/>
  <c r="K148" i="8"/>
  <c r="L148" i="8"/>
  <c r="M148" i="8"/>
  <c r="N148" i="8"/>
  <c r="K149" i="8"/>
  <c r="L149" i="8"/>
  <c r="M149" i="8"/>
  <c r="N149" i="8"/>
  <c r="K150" i="8"/>
  <c r="L150" i="8"/>
  <c r="M150" i="8"/>
  <c r="N150" i="8"/>
  <c r="K151" i="8"/>
  <c r="L151" i="8"/>
  <c r="M151" i="8"/>
  <c r="N151" i="8"/>
  <c r="K152" i="8"/>
  <c r="L152" i="8"/>
  <c r="M152" i="8"/>
  <c r="N152" i="8"/>
  <c r="K153" i="8"/>
  <c r="L153" i="8"/>
  <c r="M153" i="8"/>
  <c r="N153" i="8"/>
  <c r="K154" i="8"/>
  <c r="L154" i="8"/>
  <c r="M154" i="8"/>
  <c r="N154" i="8"/>
  <c r="K155" i="8"/>
  <c r="L155" i="8"/>
  <c r="M155" i="8"/>
  <c r="N155" i="8"/>
  <c r="K156" i="8"/>
  <c r="L156" i="8"/>
  <c r="M156" i="8"/>
  <c r="N156" i="8"/>
  <c r="K157" i="8"/>
  <c r="L157" i="8"/>
  <c r="M157" i="8"/>
  <c r="N157" i="8"/>
  <c r="K158" i="8"/>
  <c r="L158" i="8"/>
  <c r="M158" i="8"/>
  <c r="N158" i="8"/>
  <c r="K159" i="8"/>
  <c r="L159" i="8"/>
  <c r="M159" i="8"/>
  <c r="N159" i="8"/>
  <c r="K160" i="8"/>
  <c r="L160" i="8"/>
  <c r="M160" i="8"/>
  <c r="N160" i="8"/>
  <c r="K161" i="8"/>
  <c r="L161" i="8"/>
  <c r="M161" i="8"/>
  <c r="N161" i="8"/>
  <c r="K162" i="8"/>
  <c r="L162" i="8"/>
  <c r="M162" i="8"/>
  <c r="N162" i="8"/>
  <c r="K163" i="8"/>
  <c r="L163" i="8"/>
  <c r="M163" i="8"/>
  <c r="N163" i="8"/>
  <c r="K164" i="8"/>
  <c r="L164" i="8"/>
  <c r="M164" i="8"/>
  <c r="N164" i="8"/>
  <c r="K165" i="8"/>
  <c r="L165" i="8"/>
  <c r="M165" i="8"/>
  <c r="N165" i="8"/>
  <c r="K166" i="8"/>
  <c r="L166" i="8"/>
  <c r="M166" i="8"/>
  <c r="N166" i="8"/>
  <c r="K167" i="8"/>
  <c r="L167" i="8"/>
  <c r="M167" i="8"/>
  <c r="N167" i="8"/>
  <c r="K168" i="8"/>
  <c r="L168" i="8"/>
  <c r="M168" i="8"/>
  <c r="N168" i="8"/>
  <c r="K169" i="8"/>
  <c r="L169" i="8"/>
  <c r="M169" i="8"/>
  <c r="N169" i="8"/>
  <c r="K170" i="8"/>
  <c r="L170" i="8"/>
  <c r="M170" i="8"/>
  <c r="N170" i="8"/>
  <c r="G2" i="9"/>
  <c r="H8" i="6" l="1"/>
  <c r="Q5" i="6"/>
  <c r="Q4" i="6"/>
  <c r="K3" i="6"/>
  <c r="K2" i="6"/>
  <c r="U2" i="6"/>
  <c r="V2" i="6" s="1"/>
  <c r="R2" i="6"/>
  <c r="S2" i="6" s="1"/>
  <c r="W2" i="6"/>
  <c r="W3" i="6"/>
  <c r="U5" i="6"/>
  <c r="V5" i="6" s="1"/>
  <c r="R5" i="6"/>
  <c r="S5" i="6" s="1"/>
  <c r="Q7" i="6"/>
  <c r="R7" i="6" s="1"/>
  <c r="S7" i="6" s="1"/>
  <c r="Q6" i="6"/>
  <c r="R6" i="6" s="1"/>
  <c r="S6" i="6" s="1"/>
  <c r="K4" i="6"/>
  <c r="H4" i="6"/>
  <c r="H5" i="6"/>
  <c r="K5" i="6"/>
  <c r="U4" i="6"/>
  <c r="V4" i="6" s="1"/>
  <c r="W5" i="6"/>
  <c r="R4" i="6"/>
  <c r="S4" i="6" s="1"/>
  <c r="W4" i="6"/>
  <c r="K9" i="6"/>
  <c r="Q9" i="6"/>
  <c r="R9" i="6" s="1"/>
  <c r="S9" i="6" s="1"/>
  <c r="Q8" i="6"/>
  <c r="K7" i="6"/>
  <c r="K6" i="6"/>
  <c r="U7" i="6"/>
  <c r="V7" i="6" s="1"/>
  <c r="H7" i="6"/>
  <c r="U6" i="6"/>
  <c r="V6" i="6" s="1"/>
  <c r="H6" i="6"/>
  <c r="Q27" i="6"/>
  <c r="R27" i="6" s="1"/>
  <c r="S27" i="6" s="1"/>
  <c r="Q19" i="6"/>
  <c r="R19" i="6" s="1"/>
  <c r="S19" i="6" s="1"/>
  <c r="K8" i="6"/>
  <c r="U9" i="6"/>
  <c r="V9" i="6" s="1"/>
  <c r="K26" i="6"/>
  <c r="K10" i="6"/>
  <c r="Q25" i="6"/>
  <c r="W25" i="6" s="1"/>
  <c r="Q21" i="6"/>
  <c r="R21" i="6" s="1"/>
  <c r="S21" i="6" s="1"/>
  <c r="Q13" i="6"/>
  <c r="W13" i="6" s="1"/>
  <c r="H9" i="6"/>
  <c r="Q15" i="6"/>
  <c r="R15" i="6" s="1"/>
  <c r="S15" i="6" s="1"/>
  <c r="Q11" i="6"/>
  <c r="R11" i="6" s="1"/>
  <c r="S11" i="6" s="1"/>
  <c r="Q31" i="6"/>
  <c r="W31" i="6" s="1"/>
  <c r="U8" i="6"/>
  <c r="V8" i="6" s="1"/>
  <c r="Q29" i="6"/>
  <c r="R29" i="6" s="1"/>
  <c r="S29" i="6" s="1"/>
  <c r="U33" i="6"/>
  <c r="V33" i="6" s="1"/>
  <c r="K22" i="6"/>
  <c r="Q34" i="6"/>
  <c r="R34" i="6" s="1"/>
  <c r="S34" i="6" s="1"/>
  <c r="K34" i="6"/>
  <c r="K18" i="6"/>
  <c r="U35" i="6"/>
  <c r="V35" i="6" s="1"/>
  <c r="K30" i="6"/>
  <c r="Q23" i="6"/>
  <c r="R23" i="6" s="1"/>
  <c r="S23" i="6" s="1"/>
  <c r="Q17" i="6"/>
  <c r="W17" i="6" s="1"/>
  <c r="K14" i="6"/>
  <c r="K32" i="6"/>
  <c r="K24" i="6"/>
  <c r="K20" i="6"/>
  <c r="K16" i="6"/>
  <c r="K12" i="6"/>
  <c r="K27" i="6"/>
  <c r="K28" i="6"/>
  <c r="K35" i="6"/>
  <c r="K33" i="6"/>
  <c r="K31" i="6"/>
  <c r="K29" i="6"/>
  <c r="K25" i="6"/>
  <c r="K23" i="6"/>
  <c r="K21" i="6"/>
  <c r="K17" i="6"/>
  <c r="K15" i="6"/>
  <c r="K13" i="6"/>
  <c r="K11" i="6"/>
  <c r="H32" i="6"/>
  <c r="H30" i="6"/>
  <c r="H28" i="6"/>
  <c r="H26" i="6"/>
  <c r="H24" i="6"/>
  <c r="H22" i="6"/>
  <c r="H20" i="6"/>
  <c r="H18" i="6"/>
  <c r="H16" i="6"/>
  <c r="H14" i="6"/>
  <c r="H12" i="6"/>
  <c r="Q10" i="6"/>
  <c r="R31" i="6"/>
  <c r="S31" i="6" s="1"/>
  <c r="H10" i="6"/>
  <c r="Q35" i="6"/>
  <c r="R35" i="6" s="1"/>
  <c r="S35" i="6" s="1"/>
  <c r="H34" i="6"/>
  <c r="Q32" i="6"/>
  <c r="W32" i="6" s="1"/>
  <c r="U30" i="6"/>
  <c r="V30" i="6" s="1"/>
  <c r="U28" i="6"/>
  <c r="V28" i="6" s="1"/>
  <c r="U26" i="6"/>
  <c r="V26" i="6" s="1"/>
  <c r="U24" i="6"/>
  <c r="V24" i="6" s="1"/>
  <c r="U22" i="6"/>
  <c r="V22" i="6" s="1"/>
  <c r="U20" i="6"/>
  <c r="V20" i="6" s="1"/>
  <c r="U18" i="6"/>
  <c r="V18" i="6" s="1"/>
  <c r="U16" i="6"/>
  <c r="V16" i="6" s="1"/>
  <c r="U14" i="6"/>
  <c r="V14" i="6" s="1"/>
  <c r="U12" i="6"/>
  <c r="V12" i="6" s="1"/>
  <c r="U31" i="6"/>
  <c r="V31" i="6" s="1"/>
  <c r="U29" i="6"/>
  <c r="V29" i="6" s="1"/>
  <c r="U27" i="6"/>
  <c r="V27" i="6" s="1"/>
  <c r="U25" i="6"/>
  <c r="V25" i="6" s="1"/>
  <c r="U23" i="6"/>
  <c r="V23" i="6" s="1"/>
  <c r="U21" i="6"/>
  <c r="V21" i="6" s="1"/>
  <c r="U19" i="6"/>
  <c r="V19" i="6" s="1"/>
  <c r="U17" i="6"/>
  <c r="V17" i="6" s="1"/>
  <c r="U15" i="6"/>
  <c r="V15" i="6" s="1"/>
  <c r="U13" i="6"/>
  <c r="V13" i="6" s="1"/>
  <c r="U11" i="6"/>
  <c r="V11" i="6" s="1"/>
  <c r="W27" i="6"/>
  <c r="H35" i="6"/>
  <c r="U34" i="6"/>
  <c r="V34" i="6" s="1"/>
  <c r="Q33" i="6"/>
  <c r="H33" i="6"/>
  <c r="U32" i="6"/>
  <c r="V32" i="6" s="1"/>
  <c r="Q30" i="6"/>
  <c r="R30" i="6" s="1"/>
  <c r="S30" i="6" s="1"/>
  <c r="Q28" i="6"/>
  <c r="R28" i="6" s="1"/>
  <c r="S28" i="6" s="1"/>
  <c r="Q26" i="6"/>
  <c r="R26" i="6" s="1"/>
  <c r="S26" i="6" s="1"/>
  <c r="Q24" i="6"/>
  <c r="R24" i="6" s="1"/>
  <c r="S24" i="6" s="1"/>
  <c r="Q22" i="6"/>
  <c r="R22" i="6" s="1"/>
  <c r="S22" i="6" s="1"/>
  <c r="Q20" i="6"/>
  <c r="R20" i="6" s="1"/>
  <c r="S20" i="6" s="1"/>
  <c r="Q18" i="6"/>
  <c r="R18" i="6" s="1"/>
  <c r="S18" i="6" s="1"/>
  <c r="Q16" i="6"/>
  <c r="R16" i="6" s="1"/>
  <c r="S16" i="6" s="1"/>
  <c r="Q14" i="6"/>
  <c r="R14" i="6" s="1"/>
  <c r="S14" i="6" s="1"/>
  <c r="Q12" i="6"/>
  <c r="R12" i="6" s="1"/>
  <c r="S12" i="6" s="1"/>
  <c r="U10" i="6"/>
  <c r="V10" i="6" s="1"/>
  <c r="H29" i="6"/>
  <c r="H15" i="6"/>
  <c r="H13" i="6"/>
  <c r="H11" i="6"/>
  <c r="H31" i="6"/>
  <c r="H27" i="6"/>
  <c r="H25" i="6"/>
  <c r="H23" i="6"/>
  <c r="H21" i="6"/>
  <c r="H19" i="6"/>
  <c r="H17" i="6"/>
  <c r="AA37" i="6"/>
  <c r="AB37" i="6"/>
  <c r="AA36" i="6"/>
  <c r="N45" i="3"/>
  <c r="P36" i="6"/>
  <c r="O36" i="6"/>
  <c r="N36" i="6"/>
  <c r="M36" i="6"/>
  <c r="J36" i="6"/>
  <c r="I36" i="6"/>
  <c r="K171" i="8"/>
  <c r="L171" i="8"/>
  <c r="M171" i="8"/>
  <c r="N171" i="8"/>
  <c r="K172" i="8"/>
  <c r="L172" i="8"/>
  <c r="M172" i="8"/>
  <c r="N172" i="8"/>
  <c r="K173" i="8"/>
  <c r="L173" i="8"/>
  <c r="M173" i="8"/>
  <c r="N173" i="8"/>
  <c r="K174" i="8"/>
  <c r="L174" i="8"/>
  <c r="M174" i="8"/>
  <c r="N174" i="8"/>
  <c r="K175" i="8"/>
  <c r="L175" i="8"/>
  <c r="M175" i="8"/>
  <c r="N175" i="8"/>
  <c r="K176" i="8"/>
  <c r="L176" i="8"/>
  <c r="M176" i="8"/>
  <c r="N176" i="8"/>
  <c r="K177" i="8"/>
  <c r="L177" i="8"/>
  <c r="M177" i="8"/>
  <c r="N177" i="8"/>
  <c r="K178" i="8"/>
  <c r="L178" i="8"/>
  <c r="M178" i="8"/>
  <c r="N178" i="8"/>
  <c r="K179" i="8"/>
  <c r="L179" i="8"/>
  <c r="M179" i="8"/>
  <c r="N179" i="8"/>
  <c r="K180" i="8"/>
  <c r="L180" i="8"/>
  <c r="M180" i="8"/>
  <c r="N180" i="8"/>
  <c r="K181" i="8"/>
  <c r="L181" i="8"/>
  <c r="M181" i="8"/>
  <c r="N181" i="8"/>
  <c r="K182" i="8"/>
  <c r="L182" i="8"/>
  <c r="M182" i="8"/>
  <c r="N182" i="8"/>
  <c r="K183" i="8"/>
  <c r="L183" i="8"/>
  <c r="M183" i="8"/>
  <c r="N183" i="8"/>
  <c r="K184" i="8"/>
  <c r="L184" i="8"/>
  <c r="M184" i="8"/>
  <c r="N184" i="8"/>
  <c r="K185" i="8"/>
  <c r="L185" i="8"/>
  <c r="M185" i="8"/>
  <c r="N185" i="8"/>
  <c r="K186" i="8"/>
  <c r="L186" i="8"/>
  <c r="M186" i="8"/>
  <c r="N186" i="8"/>
  <c r="K187" i="8"/>
  <c r="L187" i="8"/>
  <c r="M187" i="8"/>
  <c r="N187" i="8"/>
  <c r="K188" i="8"/>
  <c r="L188" i="8"/>
  <c r="M188" i="8"/>
  <c r="N188" i="8"/>
  <c r="K189" i="8"/>
  <c r="L189" i="8"/>
  <c r="M189" i="8"/>
  <c r="N189" i="8"/>
  <c r="K190" i="8"/>
  <c r="L190" i="8"/>
  <c r="M190" i="8"/>
  <c r="N190" i="8"/>
  <c r="K191" i="8"/>
  <c r="L191" i="8"/>
  <c r="M191" i="8"/>
  <c r="N191" i="8"/>
  <c r="K192" i="8"/>
  <c r="L192" i="8"/>
  <c r="M192" i="8"/>
  <c r="N192" i="8"/>
  <c r="K193" i="8"/>
  <c r="L193" i="8"/>
  <c r="M193" i="8"/>
  <c r="N193" i="8"/>
  <c r="K194" i="8"/>
  <c r="L194" i="8"/>
  <c r="M194" i="8"/>
  <c r="N194" i="8"/>
  <c r="K195" i="8"/>
  <c r="L195" i="8"/>
  <c r="M195" i="8"/>
  <c r="N195" i="8"/>
  <c r="K196" i="8"/>
  <c r="L196" i="8"/>
  <c r="M196" i="8"/>
  <c r="N196" i="8"/>
  <c r="K197" i="8"/>
  <c r="L197" i="8"/>
  <c r="M197" i="8"/>
  <c r="N197" i="8"/>
  <c r="K198" i="8"/>
  <c r="L198" i="8"/>
  <c r="M198" i="8"/>
  <c r="N198" i="8"/>
  <c r="K199" i="8"/>
  <c r="L199" i="8"/>
  <c r="M199" i="8"/>
  <c r="N199" i="8"/>
  <c r="K200" i="8"/>
  <c r="L200" i="8"/>
  <c r="M200" i="8"/>
  <c r="N200" i="8"/>
  <c r="K201" i="8"/>
  <c r="L201" i="8"/>
  <c r="M201" i="8"/>
  <c r="N201" i="8"/>
  <c r="K202" i="8"/>
  <c r="L202" i="8"/>
  <c r="M202" i="8"/>
  <c r="N202" i="8"/>
  <c r="K203" i="8"/>
  <c r="L203" i="8"/>
  <c r="M203" i="8"/>
  <c r="N203" i="8"/>
  <c r="K204" i="8"/>
  <c r="L204" i="8"/>
  <c r="M204" i="8"/>
  <c r="N204" i="8"/>
  <c r="K205" i="8"/>
  <c r="L205" i="8"/>
  <c r="M205" i="8"/>
  <c r="N205" i="8"/>
  <c r="K206" i="8"/>
  <c r="L206" i="8"/>
  <c r="M206" i="8"/>
  <c r="N206" i="8"/>
  <c r="K207" i="8"/>
  <c r="L207" i="8"/>
  <c r="M207" i="8"/>
  <c r="N207" i="8"/>
  <c r="K208" i="8"/>
  <c r="L208" i="8"/>
  <c r="M208" i="8"/>
  <c r="N208" i="8"/>
  <c r="K209" i="8"/>
  <c r="L209" i="8"/>
  <c r="M209" i="8"/>
  <c r="N209" i="8"/>
  <c r="K210" i="8"/>
  <c r="L210" i="8"/>
  <c r="M210" i="8"/>
  <c r="N210" i="8"/>
  <c r="K211" i="8"/>
  <c r="L211" i="8"/>
  <c r="M211" i="8"/>
  <c r="N211" i="8"/>
  <c r="K212" i="8"/>
  <c r="L212" i="8"/>
  <c r="M212" i="8"/>
  <c r="N212" i="8"/>
  <c r="K213" i="8"/>
  <c r="L213" i="8"/>
  <c r="M213" i="8"/>
  <c r="N213" i="8"/>
  <c r="K214" i="8"/>
  <c r="L214" i="8"/>
  <c r="M214" i="8"/>
  <c r="N214" i="8"/>
  <c r="K215" i="8"/>
  <c r="L215" i="8"/>
  <c r="M215" i="8"/>
  <c r="N215" i="8"/>
  <c r="K216" i="8"/>
  <c r="L216" i="8"/>
  <c r="M216" i="8"/>
  <c r="N216" i="8"/>
  <c r="K217" i="8"/>
  <c r="L217" i="8"/>
  <c r="M217" i="8"/>
  <c r="N217" i="8"/>
  <c r="K218" i="8"/>
  <c r="L218" i="8"/>
  <c r="M218" i="8"/>
  <c r="N218" i="8"/>
  <c r="K219" i="8"/>
  <c r="L219" i="8"/>
  <c r="M219" i="8"/>
  <c r="N219" i="8"/>
  <c r="K220" i="8"/>
  <c r="L220" i="8"/>
  <c r="M220" i="8"/>
  <c r="N220" i="8"/>
  <c r="K221" i="8"/>
  <c r="L221" i="8"/>
  <c r="M221" i="8"/>
  <c r="N221" i="8"/>
  <c r="K222" i="8"/>
  <c r="L222" i="8"/>
  <c r="M222" i="8"/>
  <c r="N222" i="8"/>
  <c r="K223" i="8"/>
  <c r="L223" i="8"/>
  <c r="M223" i="8"/>
  <c r="N223" i="8"/>
  <c r="K224" i="8"/>
  <c r="L224" i="8"/>
  <c r="M224" i="8"/>
  <c r="N224" i="8"/>
  <c r="K225" i="8"/>
  <c r="L225" i="8"/>
  <c r="M225" i="8"/>
  <c r="N225" i="8"/>
  <c r="K226" i="8"/>
  <c r="L226" i="8"/>
  <c r="M226" i="8"/>
  <c r="N226" i="8"/>
  <c r="K227" i="8"/>
  <c r="L227" i="8"/>
  <c r="M227" i="8"/>
  <c r="N227" i="8"/>
  <c r="K228" i="8"/>
  <c r="L228" i="8"/>
  <c r="M228" i="8"/>
  <c r="N228" i="8"/>
  <c r="K229" i="8"/>
  <c r="L229" i="8"/>
  <c r="M229" i="8"/>
  <c r="N229" i="8"/>
  <c r="K230" i="8"/>
  <c r="L230" i="8"/>
  <c r="M230" i="8"/>
  <c r="N230" i="8"/>
  <c r="K231" i="8"/>
  <c r="L231" i="8"/>
  <c r="M231" i="8"/>
  <c r="N231" i="8"/>
  <c r="K232" i="8"/>
  <c r="L232" i="8"/>
  <c r="M232" i="8"/>
  <c r="N232" i="8"/>
  <c r="K233" i="8"/>
  <c r="L233" i="8"/>
  <c r="M233" i="8"/>
  <c r="N233" i="8"/>
  <c r="K234" i="8"/>
  <c r="L234" i="8"/>
  <c r="M234" i="8"/>
  <c r="N234" i="8"/>
  <c r="K235" i="8"/>
  <c r="L235" i="8"/>
  <c r="M235" i="8"/>
  <c r="N235" i="8"/>
  <c r="K236" i="8"/>
  <c r="L236" i="8"/>
  <c r="M236" i="8"/>
  <c r="N236" i="8"/>
  <c r="K237" i="8"/>
  <c r="L237" i="8"/>
  <c r="M237" i="8"/>
  <c r="N237" i="8"/>
  <c r="K238" i="8"/>
  <c r="L238" i="8"/>
  <c r="M238" i="8"/>
  <c r="N238" i="8"/>
  <c r="K239" i="8"/>
  <c r="L239" i="8"/>
  <c r="M239" i="8"/>
  <c r="N239" i="8"/>
  <c r="K240" i="8"/>
  <c r="L240" i="8"/>
  <c r="M240" i="8"/>
  <c r="N240" i="8"/>
  <c r="K241" i="8"/>
  <c r="L241" i="8"/>
  <c r="M241" i="8"/>
  <c r="N241" i="8"/>
  <c r="K242" i="8"/>
  <c r="L242" i="8"/>
  <c r="M242" i="8"/>
  <c r="N242" i="8"/>
  <c r="K243" i="8"/>
  <c r="L243" i="8"/>
  <c r="M243" i="8"/>
  <c r="N243" i="8"/>
  <c r="K244" i="8"/>
  <c r="L244" i="8"/>
  <c r="M244" i="8"/>
  <c r="N244" i="8"/>
  <c r="K245" i="8"/>
  <c r="L245" i="8"/>
  <c r="M245" i="8"/>
  <c r="N245" i="8"/>
  <c r="K246" i="8"/>
  <c r="L246" i="8"/>
  <c r="M246" i="8"/>
  <c r="N246" i="8"/>
  <c r="K247" i="8"/>
  <c r="L247" i="8"/>
  <c r="M247" i="8"/>
  <c r="N247" i="8"/>
  <c r="K248" i="8"/>
  <c r="L248" i="8"/>
  <c r="M248" i="8"/>
  <c r="N248" i="8"/>
  <c r="K249" i="8"/>
  <c r="L249" i="8"/>
  <c r="M249" i="8"/>
  <c r="N249" i="8"/>
  <c r="K250" i="8"/>
  <c r="L250" i="8"/>
  <c r="M250" i="8"/>
  <c r="N250" i="8"/>
  <c r="K251" i="8"/>
  <c r="L251" i="8"/>
  <c r="M251" i="8"/>
  <c r="N251" i="8"/>
  <c r="K252" i="8"/>
  <c r="L252" i="8"/>
  <c r="M252" i="8"/>
  <c r="N252" i="8"/>
  <c r="K253" i="8"/>
  <c r="L253" i="8"/>
  <c r="M253" i="8"/>
  <c r="N253" i="8"/>
  <c r="K254" i="8"/>
  <c r="L254" i="8"/>
  <c r="M254" i="8"/>
  <c r="N254" i="8"/>
  <c r="K255" i="8"/>
  <c r="L255" i="8"/>
  <c r="M255" i="8"/>
  <c r="N255" i="8"/>
  <c r="K256" i="8"/>
  <c r="L256" i="8"/>
  <c r="M256" i="8"/>
  <c r="N256" i="8"/>
  <c r="K257" i="8"/>
  <c r="L257" i="8"/>
  <c r="M257" i="8"/>
  <c r="N257" i="8"/>
  <c r="K258" i="8"/>
  <c r="L258" i="8"/>
  <c r="M258" i="8"/>
  <c r="N258" i="8"/>
  <c r="K259" i="8"/>
  <c r="L259" i="8"/>
  <c r="M259" i="8"/>
  <c r="N259" i="8"/>
  <c r="K260" i="8"/>
  <c r="L260" i="8"/>
  <c r="M260" i="8"/>
  <c r="N260" i="8"/>
  <c r="K261" i="8"/>
  <c r="L261" i="8"/>
  <c r="M261" i="8"/>
  <c r="N261" i="8"/>
  <c r="K262" i="8"/>
  <c r="L262" i="8"/>
  <c r="M262" i="8"/>
  <c r="N262" i="8"/>
  <c r="K263" i="8"/>
  <c r="L263" i="8"/>
  <c r="M263" i="8"/>
  <c r="N263" i="8"/>
  <c r="K264" i="8"/>
  <c r="L264" i="8"/>
  <c r="M264" i="8"/>
  <c r="N264" i="8"/>
  <c r="K265" i="8"/>
  <c r="L265" i="8"/>
  <c r="M265" i="8"/>
  <c r="N265" i="8"/>
  <c r="K266" i="8"/>
  <c r="L266" i="8"/>
  <c r="M266" i="8"/>
  <c r="N266" i="8"/>
  <c r="K267" i="8"/>
  <c r="L267" i="8"/>
  <c r="M267" i="8"/>
  <c r="N267" i="8"/>
  <c r="K268" i="8"/>
  <c r="L268" i="8"/>
  <c r="M268" i="8"/>
  <c r="N268" i="8"/>
  <c r="K269" i="8"/>
  <c r="L269" i="8"/>
  <c r="M269" i="8"/>
  <c r="N269" i="8"/>
  <c r="K270" i="8"/>
  <c r="L270" i="8"/>
  <c r="M270" i="8"/>
  <c r="N270" i="8"/>
  <c r="K271" i="8"/>
  <c r="L271" i="8"/>
  <c r="M271" i="8"/>
  <c r="N271" i="8"/>
  <c r="K272" i="8"/>
  <c r="L272" i="8"/>
  <c r="M272" i="8"/>
  <c r="N272" i="8"/>
  <c r="K273" i="8"/>
  <c r="L273" i="8"/>
  <c r="M273" i="8"/>
  <c r="N273" i="8"/>
  <c r="K274" i="8"/>
  <c r="L274" i="8"/>
  <c r="M274" i="8"/>
  <c r="N274" i="8"/>
  <c r="K275" i="8"/>
  <c r="L275" i="8"/>
  <c r="M275" i="8"/>
  <c r="N275" i="8"/>
  <c r="K276" i="8"/>
  <c r="L276" i="8"/>
  <c r="M276" i="8"/>
  <c r="N276" i="8"/>
  <c r="K277" i="8"/>
  <c r="L277" i="8"/>
  <c r="M277" i="8"/>
  <c r="N277" i="8"/>
  <c r="K278" i="8"/>
  <c r="L278" i="8"/>
  <c r="M278" i="8"/>
  <c r="N278" i="8"/>
  <c r="K286" i="8"/>
  <c r="H288" i="8"/>
  <c r="K288" i="8" s="1"/>
  <c r="K292" i="8"/>
  <c r="N298" i="8"/>
  <c r="K279" i="8"/>
  <c r="L279" i="8"/>
  <c r="M279" i="8"/>
  <c r="N279" i="8"/>
  <c r="K280" i="8"/>
  <c r="L280" i="8"/>
  <c r="M280" i="8"/>
  <c r="N280" i="8"/>
  <c r="K281" i="8"/>
  <c r="L281" i="8"/>
  <c r="M281" i="8"/>
  <c r="N281" i="8"/>
  <c r="K282" i="8"/>
  <c r="L282" i="8"/>
  <c r="M282" i="8"/>
  <c r="N282" i="8"/>
  <c r="K283" i="8"/>
  <c r="L283" i="8"/>
  <c r="M283" i="8"/>
  <c r="N283" i="8"/>
  <c r="K284" i="8"/>
  <c r="L284" i="8"/>
  <c r="M284" i="8"/>
  <c r="N284" i="8"/>
  <c r="K285" i="8"/>
  <c r="L285" i="8"/>
  <c r="M285" i="8"/>
  <c r="N285" i="8"/>
  <c r="L286" i="8"/>
  <c r="M286" i="8"/>
  <c r="N286" i="8"/>
  <c r="K287" i="8"/>
  <c r="L287" i="8"/>
  <c r="M287" i="8"/>
  <c r="N287" i="8"/>
  <c r="L288" i="8"/>
  <c r="M288" i="8"/>
  <c r="K289" i="8"/>
  <c r="L289" i="8"/>
  <c r="M289" i="8"/>
  <c r="N289" i="8"/>
  <c r="K290" i="8"/>
  <c r="L290" i="8"/>
  <c r="M290" i="8"/>
  <c r="N290" i="8"/>
  <c r="K291" i="8"/>
  <c r="L291" i="8"/>
  <c r="M291" i="8"/>
  <c r="N291" i="8"/>
  <c r="L292" i="8"/>
  <c r="M292" i="8"/>
  <c r="N292" i="8"/>
  <c r="K293" i="8"/>
  <c r="L293" i="8"/>
  <c r="M293" i="8"/>
  <c r="N293" i="8"/>
  <c r="K294" i="8"/>
  <c r="L294" i="8"/>
  <c r="M294" i="8"/>
  <c r="N294" i="8"/>
  <c r="K295" i="8"/>
  <c r="L295" i="8"/>
  <c r="M295" i="8"/>
  <c r="N295" i="8"/>
  <c r="K296" i="8"/>
  <c r="L296" i="8"/>
  <c r="M296" i="8"/>
  <c r="N296" i="8"/>
  <c r="K297" i="8"/>
  <c r="L297" i="8"/>
  <c r="M297" i="8"/>
  <c r="N297" i="8"/>
  <c r="L298" i="8"/>
  <c r="M298" i="8"/>
  <c r="K299" i="8"/>
  <c r="L299" i="8"/>
  <c r="M299" i="8"/>
  <c r="N299" i="8"/>
  <c r="K300" i="8"/>
  <c r="L300" i="8"/>
  <c r="M300" i="8"/>
  <c r="N300" i="8"/>
  <c r="K301" i="8"/>
  <c r="L301" i="8"/>
  <c r="M301" i="8"/>
  <c r="N301" i="8"/>
  <c r="K302" i="8"/>
  <c r="L302" i="8"/>
  <c r="M302" i="8"/>
  <c r="N302" i="8"/>
  <c r="K303" i="8"/>
  <c r="L303" i="8"/>
  <c r="M303" i="8"/>
  <c r="N303" i="8"/>
  <c r="K304" i="8"/>
  <c r="L304" i="8"/>
  <c r="M304" i="8"/>
  <c r="N304" i="8"/>
  <c r="T36" i="6"/>
  <c r="T37" i="6"/>
  <c r="P37" i="6"/>
  <c r="O37" i="6"/>
  <c r="N37" i="6"/>
  <c r="M37" i="6"/>
  <c r="L37" i="6"/>
  <c r="L36" i="6"/>
  <c r="J37" i="6"/>
  <c r="I37" i="6"/>
  <c r="G36" i="6"/>
  <c r="G37" i="6"/>
  <c r="W9" i="6" l="1"/>
  <c r="R13" i="6"/>
  <c r="S13" i="6" s="1"/>
  <c r="W7" i="6"/>
  <c r="W6" i="6"/>
  <c r="R10" i="6"/>
  <c r="S10" i="6" s="1"/>
  <c r="W8" i="6"/>
  <c r="R8" i="6"/>
  <c r="S8" i="6" s="1"/>
  <c r="W19" i="6"/>
  <c r="W21" i="6"/>
  <c r="W11" i="6"/>
  <c r="R25" i="6"/>
  <c r="S25" i="6" s="1"/>
  <c r="W23" i="6"/>
  <c r="W15" i="6"/>
  <c r="W35" i="6"/>
  <c r="W34" i="6"/>
  <c r="W29" i="6"/>
  <c r="R17" i="6"/>
  <c r="S17" i="6" s="1"/>
  <c r="R32" i="6"/>
  <c r="S32" i="6" s="1"/>
  <c r="W26" i="6"/>
  <c r="W10" i="6"/>
  <c r="W24" i="6"/>
  <c r="W18" i="6"/>
  <c r="R33" i="6"/>
  <c r="S33" i="6" s="1"/>
  <c r="W33" i="6"/>
  <c r="W12" i="6"/>
  <c r="W30" i="6"/>
  <c r="W20" i="6"/>
  <c r="W14" i="6"/>
  <c r="W28" i="6"/>
  <c r="W22" i="6"/>
  <c r="W16" i="6"/>
  <c r="AB36" i="6"/>
  <c r="H36" i="6"/>
  <c r="N288" i="8"/>
  <c r="K298" i="8"/>
  <c r="H37" i="6"/>
  <c r="X37" i="6" l="1"/>
  <c r="X36" i="6"/>
  <c r="O63" i="3"/>
  <c r="M63" i="3"/>
  <c r="O62" i="3"/>
  <c r="M62" i="3"/>
  <c r="N62" i="3" l="1"/>
  <c r="K36" i="6"/>
  <c r="N63" i="3"/>
  <c r="K37" i="6"/>
  <c r="Q37" i="6"/>
  <c r="R37" i="6" s="1"/>
  <c r="U36" i="6"/>
  <c r="V36" i="6" s="1"/>
  <c r="Q36" i="6"/>
  <c r="U37" i="6"/>
  <c r="H22" i="1"/>
  <c r="O665" i="8"/>
  <c r="N665" i="8"/>
  <c r="M665" i="8"/>
  <c r="L665" i="8"/>
  <c r="K665" i="8"/>
  <c r="O664" i="8"/>
  <c r="N664" i="8"/>
  <c r="M664" i="8"/>
  <c r="L664" i="8"/>
  <c r="K664" i="8"/>
  <c r="O663" i="8"/>
  <c r="N663" i="8"/>
  <c r="M663" i="8"/>
  <c r="L663" i="8"/>
  <c r="K663" i="8"/>
  <c r="O662" i="8"/>
  <c r="N662" i="8"/>
  <c r="M662" i="8"/>
  <c r="L662" i="8"/>
  <c r="K662" i="8"/>
  <c r="O661" i="8"/>
  <c r="N661" i="8"/>
  <c r="M661" i="8"/>
  <c r="L661" i="8"/>
  <c r="K661" i="8"/>
  <c r="O660" i="8"/>
  <c r="N660" i="8"/>
  <c r="M660" i="8"/>
  <c r="L660" i="8"/>
  <c r="K660" i="8"/>
  <c r="O659" i="8"/>
  <c r="N659" i="8"/>
  <c r="M659" i="8"/>
  <c r="L659" i="8"/>
  <c r="K659" i="8"/>
  <c r="O658" i="8"/>
  <c r="N658" i="8"/>
  <c r="M658" i="8"/>
  <c r="L658" i="8"/>
  <c r="K658" i="8"/>
  <c r="O657" i="8"/>
  <c r="N657" i="8"/>
  <c r="M657" i="8"/>
  <c r="L657" i="8"/>
  <c r="K657" i="8"/>
  <c r="O656" i="8"/>
  <c r="N656" i="8"/>
  <c r="M656" i="8"/>
  <c r="L656" i="8"/>
  <c r="K656" i="8"/>
  <c r="O655" i="8"/>
  <c r="N655" i="8"/>
  <c r="M655" i="8"/>
  <c r="L655" i="8"/>
  <c r="K655" i="8"/>
  <c r="O654" i="8"/>
  <c r="N654" i="8"/>
  <c r="M654" i="8"/>
  <c r="L654" i="8"/>
  <c r="K654" i="8"/>
  <c r="O653" i="8"/>
  <c r="N653" i="8"/>
  <c r="M653" i="8"/>
  <c r="L653" i="8"/>
  <c r="K653" i="8"/>
  <c r="O652" i="8"/>
  <c r="N652" i="8"/>
  <c r="M652" i="8"/>
  <c r="L652" i="8"/>
  <c r="K652" i="8"/>
  <c r="O651" i="8"/>
  <c r="N651" i="8"/>
  <c r="M651" i="8"/>
  <c r="L651" i="8"/>
  <c r="K651" i="8"/>
  <c r="N650" i="8"/>
  <c r="M650" i="8"/>
  <c r="L650" i="8"/>
  <c r="K650" i="8"/>
  <c r="N649" i="8"/>
  <c r="M649" i="8"/>
  <c r="L649" i="8"/>
  <c r="K649" i="8"/>
  <c r="N648" i="8"/>
  <c r="M648" i="8"/>
  <c r="L648" i="8"/>
  <c r="K648" i="8"/>
  <c r="N647" i="8"/>
  <c r="M647" i="8"/>
  <c r="L647" i="8"/>
  <c r="K647" i="8"/>
  <c r="N646" i="8"/>
  <c r="M646" i="8"/>
  <c r="L646" i="8"/>
  <c r="K646" i="8"/>
  <c r="X645" i="8"/>
  <c r="W645" i="8"/>
  <c r="V645" i="8"/>
  <c r="U645" i="8"/>
  <c r="N645" i="8"/>
  <c r="M645" i="8"/>
  <c r="L645" i="8"/>
  <c r="K645" i="8"/>
  <c r="X644" i="8"/>
  <c r="W644" i="8"/>
  <c r="V644" i="8"/>
  <c r="U644" i="8"/>
  <c r="N644" i="8"/>
  <c r="M644" i="8"/>
  <c r="L644" i="8"/>
  <c r="K644" i="8"/>
  <c r="X643" i="8"/>
  <c r="W643" i="8"/>
  <c r="V643" i="8"/>
  <c r="U643" i="8"/>
  <c r="N643" i="8"/>
  <c r="Y643" i="8" s="1"/>
  <c r="M643" i="8"/>
  <c r="L643" i="8"/>
  <c r="K643" i="8"/>
  <c r="X642" i="8"/>
  <c r="W642" i="8"/>
  <c r="V642" i="8"/>
  <c r="U642" i="8"/>
  <c r="N642" i="8"/>
  <c r="Y642" i="8" s="1"/>
  <c r="M642" i="8"/>
  <c r="L642" i="8"/>
  <c r="K642" i="8"/>
  <c r="X641" i="8"/>
  <c r="W641" i="8"/>
  <c r="V641" i="8"/>
  <c r="U641" i="8"/>
  <c r="N641" i="8"/>
  <c r="Y641" i="8" s="1"/>
  <c r="M641" i="8"/>
  <c r="L641" i="8"/>
  <c r="K641" i="8"/>
  <c r="X640" i="8"/>
  <c r="W640" i="8"/>
  <c r="V640" i="8"/>
  <c r="U640" i="8"/>
  <c r="S640" i="8"/>
  <c r="N640" i="8"/>
  <c r="M640" i="8"/>
  <c r="L640" i="8"/>
  <c r="K640" i="8"/>
  <c r="X639" i="8"/>
  <c r="W639" i="8"/>
  <c r="V639" i="8"/>
  <c r="U639" i="8"/>
  <c r="N639" i="8"/>
  <c r="Y639" i="8" s="1"/>
  <c r="M639" i="8"/>
  <c r="L639" i="8"/>
  <c r="K639" i="8"/>
  <c r="X638" i="8"/>
  <c r="W638" i="8"/>
  <c r="V638" i="8"/>
  <c r="U638" i="8"/>
  <c r="N638" i="8"/>
  <c r="Y638" i="8" s="1"/>
  <c r="M638" i="8"/>
  <c r="L638" i="8"/>
  <c r="K638" i="8"/>
  <c r="X637" i="8"/>
  <c r="W637" i="8"/>
  <c r="V637" i="8"/>
  <c r="U637" i="8"/>
  <c r="N637" i="8"/>
  <c r="Y637" i="8" s="1"/>
  <c r="M637" i="8"/>
  <c r="L637" i="8"/>
  <c r="K637" i="8"/>
  <c r="X636" i="8"/>
  <c r="W636" i="8"/>
  <c r="V636" i="8"/>
  <c r="U636" i="8"/>
  <c r="N636" i="8"/>
  <c r="Y636" i="8" s="1"/>
  <c r="M636" i="8"/>
  <c r="L636" i="8"/>
  <c r="K636" i="8"/>
  <c r="X635" i="8"/>
  <c r="W635" i="8"/>
  <c r="V635" i="8"/>
  <c r="U635" i="8"/>
  <c r="N635" i="8"/>
  <c r="Y635" i="8" s="1"/>
  <c r="M635" i="8"/>
  <c r="L635" i="8"/>
  <c r="K635" i="8"/>
  <c r="X634" i="8"/>
  <c r="W634" i="8"/>
  <c r="V634" i="8"/>
  <c r="U634" i="8"/>
  <c r="N634" i="8"/>
  <c r="Y634" i="8" s="1"/>
  <c r="M634" i="8"/>
  <c r="L634" i="8"/>
  <c r="K634" i="8"/>
  <c r="X633" i="8"/>
  <c r="W633" i="8"/>
  <c r="V633" i="8"/>
  <c r="U633" i="8"/>
  <c r="N633" i="8"/>
  <c r="Y633" i="8" s="1"/>
  <c r="M633" i="8"/>
  <c r="L633" i="8"/>
  <c r="K633" i="8"/>
  <c r="X632" i="8"/>
  <c r="W632" i="8"/>
  <c r="V632" i="8"/>
  <c r="U632" i="8"/>
  <c r="N632" i="8"/>
  <c r="Y632" i="8" s="1"/>
  <c r="M632" i="8"/>
  <c r="L632" i="8"/>
  <c r="K632" i="8"/>
  <c r="X631" i="8"/>
  <c r="W631" i="8"/>
  <c r="V631" i="8"/>
  <c r="U631" i="8"/>
  <c r="N631" i="8"/>
  <c r="Y631" i="8" s="1"/>
  <c r="M631" i="8"/>
  <c r="L631" i="8"/>
  <c r="K631" i="8"/>
  <c r="X630" i="8"/>
  <c r="W630" i="8"/>
  <c r="V630" i="8"/>
  <c r="U630" i="8"/>
  <c r="N630" i="8"/>
  <c r="Y630" i="8" s="1"/>
  <c r="M630" i="8"/>
  <c r="L630" i="8"/>
  <c r="K630" i="8"/>
  <c r="X629" i="8"/>
  <c r="W629" i="8"/>
  <c r="V629" i="8"/>
  <c r="U629" i="8"/>
  <c r="N629" i="8"/>
  <c r="Y629" i="8" s="1"/>
  <c r="M629" i="8"/>
  <c r="L629" i="8"/>
  <c r="K629" i="8"/>
  <c r="X628" i="8"/>
  <c r="W628" i="8"/>
  <c r="V628" i="8"/>
  <c r="U628" i="8"/>
  <c r="N628" i="8"/>
  <c r="Y628" i="8" s="1"/>
  <c r="M628" i="8"/>
  <c r="L628" i="8"/>
  <c r="K628" i="8"/>
  <c r="X627" i="8"/>
  <c r="W627" i="8"/>
  <c r="V627" i="8"/>
  <c r="U627" i="8"/>
  <c r="N627" i="8"/>
  <c r="Y627" i="8" s="1"/>
  <c r="M627" i="8"/>
  <c r="L627" i="8"/>
  <c r="K627" i="8"/>
  <c r="X626" i="8"/>
  <c r="W626" i="8"/>
  <c r="V626" i="8"/>
  <c r="U626" i="8"/>
  <c r="S626" i="8"/>
  <c r="N626" i="8"/>
  <c r="M626" i="8"/>
  <c r="L626" i="8"/>
  <c r="K626" i="8"/>
  <c r="X625" i="8"/>
  <c r="W625" i="8"/>
  <c r="V625" i="8"/>
  <c r="U625" i="8"/>
  <c r="N625" i="8"/>
  <c r="Y625" i="8" s="1"/>
  <c r="M625" i="8"/>
  <c r="L625" i="8"/>
  <c r="K625" i="8"/>
  <c r="X624" i="8"/>
  <c r="W624" i="8"/>
  <c r="V624" i="8"/>
  <c r="U624" i="8"/>
  <c r="N624" i="8"/>
  <c r="Y624" i="8" s="1"/>
  <c r="M624" i="8"/>
  <c r="L624" i="8"/>
  <c r="K624" i="8"/>
  <c r="X623" i="8"/>
  <c r="W623" i="8"/>
  <c r="V623" i="8"/>
  <c r="U623" i="8"/>
  <c r="N623" i="8"/>
  <c r="Y623" i="8" s="1"/>
  <c r="M623" i="8"/>
  <c r="L623" i="8"/>
  <c r="K623" i="8"/>
  <c r="X622" i="8"/>
  <c r="W622" i="8"/>
  <c r="V622" i="8"/>
  <c r="U622" i="8"/>
  <c r="N622" i="8"/>
  <c r="Y622" i="8" s="1"/>
  <c r="M622" i="8"/>
  <c r="L622" i="8"/>
  <c r="K622" i="8"/>
  <c r="X621" i="8"/>
  <c r="W621" i="8"/>
  <c r="V621" i="8"/>
  <c r="U621" i="8"/>
  <c r="N621" i="8"/>
  <c r="Y621" i="8" s="1"/>
  <c r="M621" i="8"/>
  <c r="L621" i="8"/>
  <c r="K621" i="8"/>
  <c r="X620" i="8"/>
  <c r="W620" i="8"/>
  <c r="V620" i="8"/>
  <c r="U620" i="8"/>
  <c r="N620" i="8"/>
  <c r="Y620" i="8" s="1"/>
  <c r="M620" i="8"/>
  <c r="L620" i="8"/>
  <c r="K620" i="8"/>
  <c r="X619" i="8"/>
  <c r="W619" i="8"/>
  <c r="V619" i="8"/>
  <c r="U619" i="8"/>
  <c r="N619" i="8"/>
  <c r="Y619" i="8" s="1"/>
  <c r="M619" i="8"/>
  <c r="L619" i="8"/>
  <c r="K619" i="8"/>
  <c r="X618" i="8"/>
  <c r="W618" i="8"/>
  <c r="V618" i="8"/>
  <c r="U618" i="8"/>
  <c r="N618" i="8"/>
  <c r="Y618" i="8" s="1"/>
  <c r="M618" i="8"/>
  <c r="L618" i="8"/>
  <c r="K618" i="8"/>
  <c r="X617" i="8"/>
  <c r="W617" i="8"/>
  <c r="V617" i="8"/>
  <c r="U617" i="8"/>
  <c r="N617" i="8"/>
  <c r="Y617" i="8" s="1"/>
  <c r="M617" i="8"/>
  <c r="L617" i="8"/>
  <c r="K617" i="8"/>
  <c r="X616" i="8"/>
  <c r="W616" i="8"/>
  <c r="V616" i="8"/>
  <c r="U616" i="8"/>
  <c r="N616" i="8"/>
  <c r="Y616" i="8" s="1"/>
  <c r="M616" i="8"/>
  <c r="L616" i="8"/>
  <c r="K616" i="8"/>
  <c r="X615" i="8"/>
  <c r="W615" i="8"/>
  <c r="V615" i="8"/>
  <c r="U615" i="8"/>
  <c r="N615" i="8"/>
  <c r="Y615" i="8" s="1"/>
  <c r="M615" i="8"/>
  <c r="L615" i="8"/>
  <c r="K615" i="8"/>
  <c r="X614" i="8"/>
  <c r="W614" i="8"/>
  <c r="V614" i="8"/>
  <c r="U614" i="8"/>
  <c r="N614" i="8"/>
  <c r="Y614" i="8" s="1"/>
  <c r="M614" i="8"/>
  <c r="L614" i="8"/>
  <c r="K614" i="8"/>
  <c r="X613" i="8"/>
  <c r="W613" i="8"/>
  <c r="V613" i="8"/>
  <c r="U613" i="8"/>
  <c r="N613" i="8"/>
  <c r="Y613" i="8" s="1"/>
  <c r="M613" i="8"/>
  <c r="L613" i="8"/>
  <c r="K613" i="8"/>
  <c r="X612" i="8"/>
  <c r="W612" i="8"/>
  <c r="V612" i="8"/>
  <c r="U612" i="8"/>
  <c r="N612" i="8"/>
  <c r="Y612" i="8" s="1"/>
  <c r="M612" i="8"/>
  <c r="L612" i="8"/>
  <c r="K612" i="8"/>
  <c r="X611" i="8"/>
  <c r="W611" i="8"/>
  <c r="V611" i="8"/>
  <c r="U611" i="8"/>
  <c r="N611" i="8"/>
  <c r="Y611" i="8" s="1"/>
  <c r="M611" i="8"/>
  <c r="L611" i="8"/>
  <c r="K611" i="8"/>
  <c r="X610" i="8"/>
  <c r="W610" i="8"/>
  <c r="V610" i="8"/>
  <c r="U610" i="8"/>
  <c r="N610" i="8"/>
  <c r="Y610" i="8" s="1"/>
  <c r="M610" i="8"/>
  <c r="L610" i="8"/>
  <c r="K610" i="8"/>
  <c r="X609" i="8"/>
  <c r="W609" i="8"/>
  <c r="V609" i="8"/>
  <c r="U609" i="8"/>
  <c r="N609" i="8"/>
  <c r="Y609" i="8" s="1"/>
  <c r="M609" i="8"/>
  <c r="L609" i="8"/>
  <c r="K609" i="8"/>
  <c r="X608" i="8"/>
  <c r="W608" i="8"/>
  <c r="V608" i="8"/>
  <c r="U608" i="8"/>
  <c r="N608" i="8"/>
  <c r="Y608" i="8" s="1"/>
  <c r="M608" i="8"/>
  <c r="L608" i="8"/>
  <c r="K608" i="8"/>
  <c r="X607" i="8"/>
  <c r="W607" i="8"/>
  <c r="V607" i="8"/>
  <c r="U607" i="8"/>
  <c r="N607" i="8"/>
  <c r="Y607" i="8" s="1"/>
  <c r="M607" i="8"/>
  <c r="L607" i="8"/>
  <c r="K607" i="8"/>
  <c r="X606" i="8"/>
  <c r="W606" i="8"/>
  <c r="V606" i="8"/>
  <c r="U606" i="8"/>
  <c r="N606" i="8"/>
  <c r="Y606" i="8" s="1"/>
  <c r="M606" i="8"/>
  <c r="L606" i="8"/>
  <c r="K606" i="8"/>
  <c r="X605" i="8"/>
  <c r="W605" i="8"/>
  <c r="V605" i="8"/>
  <c r="U605" i="8"/>
  <c r="N605" i="8"/>
  <c r="Y605" i="8" s="1"/>
  <c r="M605" i="8"/>
  <c r="L605" i="8"/>
  <c r="K605" i="8"/>
  <c r="X604" i="8"/>
  <c r="W604" i="8"/>
  <c r="V604" i="8"/>
  <c r="U604" i="8"/>
  <c r="N604" i="8"/>
  <c r="Y604" i="8" s="1"/>
  <c r="M604" i="8"/>
  <c r="L604" i="8"/>
  <c r="K604" i="8"/>
  <c r="X603" i="8"/>
  <c r="W603" i="8"/>
  <c r="V603" i="8"/>
  <c r="U603" i="8"/>
  <c r="N603" i="8"/>
  <c r="Y603" i="8" s="1"/>
  <c r="M603" i="8"/>
  <c r="L603" i="8"/>
  <c r="K603" i="8"/>
  <c r="X602" i="8"/>
  <c r="W602" i="8"/>
  <c r="V602" i="8"/>
  <c r="U602" i="8"/>
  <c r="N602" i="8"/>
  <c r="Y602" i="8" s="1"/>
  <c r="M602" i="8"/>
  <c r="L602" i="8"/>
  <c r="K602" i="8"/>
  <c r="X601" i="8"/>
  <c r="W601" i="8"/>
  <c r="V601" i="8"/>
  <c r="U601" i="8"/>
  <c r="S601" i="8"/>
  <c r="N601" i="8"/>
  <c r="M601" i="8"/>
  <c r="L601" i="8"/>
  <c r="K601" i="8"/>
  <c r="X600" i="8"/>
  <c r="W600" i="8"/>
  <c r="V600" i="8"/>
  <c r="U600" i="8"/>
  <c r="N600" i="8"/>
  <c r="Y600" i="8" s="1"/>
  <c r="M600" i="8"/>
  <c r="L600" i="8"/>
  <c r="K600" i="8"/>
  <c r="X599" i="8"/>
  <c r="W599" i="8"/>
  <c r="V599" i="8"/>
  <c r="U599" i="8"/>
  <c r="N599" i="8"/>
  <c r="Y599" i="8" s="1"/>
  <c r="M599" i="8"/>
  <c r="L599" i="8"/>
  <c r="K599" i="8"/>
  <c r="X598" i="8"/>
  <c r="W598" i="8"/>
  <c r="V598" i="8"/>
  <c r="U598" i="8"/>
  <c r="N598" i="8"/>
  <c r="Y598" i="8" s="1"/>
  <c r="M598" i="8"/>
  <c r="L598" i="8"/>
  <c r="K598" i="8"/>
  <c r="X597" i="8"/>
  <c r="W597" i="8"/>
  <c r="V597" i="8"/>
  <c r="U597" i="8"/>
  <c r="N597" i="8"/>
  <c r="Y597" i="8" s="1"/>
  <c r="M597" i="8"/>
  <c r="L597" i="8"/>
  <c r="K597" i="8"/>
  <c r="X596" i="8"/>
  <c r="W596" i="8"/>
  <c r="V596" i="8"/>
  <c r="U596" i="8"/>
  <c r="N596" i="8"/>
  <c r="Y596" i="8" s="1"/>
  <c r="M596" i="8"/>
  <c r="L596" i="8"/>
  <c r="K596" i="8"/>
  <c r="X595" i="8"/>
  <c r="W595" i="8"/>
  <c r="V595" i="8"/>
  <c r="U595" i="8"/>
  <c r="N595" i="8"/>
  <c r="Y595" i="8" s="1"/>
  <c r="M595" i="8"/>
  <c r="L595" i="8"/>
  <c r="K595" i="8"/>
  <c r="X594" i="8"/>
  <c r="W594" i="8"/>
  <c r="V594" i="8"/>
  <c r="U594" i="8"/>
  <c r="N594" i="8"/>
  <c r="Y594" i="8" s="1"/>
  <c r="M594" i="8"/>
  <c r="L594" i="8"/>
  <c r="K594" i="8"/>
  <c r="X593" i="8"/>
  <c r="W593" i="8"/>
  <c r="V593" i="8"/>
  <c r="U593" i="8"/>
  <c r="N593" i="8"/>
  <c r="Y593" i="8" s="1"/>
  <c r="M593" i="8"/>
  <c r="L593" i="8"/>
  <c r="K593" i="8"/>
  <c r="X592" i="8"/>
  <c r="W592" i="8"/>
  <c r="V592" i="8"/>
  <c r="U592" i="8"/>
  <c r="N592" i="8"/>
  <c r="Y592" i="8" s="1"/>
  <c r="M592" i="8"/>
  <c r="L592" i="8"/>
  <c r="K592" i="8"/>
  <c r="X591" i="8"/>
  <c r="W591" i="8"/>
  <c r="V591" i="8"/>
  <c r="U591" i="8"/>
  <c r="N591" i="8"/>
  <c r="Y591" i="8" s="1"/>
  <c r="M591" i="8"/>
  <c r="L591" i="8"/>
  <c r="K591" i="8"/>
  <c r="X590" i="8"/>
  <c r="W590" i="8"/>
  <c r="V590" i="8"/>
  <c r="U590" i="8"/>
  <c r="N590" i="8"/>
  <c r="Y590" i="8" s="1"/>
  <c r="M590" i="8"/>
  <c r="L590" i="8"/>
  <c r="K590" i="8"/>
  <c r="X589" i="8"/>
  <c r="W589" i="8"/>
  <c r="V589" i="8"/>
  <c r="U589" i="8"/>
  <c r="N589" i="8"/>
  <c r="Y589" i="8" s="1"/>
  <c r="M589" i="8"/>
  <c r="L589" i="8"/>
  <c r="K589" i="8"/>
  <c r="X588" i="8"/>
  <c r="W588" i="8"/>
  <c r="V588" i="8"/>
  <c r="U588" i="8"/>
  <c r="N588" i="8"/>
  <c r="Y588" i="8" s="1"/>
  <c r="M588" i="8"/>
  <c r="L588" i="8"/>
  <c r="K588" i="8"/>
  <c r="X587" i="8"/>
  <c r="W587" i="8"/>
  <c r="V587" i="8"/>
  <c r="U587" i="8"/>
  <c r="N587" i="8"/>
  <c r="Y587" i="8" s="1"/>
  <c r="M587" i="8"/>
  <c r="L587" i="8"/>
  <c r="K587" i="8"/>
  <c r="X586" i="8"/>
  <c r="W586" i="8"/>
  <c r="V586" i="8"/>
  <c r="U586" i="8"/>
  <c r="N586" i="8"/>
  <c r="Y586" i="8" s="1"/>
  <c r="M586" i="8"/>
  <c r="L586" i="8"/>
  <c r="K586" i="8"/>
  <c r="X585" i="8"/>
  <c r="W585" i="8"/>
  <c r="V585" i="8"/>
  <c r="U585" i="8"/>
  <c r="N585" i="8"/>
  <c r="Y585" i="8" s="1"/>
  <c r="M585" i="8"/>
  <c r="L585" i="8"/>
  <c r="K585" i="8"/>
  <c r="X584" i="8"/>
  <c r="W584" i="8"/>
  <c r="V584" i="8"/>
  <c r="U584" i="8"/>
  <c r="N584" i="8"/>
  <c r="Y584" i="8" s="1"/>
  <c r="M584" i="8"/>
  <c r="L584" i="8"/>
  <c r="K584" i="8"/>
  <c r="X583" i="8"/>
  <c r="W583" i="8"/>
  <c r="V583" i="8"/>
  <c r="U583" i="8"/>
  <c r="N583" i="8"/>
  <c r="Y583" i="8" s="1"/>
  <c r="M583" i="8"/>
  <c r="L583" i="8"/>
  <c r="K583" i="8"/>
  <c r="X582" i="8"/>
  <c r="W582" i="8"/>
  <c r="V582" i="8"/>
  <c r="U582" i="8"/>
  <c r="N582" i="8"/>
  <c r="Y582" i="8" s="1"/>
  <c r="M582" i="8"/>
  <c r="L582" i="8"/>
  <c r="K582" i="8"/>
  <c r="X581" i="8"/>
  <c r="W581" i="8"/>
  <c r="V581" i="8"/>
  <c r="U581" i="8"/>
  <c r="N581" i="8"/>
  <c r="Y581" i="8" s="1"/>
  <c r="M581" i="8"/>
  <c r="L581" i="8"/>
  <c r="K581" i="8"/>
  <c r="X580" i="8"/>
  <c r="W580" i="8"/>
  <c r="V580" i="8"/>
  <c r="U580" i="8"/>
  <c r="N580" i="8"/>
  <c r="Y580" i="8" s="1"/>
  <c r="M580" i="8"/>
  <c r="L580" i="8"/>
  <c r="K580" i="8"/>
  <c r="X579" i="8"/>
  <c r="W579" i="8"/>
  <c r="V579" i="8"/>
  <c r="U579" i="8"/>
  <c r="N579" i="8"/>
  <c r="Y579" i="8" s="1"/>
  <c r="M579" i="8"/>
  <c r="L579" i="8"/>
  <c r="K579" i="8"/>
  <c r="X578" i="8"/>
  <c r="W578" i="8"/>
  <c r="V578" i="8"/>
  <c r="U578" i="8"/>
  <c r="N578" i="8"/>
  <c r="Y578" i="8" s="1"/>
  <c r="M578" i="8"/>
  <c r="L578" i="8"/>
  <c r="K578" i="8"/>
  <c r="X577" i="8"/>
  <c r="W577" i="8"/>
  <c r="V577" i="8"/>
  <c r="U577" i="8"/>
  <c r="N577" i="8"/>
  <c r="Y577" i="8" s="1"/>
  <c r="M577" i="8"/>
  <c r="L577" i="8"/>
  <c r="K577" i="8"/>
  <c r="X576" i="8"/>
  <c r="W576" i="8"/>
  <c r="V576" i="8"/>
  <c r="U576" i="8"/>
  <c r="N576" i="8"/>
  <c r="Y576" i="8" s="1"/>
  <c r="M576" i="8"/>
  <c r="L576" i="8"/>
  <c r="K576" i="8"/>
  <c r="X575" i="8"/>
  <c r="W575" i="8"/>
  <c r="V575" i="8"/>
  <c r="U575" i="8"/>
  <c r="N575" i="8"/>
  <c r="Y575" i="8" s="1"/>
  <c r="M575" i="8"/>
  <c r="L575" i="8"/>
  <c r="K575" i="8"/>
  <c r="X574" i="8"/>
  <c r="W574" i="8"/>
  <c r="V574" i="8"/>
  <c r="U574" i="8"/>
  <c r="N574" i="8"/>
  <c r="Y574" i="8" s="1"/>
  <c r="M574" i="8"/>
  <c r="L574" i="8"/>
  <c r="K574" i="8"/>
  <c r="X573" i="8"/>
  <c r="W573" i="8"/>
  <c r="V573" i="8"/>
  <c r="U573" i="8"/>
  <c r="S573" i="8"/>
  <c r="N573" i="8"/>
  <c r="M573" i="8"/>
  <c r="L573" i="8"/>
  <c r="K573" i="8"/>
  <c r="X572" i="8"/>
  <c r="W572" i="8"/>
  <c r="V572" i="8"/>
  <c r="U572" i="8"/>
  <c r="N572" i="8"/>
  <c r="Y572" i="8" s="1"/>
  <c r="M572" i="8"/>
  <c r="L572" i="8"/>
  <c r="K572" i="8"/>
  <c r="X571" i="8"/>
  <c r="W571" i="8"/>
  <c r="V571" i="8"/>
  <c r="U571" i="8"/>
  <c r="N571" i="8"/>
  <c r="Y571" i="8" s="1"/>
  <c r="M571" i="8"/>
  <c r="L571" i="8"/>
  <c r="K571" i="8"/>
  <c r="X570" i="8"/>
  <c r="W570" i="8"/>
  <c r="V570" i="8"/>
  <c r="U570" i="8"/>
  <c r="N570" i="8"/>
  <c r="Y570" i="8" s="1"/>
  <c r="M570" i="8"/>
  <c r="L570" i="8"/>
  <c r="K570" i="8"/>
  <c r="X569" i="8"/>
  <c r="W569" i="8"/>
  <c r="V569" i="8"/>
  <c r="U569" i="8"/>
  <c r="N569" i="8"/>
  <c r="Y569" i="8" s="1"/>
  <c r="M569" i="8"/>
  <c r="L569" i="8"/>
  <c r="K569" i="8"/>
  <c r="X568" i="8"/>
  <c r="W568" i="8"/>
  <c r="V568" i="8"/>
  <c r="U568" i="8"/>
  <c r="N568" i="8"/>
  <c r="Y568" i="8" s="1"/>
  <c r="M568" i="8"/>
  <c r="L568" i="8"/>
  <c r="K568" i="8"/>
  <c r="X567" i="8"/>
  <c r="W567" i="8"/>
  <c r="V567" i="8"/>
  <c r="U567" i="8"/>
  <c r="N567" i="8"/>
  <c r="Y567" i="8" s="1"/>
  <c r="M567" i="8"/>
  <c r="L567" i="8"/>
  <c r="K567" i="8"/>
  <c r="X566" i="8"/>
  <c r="W566" i="8"/>
  <c r="V566" i="8"/>
  <c r="U566" i="8"/>
  <c r="N566" i="8"/>
  <c r="Y566" i="8" s="1"/>
  <c r="M566" i="8"/>
  <c r="L566" i="8"/>
  <c r="K566" i="8"/>
  <c r="X565" i="8"/>
  <c r="W565" i="8"/>
  <c r="V565" i="8"/>
  <c r="U565" i="8"/>
  <c r="N565" i="8"/>
  <c r="Y565" i="8" s="1"/>
  <c r="M565" i="8"/>
  <c r="L565" i="8"/>
  <c r="K565" i="8"/>
  <c r="X564" i="8"/>
  <c r="W564" i="8"/>
  <c r="V564" i="8"/>
  <c r="U564" i="8"/>
  <c r="N564" i="8"/>
  <c r="Y564" i="8" s="1"/>
  <c r="M564" i="8"/>
  <c r="L564" i="8"/>
  <c r="K564" i="8"/>
  <c r="X563" i="8"/>
  <c r="W563" i="8"/>
  <c r="V563" i="8"/>
  <c r="U563" i="8"/>
  <c r="N563" i="8"/>
  <c r="Y563" i="8" s="1"/>
  <c r="M563" i="8"/>
  <c r="L563" i="8"/>
  <c r="K563" i="8"/>
  <c r="X562" i="8"/>
  <c r="W562" i="8"/>
  <c r="V562" i="8"/>
  <c r="U562" i="8"/>
  <c r="N562" i="8"/>
  <c r="Y562" i="8" s="1"/>
  <c r="M562" i="8"/>
  <c r="L562" i="8"/>
  <c r="K562" i="8"/>
  <c r="X561" i="8"/>
  <c r="W561" i="8"/>
  <c r="V561" i="8"/>
  <c r="U561" i="8"/>
  <c r="N561" i="8"/>
  <c r="Y561" i="8" s="1"/>
  <c r="M561" i="8"/>
  <c r="L561" i="8"/>
  <c r="K561" i="8"/>
  <c r="X560" i="8"/>
  <c r="W560" i="8"/>
  <c r="V560" i="8"/>
  <c r="U560" i="8"/>
  <c r="N560" i="8"/>
  <c r="Y560" i="8" s="1"/>
  <c r="M560" i="8"/>
  <c r="L560" i="8"/>
  <c r="K560" i="8"/>
  <c r="X559" i="8"/>
  <c r="W559" i="8"/>
  <c r="V559" i="8"/>
  <c r="U559" i="8"/>
  <c r="N559" i="8"/>
  <c r="Y559" i="8" s="1"/>
  <c r="M559" i="8"/>
  <c r="L559" i="8"/>
  <c r="K559" i="8"/>
  <c r="X558" i="8"/>
  <c r="W558" i="8"/>
  <c r="V558" i="8"/>
  <c r="U558" i="8"/>
  <c r="N558" i="8"/>
  <c r="Y558" i="8" s="1"/>
  <c r="M558" i="8"/>
  <c r="L558" i="8"/>
  <c r="K558" i="8"/>
  <c r="X557" i="8"/>
  <c r="W557" i="8"/>
  <c r="V557" i="8"/>
  <c r="U557" i="8"/>
  <c r="N557" i="8"/>
  <c r="Y557" i="8" s="1"/>
  <c r="M557" i="8"/>
  <c r="L557" i="8"/>
  <c r="K557" i="8"/>
  <c r="X556" i="8"/>
  <c r="W556" i="8"/>
  <c r="V556" i="8"/>
  <c r="U556" i="8"/>
  <c r="N556" i="8"/>
  <c r="Y556" i="8" s="1"/>
  <c r="M556" i="8"/>
  <c r="L556" i="8"/>
  <c r="K556" i="8"/>
  <c r="X555" i="8"/>
  <c r="W555" i="8"/>
  <c r="V555" i="8"/>
  <c r="U555" i="8"/>
  <c r="N555" i="8"/>
  <c r="Y555" i="8" s="1"/>
  <c r="M555" i="8"/>
  <c r="L555" i="8"/>
  <c r="K555" i="8"/>
  <c r="X554" i="8"/>
  <c r="W554" i="8"/>
  <c r="V554" i="8"/>
  <c r="U554" i="8"/>
  <c r="N554" i="8"/>
  <c r="Y554" i="8" s="1"/>
  <c r="M554" i="8"/>
  <c r="L554" i="8"/>
  <c r="K554" i="8"/>
  <c r="X553" i="8"/>
  <c r="W553" i="8"/>
  <c r="V553" i="8"/>
  <c r="U553" i="8"/>
  <c r="N553" i="8"/>
  <c r="Y553" i="8" s="1"/>
  <c r="M553" i="8"/>
  <c r="L553" i="8"/>
  <c r="K553" i="8"/>
  <c r="X552" i="8"/>
  <c r="W552" i="8"/>
  <c r="V552" i="8"/>
  <c r="U552" i="8"/>
  <c r="N552" i="8"/>
  <c r="Y552" i="8" s="1"/>
  <c r="M552" i="8"/>
  <c r="L552" i="8"/>
  <c r="K552" i="8"/>
  <c r="X551" i="8"/>
  <c r="W551" i="8"/>
  <c r="V551" i="8"/>
  <c r="U551" i="8"/>
  <c r="N551" i="8"/>
  <c r="Y551" i="8" s="1"/>
  <c r="M551" i="8"/>
  <c r="L551" i="8"/>
  <c r="K551" i="8"/>
  <c r="X550" i="8"/>
  <c r="W550" i="8"/>
  <c r="V550" i="8"/>
  <c r="U550" i="8"/>
  <c r="N550" i="8"/>
  <c r="Y550" i="8" s="1"/>
  <c r="M550" i="8"/>
  <c r="L550" i="8"/>
  <c r="K550" i="8"/>
  <c r="X549" i="8"/>
  <c r="W549" i="8"/>
  <c r="V549" i="8"/>
  <c r="U549" i="8"/>
  <c r="N549" i="8"/>
  <c r="Y549" i="8" s="1"/>
  <c r="M549" i="8"/>
  <c r="L549" i="8"/>
  <c r="K549" i="8"/>
  <c r="X548" i="8"/>
  <c r="W548" i="8"/>
  <c r="V548" i="8"/>
  <c r="U548" i="8"/>
  <c r="N548" i="8"/>
  <c r="Y548" i="8" s="1"/>
  <c r="M548" i="8"/>
  <c r="L548" i="8"/>
  <c r="K548" i="8"/>
  <c r="X547" i="8"/>
  <c r="W547" i="8"/>
  <c r="V547" i="8"/>
  <c r="U547" i="8"/>
  <c r="N547" i="8"/>
  <c r="Y547" i="8" s="1"/>
  <c r="M547" i="8"/>
  <c r="L547" i="8"/>
  <c r="K547" i="8"/>
  <c r="X546" i="8"/>
  <c r="W546" i="8"/>
  <c r="V546" i="8"/>
  <c r="U546" i="8"/>
  <c r="S546" i="8"/>
  <c r="N546" i="8"/>
  <c r="M546" i="8"/>
  <c r="L546" i="8"/>
  <c r="K546" i="8"/>
  <c r="X545" i="8"/>
  <c r="W545" i="8"/>
  <c r="V545" i="8"/>
  <c r="U545" i="8"/>
  <c r="S545" i="8"/>
  <c r="N545" i="8"/>
  <c r="M545" i="8"/>
  <c r="L545" i="8"/>
  <c r="K545" i="8"/>
  <c r="X544" i="8"/>
  <c r="W544" i="8"/>
  <c r="V544" i="8"/>
  <c r="U544" i="8"/>
  <c r="N544" i="8"/>
  <c r="Y544" i="8" s="1"/>
  <c r="M544" i="8"/>
  <c r="L544" i="8"/>
  <c r="K544" i="8"/>
  <c r="X543" i="8"/>
  <c r="W543" i="8"/>
  <c r="V543" i="8"/>
  <c r="U543" i="8"/>
  <c r="N543" i="8"/>
  <c r="Y543" i="8" s="1"/>
  <c r="M543" i="8"/>
  <c r="L543" i="8"/>
  <c r="K543" i="8"/>
  <c r="X542" i="8"/>
  <c r="W542" i="8"/>
  <c r="V542" i="8"/>
  <c r="U542" i="8"/>
  <c r="N542" i="8"/>
  <c r="Y542" i="8" s="1"/>
  <c r="M542" i="8"/>
  <c r="L542" i="8"/>
  <c r="K542" i="8"/>
  <c r="X541" i="8"/>
  <c r="W541" i="8"/>
  <c r="V541" i="8"/>
  <c r="U541" i="8"/>
  <c r="N541" i="8"/>
  <c r="Y541" i="8" s="1"/>
  <c r="M541" i="8"/>
  <c r="L541" i="8"/>
  <c r="K541" i="8"/>
  <c r="X540" i="8"/>
  <c r="W540" i="8"/>
  <c r="V540" i="8"/>
  <c r="U540" i="8"/>
  <c r="N540" i="8"/>
  <c r="Y540" i="8" s="1"/>
  <c r="M540" i="8"/>
  <c r="L540" i="8"/>
  <c r="K540" i="8"/>
  <c r="X539" i="8"/>
  <c r="W539" i="8"/>
  <c r="V539" i="8"/>
  <c r="U539" i="8"/>
  <c r="N539" i="8"/>
  <c r="Y539" i="8" s="1"/>
  <c r="M539" i="8"/>
  <c r="L539" i="8"/>
  <c r="K539" i="8"/>
  <c r="X538" i="8"/>
  <c r="W538" i="8"/>
  <c r="V538" i="8"/>
  <c r="U538" i="8"/>
  <c r="N538" i="8"/>
  <c r="Y538" i="8" s="1"/>
  <c r="M538" i="8"/>
  <c r="L538" i="8"/>
  <c r="K538" i="8"/>
  <c r="X537" i="8"/>
  <c r="W537" i="8"/>
  <c r="V537" i="8"/>
  <c r="U537" i="8"/>
  <c r="N537" i="8"/>
  <c r="Y537" i="8" s="1"/>
  <c r="M537" i="8"/>
  <c r="L537" i="8"/>
  <c r="K537" i="8"/>
  <c r="X536" i="8"/>
  <c r="W536" i="8"/>
  <c r="V536" i="8"/>
  <c r="U536" i="8"/>
  <c r="N536" i="8"/>
  <c r="Y536" i="8" s="1"/>
  <c r="M536" i="8"/>
  <c r="L536" i="8"/>
  <c r="K536" i="8"/>
  <c r="X535" i="8"/>
  <c r="W535" i="8"/>
  <c r="V535" i="8"/>
  <c r="U535" i="8"/>
  <c r="N535" i="8"/>
  <c r="Y535" i="8" s="1"/>
  <c r="M535" i="8"/>
  <c r="L535" i="8"/>
  <c r="K535" i="8"/>
  <c r="X534" i="8"/>
  <c r="W534" i="8"/>
  <c r="V534" i="8"/>
  <c r="U534" i="8"/>
  <c r="N534" i="8"/>
  <c r="Y534" i="8" s="1"/>
  <c r="M534" i="8"/>
  <c r="L534" i="8"/>
  <c r="K534" i="8"/>
  <c r="X533" i="8"/>
  <c r="W533" i="8"/>
  <c r="V533" i="8"/>
  <c r="U533" i="8"/>
  <c r="N533" i="8"/>
  <c r="Y533" i="8" s="1"/>
  <c r="M533" i="8"/>
  <c r="L533" i="8"/>
  <c r="K533" i="8"/>
  <c r="X532" i="8"/>
  <c r="W532" i="8"/>
  <c r="V532" i="8"/>
  <c r="U532" i="8"/>
  <c r="N532" i="8"/>
  <c r="Y532" i="8" s="1"/>
  <c r="M532" i="8"/>
  <c r="L532" i="8"/>
  <c r="K532" i="8"/>
  <c r="X531" i="8"/>
  <c r="W531" i="8"/>
  <c r="V531" i="8"/>
  <c r="U531" i="8"/>
  <c r="N531" i="8"/>
  <c r="Y531" i="8" s="1"/>
  <c r="M531" i="8"/>
  <c r="L531" i="8"/>
  <c r="K531" i="8"/>
  <c r="X530" i="8"/>
  <c r="W530" i="8"/>
  <c r="V530" i="8"/>
  <c r="U530" i="8"/>
  <c r="N530" i="8"/>
  <c r="Y530" i="8" s="1"/>
  <c r="M530" i="8"/>
  <c r="L530" i="8"/>
  <c r="K530" i="8"/>
  <c r="X529" i="8"/>
  <c r="W529" i="8"/>
  <c r="V529" i="8"/>
  <c r="U529" i="8"/>
  <c r="N529" i="8"/>
  <c r="Y529" i="8" s="1"/>
  <c r="M529" i="8"/>
  <c r="L529" i="8"/>
  <c r="K529" i="8"/>
  <c r="X528" i="8"/>
  <c r="W528" i="8"/>
  <c r="V528" i="8"/>
  <c r="U528" i="8"/>
  <c r="N528" i="8"/>
  <c r="Y528" i="8" s="1"/>
  <c r="M528" i="8"/>
  <c r="L528" i="8"/>
  <c r="K528" i="8"/>
  <c r="X527" i="8"/>
  <c r="W527" i="8"/>
  <c r="V527" i="8"/>
  <c r="U527" i="8"/>
  <c r="N527" i="8"/>
  <c r="Y527" i="8" s="1"/>
  <c r="M527" i="8"/>
  <c r="L527" i="8"/>
  <c r="K527" i="8"/>
  <c r="X526" i="8"/>
  <c r="W526" i="8"/>
  <c r="V526" i="8"/>
  <c r="U526" i="8"/>
  <c r="N526" i="8"/>
  <c r="Y526" i="8" s="1"/>
  <c r="M526" i="8"/>
  <c r="L526" i="8"/>
  <c r="K526" i="8"/>
  <c r="X525" i="8"/>
  <c r="W525" i="8"/>
  <c r="V525" i="8"/>
  <c r="U525" i="8"/>
  <c r="N525" i="8"/>
  <c r="Y525" i="8" s="1"/>
  <c r="M525" i="8"/>
  <c r="L525" i="8"/>
  <c r="K525" i="8"/>
  <c r="X524" i="8"/>
  <c r="W524" i="8"/>
  <c r="V524" i="8"/>
  <c r="U524" i="8"/>
  <c r="N524" i="8"/>
  <c r="Y524" i="8" s="1"/>
  <c r="M524" i="8"/>
  <c r="L524" i="8"/>
  <c r="K524" i="8"/>
  <c r="X523" i="8"/>
  <c r="W523" i="8"/>
  <c r="V523" i="8"/>
  <c r="U523" i="8"/>
  <c r="N523" i="8"/>
  <c r="Y523" i="8" s="1"/>
  <c r="M523" i="8"/>
  <c r="L523" i="8"/>
  <c r="K523" i="8"/>
  <c r="X522" i="8"/>
  <c r="W522" i="8"/>
  <c r="V522" i="8"/>
  <c r="U522" i="8"/>
  <c r="N522" i="8"/>
  <c r="Y522" i="8" s="1"/>
  <c r="M522" i="8"/>
  <c r="L522" i="8"/>
  <c r="K522" i="8"/>
  <c r="X521" i="8"/>
  <c r="W521" i="8"/>
  <c r="V521" i="8"/>
  <c r="U521" i="8"/>
  <c r="N521" i="8"/>
  <c r="Y521" i="8" s="1"/>
  <c r="M521" i="8"/>
  <c r="L521" i="8"/>
  <c r="K521" i="8"/>
  <c r="X520" i="8"/>
  <c r="W520" i="8"/>
  <c r="V520" i="8"/>
  <c r="U520" i="8"/>
  <c r="N520" i="8"/>
  <c r="Y520" i="8" s="1"/>
  <c r="M520" i="8"/>
  <c r="L520" i="8"/>
  <c r="K520" i="8"/>
  <c r="X519" i="8"/>
  <c r="W519" i="8"/>
  <c r="V519" i="8"/>
  <c r="U519" i="8"/>
  <c r="N519" i="8"/>
  <c r="Y519" i="8" s="1"/>
  <c r="M519" i="8"/>
  <c r="L519" i="8"/>
  <c r="K519" i="8"/>
  <c r="X518" i="8"/>
  <c r="W518" i="8"/>
  <c r="V518" i="8"/>
  <c r="U518" i="8"/>
  <c r="N518" i="8"/>
  <c r="Y518" i="8" s="1"/>
  <c r="M518" i="8"/>
  <c r="L518" i="8"/>
  <c r="K518" i="8"/>
  <c r="X517" i="8"/>
  <c r="W517" i="8"/>
  <c r="V517" i="8"/>
  <c r="U517" i="8"/>
  <c r="N517" i="8"/>
  <c r="Y517" i="8" s="1"/>
  <c r="M517" i="8"/>
  <c r="L517" i="8"/>
  <c r="K517" i="8"/>
  <c r="X516" i="8"/>
  <c r="W516" i="8"/>
  <c r="V516" i="8"/>
  <c r="U516" i="8"/>
  <c r="N516" i="8"/>
  <c r="Y516" i="8" s="1"/>
  <c r="M516" i="8"/>
  <c r="L516" i="8"/>
  <c r="K516" i="8"/>
  <c r="X515" i="8"/>
  <c r="W515" i="8"/>
  <c r="V515" i="8"/>
  <c r="U515" i="8"/>
  <c r="N515" i="8"/>
  <c r="Y515" i="8" s="1"/>
  <c r="M515" i="8"/>
  <c r="L515" i="8"/>
  <c r="K515" i="8"/>
  <c r="X514" i="8"/>
  <c r="W514" i="8"/>
  <c r="V514" i="8"/>
  <c r="U514" i="8"/>
  <c r="N514" i="8"/>
  <c r="Y514" i="8" s="1"/>
  <c r="M514" i="8"/>
  <c r="L514" i="8"/>
  <c r="K514" i="8"/>
  <c r="X513" i="8"/>
  <c r="W513" i="8"/>
  <c r="V513" i="8"/>
  <c r="U513" i="8"/>
  <c r="N513" i="8"/>
  <c r="Y513" i="8" s="1"/>
  <c r="M513" i="8"/>
  <c r="L513" i="8"/>
  <c r="K513" i="8"/>
  <c r="X512" i="8"/>
  <c r="W512" i="8"/>
  <c r="V512" i="8"/>
  <c r="U512" i="8"/>
  <c r="N512" i="8"/>
  <c r="Y512" i="8" s="1"/>
  <c r="M512" i="8"/>
  <c r="L512" i="8"/>
  <c r="K512" i="8"/>
  <c r="X511" i="8"/>
  <c r="W511" i="8"/>
  <c r="V511" i="8"/>
  <c r="U511" i="8"/>
  <c r="N511" i="8"/>
  <c r="Y511" i="8" s="1"/>
  <c r="M511" i="8"/>
  <c r="L511" i="8"/>
  <c r="K511" i="8"/>
  <c r="X510" i="8"/>
  <c r="W510" i="8"/>
  <c r="V510" i="8"/>
  <c r="U510" i="8"/>
  <c r="N510" i="8"/>
  <c r="Y510" i="8" s="1"/>
  <c r="M510" i="8"/>
  <c r="L510" i="8"/>
  <c r="K510" i="8"/>
  <c r="X509" i="8"/>
  <c r="W509" i="8"/>
  <c r="V509" i="8"/>
  <c r="U509" i="8"/>
  <c r="N509" i="8"/>
  <c r="Y509" i="8" s="1"/>
  <c r="M509" i="8"/>
  <c r="L509" i="8"/>
  <c r="K509" i="8"/>
  <c r="X508" i="8"/>
  <c r="W508" i="8"/>
  <c r="V508" i="8"/>
  <c r="U508" i="8"/>
  <c r="N508" i="8"/>
  <c r="Y508" i="8" s="1"/>
  <c r="M508" i="8"/>
  <c r="L508" i="8"/>
  <c r="K508" i="8"/>
  <c r="X507" i="8"/>
  <c r="W507" i="8"/>
  <c r="V507" i="8"/>
  <c r="U507" i="8"/>
  <c r="N507" i="8"/>
  <c r="Y507" i="8" s="1"/>
  <c r="M507" i="8"/>
  <c r="L507" i="8"/>
  <c r="K507" i="8"/>
  <c r="X506" i="8"/>
  <c r="W506" i="8"/>
  <c r="V506" i="8"/>
  <c r="U506" i="8"/>
  <c r="N506" i="8"/>
  <c r="Y506" i="8" s="1"/>
  <c r="M506" i="8"/>
  <c r="L506" i="8"/>
  <c r="K506" i="8"/>
  <c r="X505" i="8"/>
  <c r="W505" i="8"/>
  <c r="V505" i="8"/>
  <c r="U505" i="8"/>
  <c r="N505" i="8"/>
  <c r="Y505" i="8" s="1"/>
  <c r="M505" i="8"/>
  <c r="L505" i="8"/>
  <c r="K505" i="8"/>
  <c r="X504" i="8"/>
  <c r="W504" i="8"/>
  <c r="V504" i="8"/>
  <c r="U504" i="8"/>
  <c r="N504" i="8"/>
  <c r="Y504" i="8" s="1"/>
  <c r="M504" i="8"/>
  <c r="L504" i="8"/>
  <c r="K504" i="8"/>
  <c r="X503" i="8"/>
  <c r="W503" i="8"/>
  <c r="V503" i="8"/>
  <c r="U503" i="8"/>
  <c r="N503" i="8"/>
  <c r="Y503" i="8" s="1"/>
  <c r="M503" i="8"/>
  <c r="L503" i="8"/>
  <c r="K503" i="8"/>
  <c r="X502" i="8"/>
  <c r="W502" i="8"/>
  <c r="V502" i="8"/>
  <c r="U502" i="8"/>
  <c r="N502" i="8"/>
  <c r="Y502" i="8" s="1"/>
  <c r="M502" i="8"/>
  <c r="L502" i="8"/>
  <c r="K502" i="8"/>
  <c r="X501" i="8"/>
  <c r="W501" i="8"/>
  <c r="V501" i="8"/>
  <c r="U501" i="8"/>
  <c r="N501" i="8"/>
  <c r="Y501" i="8" s="1"/>
  <c r="M501" i="8"/>
  <c r="L501" i="8"/>
  <c r="K501" i="8"/>
  <c r="X500" i="8"/>
  <c r="W500" i="8"/>
  <c r="V500" i="8"/>
  <c r="U500" i="8"/>
  <c r="N500" i="8"/>
  <c r="Y500" i="8" s="1"/>
  <c r="M500" i="8"/>
  <c r="L500" i="8"/>
  <c r="K500" i="8"/>
  <c r="X499" i="8"/>
  <c r="W499" i="8"/>
  <c r="V499" i="8"/>
  <c r="U499" i="8"/>
  <c r="N499" i="8"/>
  <c r="Y499" i="8" s="1"/>
  <c r="M499" i="8"/>
  <c r="L499" i="8"/>
  <c r="K499" i="8"/>
  <c r="X498" i="8"/>
  <c r="W498" i="8"/>
  <c r="V498" i="8"/>
  <c r="U498" i="8"/>
  <c r="N498" i="8"/>
  <c r="Y498" i="8" s="1"/>
  <c r="M498" i="8"/>
  <c r="L498" i="8"/>
  <c r="K498" i="8"/>
  <c r="X497" i="8"/>
  <c r="W497" i="8"/>
  <c r="V497" i="8"/>
  <c r="U497" i="8"/>
  <c r="N497" i="8"/>
  <c r="Y497" i="8" s="1"/>
  <c r="M497" i="8"/>
  <c r="L497" i="8"/>
  <c r="K497" i="8"/>
  <c r="X496" i="8"/>
  <c r="W496" i="8"/>
  <c r="V496" i="8"/>
  <c r="U496" i="8"/>
  <c r="S496" i="8"/>
  <c r="N496" i="8"/>
  <c r="M496" i="8"/>
  <c r="L496" i="8"/>
  <c r="K496" i="8"/>
  <c r="X495" i="8"/>
  <c r="W495" i="8"/>
  <c r="V495" i="8"/>
  <c r="U495" i="8"/>
  <c r="S495" i="8"/>
  <c r="N495" i="8"/>
  <c r="M495" i="8"/>
  <c r="L495" i="8"/>
  <c r="K495" i="8"/>
  <c r="X494" i="8"/>
  <c r="W494" i="8"/>
  <c r="V494" i="8"/>
  <c r="U494" i="8"/>
  <c r="N494" i="8"/>
  <c r="Y494" i="8" s="1"/>
  <c r="M494" i="8"/>
  <c r="L494" i="8"/>
  <c r="K494" i="8"/>
  <c r="X493" i="8"/>
  <c r="W493" i="8"/>
  <c r="V493" i="8"/>
  <c r="U493" i="8"/>
  <c r="N493" i="8"/>
  <c r="Y493" i="8" s="1"/>
  <c r="M493" i="8"/>
  <c r="L493" i="8"/>
  <c r="K493" i="8"/>
  <c r="X492" i="8"/>
  <c r="W492" i="8"/>
  <c r="V492" i="8"/>
  <c r="U492" i="8"/>
  <c r="N492" i="8"/>
  <c r="Y492" i="8" s="1"/>
  <c r="M492" i="8"/>
  <c r="L492" i="8"/>
  <c r="K492" i="8"/>
  <c r="X491" i="8"/>
  <c r="W491" i="8"/>
  <c r="V491" i="8"/>
  <c r="U491" i="8"/>
  <c r="N491" i="8"/>
  <c r="Y491" i="8" s="1"/>
  <c r="M491" i="8"/>
  <c r="L491" i="8"/>
  <c r="K491" i="8"/>
  <c r="X490" i="8"/>
  <c r="W490" i="8"/>
  <c r="V490" i="8"/>
  <c r="U490" i="8"/>
  <c r="N490" i="8"/>
  <c r="Y490" i="8" s="1"/>
  <c r="M490" i="8"/>
  <c r="L490" i="8"/>
  <c r="K490" i="8"/>
  <c r="X489" i="8"/>
  <c r="W489" i="8"/>
  <c r="V489" i="8"/>
  <c r="U489" i="8"/>
  <c r="N489" i="8"/>
  <c r="Y489" i="8" s="1"/>
  <c r="M489" i="8"/>
  <c r="L489" i="8"/>
  <c r="K489" i="8"/>
  <c r="X488" i="8"/>
  <c r="W488" i="8"/>
  <c r="V488" i="8"/>
  <c r="U488" i="8"/>
  <c r="N488" i="8"/>
  <c r="Y488" i="8" s="1"/>
  <c r="M488" i="8"/>
  <c r="L488" i="8"/>
  <c r="K488" i="8"/>
  <c r="X487" i="8"/>
  <c r="W487" i="8"/>
  <c r="V487" i="8"/>
  <c r="U487" i="8"/>
  <c r="N487" i="8"/>
  <c r="Y487" i="8" s="1"/>
  <c r="M487" i="8"/>
  <c r="L487" i="8"/>
  <c r="K487" i="8"/>
  <c r="X486" i="8"/>
  <c r="W486" i="8"/>
  <c r="V486" i="8"/>
  <c r="U486" i="8"/>
  <c r="N486" i="8"/>
  <c r="Y486" i="8" s="1"/>
  <c r="M486" i="8"/>
  <c r="L486" i="8"/>
  <c r="X485" i="8"/>
  <c r="W485" i="8"/>
  <c r="V485" i="8"/>
  <c r="U485" i="8"/>
  <c r="N485" i="8"/>
  <c r="Y485" i="8" s="1"/>
  <c r="M485" i="8"/>
  <c r="L485" i="8"/>
  <c r="K485" i="8"/>
  <c r="X484" i="8"/>
  <c r="W484" i="8"/>
  <c r="V484" i="8"/>
  <c r="U484" i="8"/>
  <c r="N484" i="8"/>
  <c r="Y484" i="8" s="1"/>
  <c r="M484" i="8"/>
  <c r="L484" i="8"/>
  <c r="K484" i="8"/>
  <c r="X483" i="8"/>
  <c r="W483" i="8"/>
  <c r="V483" i="8"/>
  <c r="U483" i="8"/>
  <c r="N483" i="8"/>
  <c r="Y483" i="8" s="1"/>
  <c r="M483" i="8"/>
  <c r="L483" i="8"/>
  <c r="K483" i="8"/>
  <c r="X482" i="8"/>
  <c r="W482" i="8"/>
  <c r="V482" i="8"/>
  <c r="U482" i="8"/>
  <c r="N482" i="8"/>
  <c r="Y482" i="8" s="1"/>
  <c r="M482" i="8"/>
  <c r="L482" i="8"/>
  <c r="K482" i="8"/>
  <c r="X481" i="8"/>
  <c r="W481" i="8"/>
  <c r="V481" i="8"/>
  <c r="U481" i="8"/>
  <c r="N481" i="8"/>
  <c r="Y481" i="8" s="1"/>
  <c r="M481" i="8"/>
  <c r="L481" i="8"/>
  <c r="K481" i="8"/>
  <c r="X480" i="8"/>
  <c r="W480" i="8"/>
  <c r="V480" i="8"/>
  <c r="U480" i="8"/>
  <c r="N480" i="8"/>
  <c r="Y480" i="8" s="1"/>
  <c r="M480" i="8"/>
  <c r="L480" i="8"/>
  <c r="K480" i="8"/>
  <c r="X479" i="8"/>
  <c r="W479" i="8"/>
  <c r="V479" i="8"/>
  <c r="U479" i="8"/>
  <c r="N479" i="8"/>
  <c r="Y479" i="8" s="1"/>
  <c r="M479" i="8"/>
  <c r="L479" i="8"/>
  <c r="K479" i="8"/>
  <c r="X478" i="8"/>
  <c r="W478" i="8"/>
  <c r="V478" i="8"/>
  <c r="U478" i="8"/>
  <c r="N478" i="8"/>
  <c r="Y478" i="8" s="1"/>
  <c r="M478" i="8"/>
  <c r="L478" i="8"/>
  <c r="K478" i="8"/>
  <c r="X477" i="8"/>
  <c r="W477" i="8"/>
  <c r="V477" i="8"/>
  <c r="U477" i="8"/>
  <c r="N477" i="8"/>
  <c r="Y477" i="8" s="1"/>
  <c r="M477" i="8"/>
  <c r="L477" i="8"/>
  <c r="K477" i="8"/>
  <c r="X476" i="8"/>
  <c r="W476" i="8"/>
  <c r="V476" i="8"/>
  <c r="U476" i="8"/>
  <c r="N476" i="8"/>
  <c r="Y476" i="8" s="1"/>
  <c r="M476" i="8"/>
  <c r="L476" i="8"/>
  <c r="K476" i="8"/>
  <c r="X475" i="8"/>
  <c r="W475" i="8"/>
  <c r="V475" i="8"/>
  <c r="U475" i="8"/>
  <c r="N475" i="8"/>
  <c r="Y475" i="8" s="1"/>
  <c r="M475" i="8"/>
  <c r="L475" i="8"/>
  <c r="K475" i="8"/>
  <c r="X474" i="8"/>
  <c r="W474" i="8"/>
  <c r="V474" i="8"/>
  <c r="U474" i="8"/>
  <c r="N474" i="8"/>
  <c r="Y474" i="8" s="1"/>
  <c r="M474" i="8"/>
  <c r="L474" i="8"/>
  <c r="K474" i="8"/>
  <c r="X473" i="8"/>
  <c r="W473" i="8"/>
  <c r="V473" i="8"/>
  <c r="U473" i="8"/>
  <c r="N473" i="8"/>
  <c r="Y473" i="8" s="1"/>
  <c r="M473" i="8"/>
  <c r="L473" i="8"/>
  <c r="K473" i="8"/>
  <c r="X472" i="8"/>
  <c r="W472" i="8"/>
  <c r="V472" i="8"/>
  <c r="U472" i="8"/>
  <c r="N472" i="8"/>
  <c r="Y472" i="8" s="1"/>
  <c r="M472" i="8"/>
  <c r="L472" i="8"/>
  <c r="K472" i="8"/>
  <c r="X471" i="8"/>
  <c r="W471" i="8"/>
  <c r="V471" i="8"/>
  <c r="U471" i="8"/>
  <c r="N471" i="8"/>
  <c r="Y471" i="8" s="1"/>
  <c r="M471" i="8"/>
  <c r="L471" i="8"/>
  <c r="K471" i="8"/>
  <c r="X470" i="8"/>
  <c r="W470" i="8"/>
  <c r="V470" i="8"/>
  <c r="U470" i="8"/>
  <c r="N470" i="8"/>
  <c r="Y470" i="8" s="1"/>
  <c r="M470" i="8"/>
  <c r="L470" i="8"/>
  <c r="K470" i="8"/>
  <c r="X469" i="8"/>
  <c r="W469" i="8"/>
  <c r="V469" i="8"/>
  <c r="U469" i="8"/>
  <c r="N469" i="8"/>
  <c r="Y469" i="8" s="1"/>
  <c r="M469" i="8"/>
  <c r="L469" i="8"/>
  <c r="K469" i="8"/>
  <c r="X468" i="8"/>
  <c r="W468" i="8"/>
  <c r="V468" i="8"/>
  <c r="U468" i="8"/>
  <c r="N468" i="8"/>
  <c r="Y468" i="8" s="1"/>
  <c r="M468" i="8"/>
  <c r="L468" i="8"/>
  <c r="K468" i="8"/>
  <c r="X467" i="8"/>
  <c r="W467" i="8"/>
  <c r="V467" i="8"/>
  <c r="U467" i="8"/>
  <c r="N467" i="8"/>
  <c r="Y467" i="8" s="1"/>
  <c r="M467" i="8"/>
  <c r="L467" i="8"/>
  <c r="K467" i="8"/>
  <c r="X466" i="8"/>
  <c r="W466" i="8"/>
  <c r="V466" i="8"/>
  <c r="U466" i="8"/>
  <c r="N466" i="8"/>
  <c r="Y466" i="8" s="1"/>
  <c r="M466" i="8"/>
  <c r="L466" i="8"/>
  <c r="K466" i="8"/>
  <c r="X465" i="8"/>
  <c r="W465" i="8"/>
  <c r="V465" i="8"/>
  <c r="U465" i="8"/>
  <c r="N465" i="8"/>
  <c r="Y465" i="8" s="1"/>
  <c r="M465" i="8"/>
  <c r="L465" i="8"/>
  <c r="K465" i="8"/>
  <c r="X464" i="8"/>
  <c r="W464" i="8"/>
  <c r="V464" i="8"/>
  <c r="U464" i="8"/>
  <c r="N464" i="8"/>
  <c r="Y464" i="8" s="1"/>
  <c r="M464" i="8"/>
  <c r="L464" i="8"/>
  <c r="K464" i="8"/>
  <c r="X463" i="8"/>
  <c r="W463" i="8"/>
  <c r="V463" i="8"/>
  <c r="U463" i="8"/>
  <c r="N463" i="8"/>
  <c r="Y463" i="8" s="1"/>
  <c r="M463" i="8"/>
  <c r="L463" i="8"/>
  <c r="K463" i="8"/>
  <c r="X462" i="8"/>
  <c r="W462" i="8"/>
  <c r="V462" i="8"/>
  <c r="U462" i="8"/>
  <c r="N462" i="8"/>
  <c r="Y462" i="8" s="1"/>
  <c r="M462" i="8"/>
  <c r="L462" i="8"/>
  <c r="K462" i="8"/>
  <c r="X461" i="8"/>
  <c r="W461" i="8"/>
  <c r="V461" i="8"/>
  <c r="U461" i="8"/>
  <c r="N461" i="8"/>
  <c r="Y461" i="8" s="1"/>
  <c r="M461" i="8"/>
  <c r="L461" i="8"/>
  <c r="K461" i="8"/>
  <c r="X460" i="8"/>
  <c r="W460" i="8"/>
  <c r="V460" i="8"/>
  <c r="U460" i="8"/>
  <c r="N460" i="8"/>
  <c r="Y460" i="8" s="1"/>
  <c r="M460" i="8"/>
  <c r="L460" i="8"/>
  <c r="K460" i="8"/>
  <c r="X459" i="8"/>
  <c r="W459" i="8"/>
  <c r="V459" i="8"/>
  <c r="U459" i="8"/>
  <c r="N459" i="8"/>
  <c r="Y459" i="8" s="1"/>
  <c r="M459" i="8"/>
  <c r="L459" i="8"/>
  <c r="K459" i="8"/>
  <c r="X458" i="8"/>
  <c r="W458" i="8"/>
  <c r="V458" i="8"/>
  <c r="U458" i="8"/>
  <c r="N458" i="8"/>
  <c r="Y458" i="8" s="1"/>
  <c r="M458" i="8"/>
  <c r="L458" i="8"/>
  <c r="K458" i="8"/>
  <c r="X457" i="8"/>
  <c r="W457" i="8"/>
  <c r="V457" i="8"/>
  <c r="U457" i="8"/>
  <c r="N457" i="8"/>
  <c r="Y457" i="8" s="1"/>
  <c r="M457" i="8"/>
  <c r="L457" i="8"/>
  <c r="K457" i="8"/>
  <c r="X456" i="8"/>
  <c r="W456" i="8"/>
  <c r="V456" i="8"/>
  <c r="U456" i="8"/>
  <c r="N456" i="8"/>
  <c r="Y456" i="8" s="1"/>
  <c r="M456" i="8"/>
  <c r="L456" i="8"/>
  <c r="K456" i="8"/>
  <c r="X455" i="8"/>
  <c r="W455" i="8"/>
  <c r="V455" i="8"/>
  <c r="U455" i="8"/>
  <c r="N455" i="8"/>
  <c r="Y455" i="8" s="1"/>
  <c r="M455" i="8"/>
  <c r="L455" i="8"/>
  <c r="K455" i="8"/>
  <c r="X454" i="8"/>
  <c r="W454" i="8"/>
  <c r="V454" i="8"/>
  <c r="U454" i="8"/>
  <c r="N454" i="8"/>
  <c r="Y454" i="8" s="1"/>
  <c r="M454" i="8"/>
  <c r="L454" i="8"/>
  <c r="K454" i="8"/>
  <c r="X453" i="8"/>
  <c r="W453" i="8"/>
  <c r="V453" i="8"/>
  <c r="U453" i="8"/>
  <c r="N453" i="8"/>
  <c r="Y453" i="8" s="1"/>
  <c r="M453" i="8"/>
  <c r="L453" i="8"/>
  <c r="K453" i="8"/>
  <c r="X452" i="8"/>
  <c r="W452" i="8"/>
  <c r="V452" i="8"/>
  <c r="U452" i="8"/>
  <c r="N452" i="8"/>
  <c r="Y452" i="8" s="1"/>
  <c r="M452" i="8"/>
  <c r="L452" i="8"/>
  <c r="K452" i="8"/>
  <c r="X451" i="8"/>
  <c r="W451" i="8"/>
  <c r="V451" i="8"/>
  <c r="U451" i="8"/>
  <c r="N451" i="8"/>
  <c r="Y451" i="8" s="1"/>
  <c r="M451" i="8"/>
  <c r="L451" i="8"/>
  <c r="K451" i="8"/>
  <c r="X450" i="8"/>
  <c r="W450" i="8"/>
  <c r="V450" i="8"/>
  <c r="U450" i="8"/>
  <c r="N450" i="8"/>
  <c r="Y450" i="8" s="1"/>
  <c r="M450" i="8"/>
  <c r="L450" i="8"/>
  <c r="K450" i="8"/>
  <c r="X449" i="8"/>
  <c r="W449" i="8"/>
  <c r="V449" i="8"/>
  <c r="U449" i="8"/>
  <c r="N449" i="8"/>
  <c r="Y449" i="8" s="1"/>
  <c r="M449" i="8"/>
  <c r="L449" i="8"/>
  <c r="K449" i="8"/>
  <c r="X448" i="8"/>
  <c r="W448" i="8"/>
  <c r="V448" i="8"/>
  <c r="U448" i="8"/>
  <c r="N448" i="8"/>
  <c r="Y448" i="8" s="1"/>
  <c r="M448" i="8"/>
  <c r="L448" i="8"/>
  <c r="K448" i="8"/>
  <c r="X447" i="8"/>
  <c r="W447" i="8"/>
  <c r="V447" i="8"/>
  <c r="U447" i="8"/>
  <c r="N447" i="8"/>
  <c r="Y447" i="8" s="1"/>
  <c r="M447" i="8"/>
  <c r="L447" i="8"/>
  <c r="K447" i="8"/>
  <c r="X446" i="8"/>
  <c r="W446" i="8"/>
  <c r="V446" i="8"/>
  <c r="U446" i="8"/>
  <c r="N446" i="8"/>
  <c r="Y446" i="8" s="1"/>
  <c r="M446" i="8"/>
  <c r="L446" i="8"/>
  <c r="K446" i="8"/>
  <c r="X445" i="8"/>
  <c r="W445" i="8"/>
  <c r="V445" i="8"/>
  <c r="U445" i="8"/>
  <c r="N445" i="8"/>
  <c r="Y445" i="8" s="1"/>
  <c r="M445" i="8"/>
  <c r="L445" i="8"/>
  <c r="K445" i="8"/>
  <c r="X444" i="8"/>
  <c r="W444" i="8"/>
  <c r="V444" i="8"/>
  <c r="U444" i="8"/>
  <c r="N444" i="8"/>
  <c r="Y444" i="8" s="1"/>
  <c r="M444" i="8"/>
  <c r="L444" i="8"/>
  <c r="K444" i="8"/>
  <c r="X443" i="8"/>
  <c r="W443" i="8"/>
  <c r="V443" i="8"/>
  <c r="U443" i="8"/>
  <c r="N443" i="8"/>
  <c r="Y443" i="8" s="1"/>
  <c r="M443" i="8"/>
  <c r="L443" i="8"/>
  <c r="K443" i="8"/>
  <c r="X442" i="8"/>
  <c r="W442" i="8"/>
  <c r="V442" i="8"/>
  <c r="U442" i="8"/>
  <c r="N442" i="8"/>
  <c r="Y442" i="8" s="1"/>
  <c r="M442" i="8"/>
  <c r="L442" i="8"/>
  <c r="K442" i="8"/>
  <c r="X441" i="8"/>
  <c r="W441" i="8"/>
  <c r="V441" i="8"/>
  <c r="U441" i="8"/>
  <c r="N441" i="8"/>
  <c r="Y441" i="8" s="1"/>
  <c r="M441" i="8"/>
  <c r="L441" i="8"/>
  <c r="K441" i="8"/>
  <c r="X440" i="8"/>
  <c r="W440" i="8"/>
  <c r="V440" i="8"/>
  <c r="U440" i="8"/>
  <c r="S440" i="8"/>
  <c r="N440" i="8"/>
  <c r="M440" i="8"/>
  <c r="L440" i="8"/>
  <c r="K440" i="8"/>
  <c r="X439" i="8"/>
  <c r="W439" i="8"/>
  <c r="V439" i="8"/>
  <c r="U439" i="8"/>
  <c r="S439" i="8"/>
  <c r="N439" i="8"/>
  <c r="M439" i="8"/>
  <c r="L439" i="8"/>
  <c r="K439" i="8"/>
  <c r="X438" i="8"/>
  <c r="W438" i="8"/>
  <c r="V438" i="8"/>
  <c r="U438" i="8"/>
  <c r="N438" i="8"/>
  <c r="Y438" i="8" s="1"/>
  <c r="M438" i="8"/>
  <c r="L438" i="8"/>
  <c r="K438" i="8"/>
  <c r="X437" i="8"/>
  <c r="W437" i="8"/>
  <c r="V437" i="8"/>
  <c r="U437" i="8"/>
  <c r="N437" i="8"/>
  <c r="Y437" i="8" s="1"/>
  <c r="M437" i="8"/>
  <c r="L437" i="8"/>
  <c r="K437" i="8"/>
  <c r="X436" i="8"/>
  <c r="W436" i="8"/>
  <c r="V436" i="8"/>
  <c r="U436" i="8"/>
  <c r="N436" i="8"/>
  <c r="Y436" i="8" s="1"/>
  <c r="M436" i="8"/>
  <c r="L436" i="8"/>
  <c r="K436" i="8"/>
  <c r="X435" i="8"/>
  <c r="W435" i="8"/>
  <c r="V435" i="8"/>
  <c r="U435" i="8"/>
  <c r="N435" i="8"/>
  <c r="Y435" i="8" s="1"/>
  <c r="M435" i="8"/>
  <c r="L435" i="8"/>
  <c r="K435" i="8"/>
  <c r="X434" i="8"/>
  <c r="W434" i="8"/>
  <c r="V434" i="8"/>
  <c r="U434" i="8"/>
  <c r="N434" i="8"/>
  <c r="Y434" i="8" s="1"/>
  <c r="M434" i="8"/>
  <c r="L434" i="8"/>
  <c r="K434" i="8"/>
  <c r="X433" i="8"/>
  <c r="W433" i="8"/>
  <c r="V433" i="8"/>
  <c r="U433" i="8"/>
  <c r="N433" i="8"/>
  <c r="Y433" i="8" s="1"/>
  <c r="M433" i="8"/>
  <c r="L433" i="8"/>
  <c r="K433" i="8"/>
  <c r="X432" i="8"/>
  <c r="W432" i="8"/>
  <c r="V432" i="8"/>
  <c r="U432" i="8"/>
  <c r="N432" i="8"/>
  <c r="Y432" i="8" s="1"/>
  <c r="M432" i="8"/>
  <c r="L432" i="8"/>
  <c r="K432" i="8"/>
  <c r="X431" i="8"/>
  <c r="W431" i="8"/>
  <c r="V431" i="8"/>
  <c r="U431" i="8"/>
  <c r="N431" i="8"/>
  <c r="Y431" i="8" s="1"/>
  <c r="M431" i="8"/>
  <c r="L431" i="8"/>
  <c r="K431" i="8"/>
  <c r="X430" i="8"/>
  <c r="W430" i="8"/>
  <c r="V430" i="8"/>
  <c r="U430" i="8"/>
  <c r="N430" i="8"/>
  <c r="Y430" i="8" s="1"/>
  <c r="M430" i="8"/>
  <c r="L430" i="8"/>
  <c r="K430" i="8"/>
  <c r="X429" i="8"/>
  <c r="W429" i="8"/>
  <c r="V429" i="8"/>
  <c r="U429" i="8"/>
  <c r="N429" i="8"/>
  <c r="Y429" i="8" s="1"/>
  <c r="M429" i="8"/>
  <c r="L429" i="8"/>
  <c r="K429" i="8"/>
  <c r="X428" i="8"/>
  <c r="W428" i="8"/>
  <c r="V428" i="8"/>
  <c r="U428" i="8"/>
  <c r="N428" i="8"/>
  <c r="Y428" i="8" s="1"/>
  <c r="M428" i="8"/>
  <c r="L428" i="8"/>
  <c r="K428" i="8"/>
  <c r="X427" i="8"/>
  <c r="W427" i="8"/>
  <c r="V427" i="8"/>
  <c r="U427" i="8"/>
  <c r="N427" i="8"/>
  <c r="Y427" i="8" s="1"/>
  <c r="M427" i="8"/>
  <c r="L427" i="8"/>
  <c r="K427" i="8"/>
  <c r="X426" i="8"/>
  <c r="W426" i="8"/>
  <c r="V426" i="8"/>
  <c r="U426" i="8"/>
  <c r="N426" i="8"/>
  <c r="Y426" i="8" s="1"/>
  <c r="M426" i="8"/>
  <c r="L426" i="8"/>
  <c r="K426" i="8"/>
  <c r="X425" i="8"/>
  <c r="W425" i="8"/>
  <c r="V425" i="8"/>
  <c r="U425" i="8"/>
  <c r="N425" i="8"/>
  <c r="Y425" i="8" s="1"/>
  <c r="M425" i="8"/>
  <c r="L425" i="8"/>
  <c r="K425" i="8"/>
  <c r="X424" i="8"/>
  <c r="W424" i="8"/>
  <c r="V424" i="8"/>
  <c r="U424" i="8"/>
  <c r="N424" i="8"/>
  <c r="Y424" i="8" s="1"/>
  <c r="M424" i="8"/>
  <c r="L424" i="8"/>
  <c r="K424" i="8"/>
  <c r="X423" i="8"/>
  <c r="W423" i="8"/>
  <c r="V423" i="8"/>
  <c r="U423" i="8"/>
  <c r="N423" i="8"/>
  <c r="Y423" i="8" s="1"/>
  <c r="M423" i="8"/>
  <c r="L423" i="8"/>
  <c r="K423" i="8"/>
  <c r="X422" i="8"/>
  <c r="W422" i="8"/>
  <c r="V422" i="8"/>
  <c r="U422" i="8"/>
  <c r="N422" i="8"/>
  <c r="Y422" i="8" s="1"/>
  <c r="M422" i="8"/>
  <c r="L422" i="8"/>
  <c r="K422" i="8"/>
  <c r="X421" i="8"/>
  <c r="W421" i="8"/>
  <c r="V421" i="8"/>
  <c r="U421" i="8"/>
  <c r="N421" i="8"/>
  <c r="Y421" i="8" s="1"/>
  <c r="M421" i="8"/>
  <c r="L421" i="8"/>
  <c r="K421" i="8"/>
  <c r="X420" i="8"/>
  <c r="W420" i="8"/>
  <c r="V420" i="8"/>
  <c r="U420" i="8"/>
  <c r="N420" i="8"/>
  <c r="Y420" i="8" s="1"/>
  <c r="M420" i="8"/>
  <c r="L420" i="8"/>
  <c r="K420" i="8"/>
  <c r="X419" i="8"/>
  <c r="W419" i="8"/>
  <c r="V419" i="8"/>
  <c r="U419" i="8"/>
  <c r="N419" i="8"/>
  <c r="Y419" i="8" s="1"/>
  <c r="M419" i="8"/>
  <c r="L419" i="8"/>
  <c r="K419" i="8"/>
  <c r="X418" i="8"/>
  <c r="W418" i="8"/>
  <c r="V418" i="8"/>
  <c r="U418" i="8"/>
  <c r="N418" i="8"/>
  <c r="Y418" i="8" s="1"/>
  <c r="M418" i="8"/>
  <c r="L418" i="8"/>
  <c r="K418" i="8"/>
  <c r="X417" i="8"/>
  <c r="W417" i="8"/>
  <c r="V417" i="8"/>
  <c r="U417" i="8"/>
  <c r="N417" i="8"/>
  <c r="Y417" i="8" s="1"/>
  <c r="M417" i="8"/>
  <c r="L417" i="8"/>
  <c r="K417" i="8"/>
  <c r="X416" i="8"/>
  <c r="W416" i="8"/>
  <c r="V416" i="8"/>
  <c r="U416" i="8"/>
  <c r="N416" i="8"/>
  <c r="Y416" i="8" s="1"/>
  <c r="M416" i="8"/>
  <c r="L416" i="8"/>
  <c r="K416" i="8"/>
  <c r="X415" i="8"/>
  <c r="W415" i="8"/>
  <c r="V415" i="8"/>
  <c r="U415" i="8"/>
  <c r="N415" i="8"/>
  <c r="Y415" i="8" s="1"/>
  <c r="M415" i="8"/>
  <c r="L415" i="8"/>
  <c r="K415" i="8"/>
  <c r="X414" i="8"/>
  <c r="W414" i="8"/>
  <c r="V414" i="8"/>
  <c r="U414" i="8"/>
  <c r="N414" i="8"/>
  <c r="Y414" i="8" s="1"/>
  <c r="M414" i="8"/>
  <c r="L414" i="8"/>
  <c r="K414" i="8"/>
  <c r="X413" i="8"/>
  <c r="W413" i="8"/>
  <c r="V413" i="8"/>
  <c r="U413" i="8"/>
  <c r="N413" i="8"/>
  <c r="Y413" i="8" s="1"/>
  <c r="M413" i="8"/>
  <c r="L413" i="8"/>
  <c r="K413" i="8"/>
  <c r="X412" i="8"/>
  <c r="W412" i="8"/>
  <c r="V412" i="8"/>
  <c r="U412" i="8"/>
  <c r="S412" i="8"/>
  <c r="N412" i="8"/>
  <c r="M412" i="8"/>
  <c r="L412" i="8"/>
  <c r="K412" i="8"/>
  <c r="X411" i="8"/>
  <c r="W411" i="8"/>
  <c r="V411" i="8"/>
  <c r="U411" i="8"/>
  <c r="N411" i="8"/>
  <c r="Y411" i="8" s="1"/>
  <c r="M411" i="8"/>
  <c r="L411" i="8"/>
  <c r="K411" i="8"/>
  <c r="X410" i="8"/>
  <c r="W410" i="8"/>
  <c r="V410" i="8"/>
  <c r="U410" i="8"/>
  <c r="N410" i="8"/>
  <c r="Y410" i="8" s="1"/>
  <c r="M410" i="8"/>
  <c r="L410" i="8"/>
  <c r="K410" i="8"/>
  <c r="X409" i="8"/>
  <c r="W409" i="8"/>
  <c r="V409" i="8"/>
  <c r="U409" i="8"/>
  <c r="N409" i="8"/>
  <c r="Y409" i="8" s="1"/>
  <c r="M409" i="8"/>
  <c r="L409" i="8"/>
  <c r="K409" i="8"/>
  <c r="X408" i="8"/>
  <c r="W408" i="8"/>
  <c r="V408" i="8"/>
  <c r="U408" i="8"/>
  <c r="N408" i="8"/>
  <c r="Y408" i="8" s="1"/>
  <c r="M408" i="8"/>
  <c r="L408" i="8"/>
  <c r="K408" i="8"/>
  <c r="X407" i="8"/>
  <c r="W407" i="8"/>
  <c r="V407" i="8"/>
  <c r="U407" i="8"/>
  <c r="N407" i="8"/>
  <c r="Y407" i="8" s="1"/>
  <c r="M407" i="8"/>
  <c r="L407" i="8"/>
  <c r="K407" i="8"/>
  <c r="X406" i="8"/>
  <c r="W406" i="8"/>
  <c r="V406" i="8"/>
  <c r="U406" i="8"/>
  <c r="N406" i="8"/>
  <c r="Y406" i="8" s="1"/>
  <c r="M406" i="8"/>
  <c r="L406" i="8"/>
  <c r="K406" i="8"/>
  <c r="X405" i="8"/>
  <c r="W405" i="8"/>
  <c r="V405" i="8"/>
  <c r="U405" i="8"/>
  <c r="N405" i="8"/>
  <c r="Y405" i="8" s="1"/>
  <c r="M405" i="8"/>
  <c r="L405" i="8"/>
  <c r="K405" i="8"/>
  <c r="X404" i="8"/>
  <c r="W404" i="8"/>
  <c r="V404" i="8"/>
  <c r="U404" i="8"/>
  <c r="N404" i="8"/>
  <c r="Y404" i="8" s="1"/>
  <c r="M404" i="8"/>
  <c r="L404" i="8"/>
  <c r="K404" i="8"/>
  <c r="X403" i="8"/>
  <c r="W403" i="8"/>
  <c r="V403" i="8"/>
  <c r="U403" i="8"/>
  <c r="N403" i="8"/>
  <c r="Y403" i="8" s="1"/>
  <c r="M403" i="8"/>
  <c r="L403" i="8"/>
  <c r="K403" i="8"/>
  <c r="X402" i="8"/>
  <c r="W402" i="8"/>
  <c r="V402" i="8"/>
  <c r="U402" i="8"/>
  <c r="N402" i="8"/>
  <c r="Y402" i="8" s="1"/>
  <c r="M402" i="8"/>
  <c r="L402" i="8"/>
  <c r="K402" i="8"/>
  <c r="X401" i="8"/>
  <c r="W401" i="8"/>
  <c r="V401" i="8"/>
  <c r="U401" i="8"/>
  <c r="N401" i="8"/>
  <c r="Y401" i="8" s="1"/>
  <c r="M401" i="8"/>
  <c r="L401" i="8"/>
  <c r="K401" i="8"/>
  <c r="X400" i="8"/>
  <c r="W400" i="8"/>
  <c r="V400" i="8"/>
  <c r="U400" i="8"/>
  <c r="N400" i="8"/>
  <c r="Y400" i="8" s="1"/>
  <c r="M400" i="8"/>
  <c r="L400" i="8"/>
  <c r="K400" i="8"/>
  <c r="X399" i="8"/>
  <c r="W399" i="8"/>
  <c r="V399" i="8"/>
  <c r="U399" i="8"/>
  <c r="N399" i="8"/>
  <c r="Y399" i="8" s="1"/>
  <c r="M399" i="8"/>
  <c r="L399" i="8"/>
  <c r="K399" i="8"/>
  <c r="X398" i="8"/>
  <c r="W398" i="8"/>
  <c r="V398" i="8"/>
  <c r="U398" i="8"/>
  <c r="N398" i="8"/>
  <c r="Y398" i="8" s="1"/>
  <c r="M398" i="8"/>
  <c r="L398" i="8"/>
  <c r="K398" i="8"/>
  <c r="X397" i="8"/>
  <c r="W397" i="8"/>
  <c r="V397" i="8"/>
  <c r="U397" i="8"/>
  <c r="N397" i="8"/>
  <c r="Y397" i="8" s="1"/>
  <c r="M397" i="8"/>
  <c r="L397" i="8"/>
  <c r="K397" i="8"/>
  <c r="X396" i="8"/>
  <c r="W396" i="8"/>
  <c r="V396" i="8"/>
  <c r="U396" i="8"/>
  <c r="N396" i="8"/>
  <c r="Y396" i="8" s="1"/>
  <c r="M396" i="8"/>
  <c r="L396" i="8"/>
  <c r="K396" i="8"/>
  <c r="X395" i="8"/>
  <c r="W395" i="8"/>
  <c r="V395" i="8"/>
  <c r="U395" i="8"/>
  <c r="N395" i="8"/>
  <c r="Y395" i="8" s="1"/>
  <c r="M395" i="8"/>
  <c r="L395" i="8"/>
  <c r="K395" i="8"/>
  <c r="X394" i="8"/>
  <c r="W394" i="8"/>
  <c r="V394" i="8"/>
  <c r="U394" i="8"/>
  <c r="N394" i="8"/>
  <c r="Y394" i="8" s="1"/>
  <c r="M394" i="8"/>
  <c r="L394" i="8"/>
  <c r="K394" i="8"/>
  <c r="X393" i="8"/>
  <c r="W393" i="8"/>
  <c r="V393" i="8"/>
  <c r="U393" i="8"/>
  <c r="N393" i="8"/>
  <c r="Y393" i="8" s="1"/>
  <c r="M393" i="8"/>
  <c r="L393" i="8"/>
  <c r="K393" i="8"/>
  <c r="X392" i="8"/>
  <c r="W392" i="8"/>
  <c r="V392" i="8"/>
  <c r="U392" i="8"/>
  <c r="N392" i="8"/>
  <c r="Y392" i="8" s="1"/>
  <c r="M392" i="8"/>
  <c r="L392" i="8"/>
  <c r="K392" i="8"/>
  <c r="X391" i="8"/>
  <c r="W391" i="8"/>
  <c r="V391" i="8"/>
  <c r="U391" i="8"/>
  <c r="N391" i="8"/>
  <c r="Y391" i="8" s="1"/>
  <c r="M391" i="8"/>
  <c r="L391" i="8"/>
  <c r="K391" i="8"/>
  <c r="X390" i="8"/>
  <c r="W390" i="8"/>
  <c r="V390" i="8"/>
  <c r="U390" i="8"/>
  <c r="N390" i="8"/>
  <c r="Y390" i="8" s="1"/>
  <c r="M390" i="8"/>
  <c r="L390" i="8"/>
  <c r="K390" i="8"/>
  <c r="X389" i="8"/>
  <c r="W389" i="8"/>
  <c r="V389" i="8"/>
  <c r="U389" i="8"/>
  <c r="N389" i="8"/>
  <c r="Y389" i="8" s="1"/>
  <c r="M389" i="8"/>
  <c r="L389" i="8"/>
  <c r="K389" i="8"/>
  <c r="X388" i="8"/>
  <c r="W388" i="8"/>
  <c r="V388" i="8"/>
  <c r="U388" i="8"/>
  <c r="N388" i="8"/>
  <c r="Y388" i="8" s="1"/>
  <c r="M388" i="8"/>
  <c r="L388" i="8"/>
  <c r="K388" i="8"/>
  <c r="X387" i="8"/>
  <c r="W387" i="8"/>
  <c r="V387" i="8"/>
  <c r="U387" i="8"/>
  <c r="N387" i="8"/>
  <c r="Y387" i="8" s="1"/>
  <c r="M387" i="8"/>
  <c r="L387" i="8"/>
  <c r="K387" i="8"/>
  <c r="X386" i="8"/>
  <c r="W386" i="8"/>
  <c r="V386" i="8"/>
  <c r="U386" i="8"/>
  <c r="N386" i="8"/>
  <c r="Y386" i="8" s="1"/>
  <c r="M386" i="8"/>
  <c r="L386" i="8"/>
  <c r="K386" i="8"/>
  <c r="X385" i="8"/>
  <c r="W385" i="8"/>
  <c r="V385" i="8"/>
  <c r="U385" i="8"/>
  <c r="N385" i="8"/>
  <c r="Y385" i="8" s="1"/>
  <c r="M385" i="8"/>
  <c r="L385" i="8"/>
  <c r="K385" i="8"/>
  <c r="X384" i="8"/>
  <c r="W384" i="8"/>
  <c r="V384" i="8"/>
  <c r="U384" i="8"/>
  <c r="N384" i="8"/>
  <c r="Y384" i="8" s="1"/>
  <c r="M384" i="8"/>
  <c r="L384" i="8"/>
  <c r="K384" i="8"/>
  <c r="X383" i="8"/>
  <c r="W383" i="8"/>
  <c r="V383" i="8"/>
  <c r="U383" i="8"/>
  <c r="N383" i="8"/>
  <c r="Y383" i="8" s="1"/>
  <c r="M383" i="8"/>
  <c r="L383" i="8"/>
  <c r="K383" i="8"/>
  <c r="X382" i="8"/>
  <c r="W382" i="8"/>
  <c r="V382" i="8"/>
  <c r="U382" i="8"/>
  <c r="N382" i="8"/>
  <c r="Y382" i="8" s="1"/>
  <c r="M382" i="8"/>
  <c r="L382" i="8"/>
  <c r="K382" i="8"/>
  <c r="X381" i="8"/>
  <c r="W381" i="8"/>
  <c r="V381" i="8"/>
  <c r="U381" i="8"/>
  <c r="N381" i="8"/>
  <c r="Y381" i="8" s="1"/>
  <c r="M381" i="8"/>
  <c r="L381" i="8"/>
  <c r="K381" i="8"/>
  <c r="X380" i="8"/>
  <c r="W380" i="8"/>
  <c r="V380" i="8"/>
  <c r="U380" i="8"/>
  <c r="N380" i="8"/>
  <c r="Y380" i="8" s="1"/>
  <c r="M380" i="8"/>
  <c r="L380" i="8"/>
  <c r="K380" i="8"/>
  <c r="X379" i="8"/>
  <c r="W379" i="8"/>
  <c r="V379" i="8"/>
  <c r="U379" i="8"/>
  <c r="N379" i="8"/>
  <c r="Y379" i="8" s="1"/>
  <c r="M379" i="8"/>
  <c r="L379" i="8"/>
  <c r="K379" i="8"/>
  <c r="X378" i="8"/>
  <c r="W378" i="8"/>
  <c r="V378" i="8"/>
  <c r="U378" i="8"/>
  <c r="N378" i="8"/>
  <c r="Y378" i="8" s="1"/>
  <c r="M378" i="8"/>
  <c r="L378" i="8"/>
  <c r="K378" i="8"/>
  <c r="X377" i="8"/>
  <c r="W377" i="8"/>
  <c r="V377" i="8"/>
  <c r="U377" i="8"/>
  <c r="N377" i="8"/>
  <c r="Y377" i="8" s="1"/>
  <c r="M377" i="8"/>
  <c r="L377" i="8"/>
  <c r="K377" i="8"/>
  <c r="X376" i="8"/>
  <c r="W376" i="8"/>
  <c r="V376" i="8"/>
  <c r="U376" i="8"/>
  <c r="N376" i="8"/>
  <c r="Y376" i="8" s="1"/>
  <c r="M376" i="8"/>
  <c r="L376" i="8"/>
  <c r="K376" i="8"/>
  <c r="X375" i="8"/>
  <c r="W375" i="8"/>
  <c r="V375" i="8"/>
  <c r="U375" i="8"/>
  <c r="N375" i="8"/>
  <c r="Y375" i="8" s="1"/>
  <c r="M375" i="8"/>
  <c r="L375" i="8"/>
  <c r="K375" i="8"/>
  <c r="X374" i="8"/>
  <c r="W374" i="8"/>
  <c r="V374" i="8"/>
  <c r="U374" i="8"/>
  <c r="N374" i="8"/>
  <c r="Y374" i="8" s="1"/>
  <c r="M374" i="8"/>
  <c r="L374" i="8"/>
  <c r="K374" i="8"/>
  <c r="X373" i="8"/>
  <c r="W373" i="8"/>
  <c r="V373" i="8"/>
  <c r="U373" i="8"/>
  <c r="N373" i="8"/>
  <c r="Y373" i="8" s="1"/>
  <c r="M373" i="8"/>
  <c r="L373" i="8"/>
  <c r="K373" i="8"/>
  <c r="X372" i="8"/>
  <c r="W372" i="8"/>
  <c r="V372" i="8"/>
  <c r="U372" i="8"/>
  <c r="N372" i="8"/>
  <c r="Y372" i="8" s="1"/>
  <c r="M372" i="8"/>
  <c r="L372" i="8"/>
  <c r="K372" i="8"/>
  <c r="X371" i="8"/>
  <c r="W371" i="8"/>
  <c r="V371" i="8"/>
  <c r="U371" i="8"/>
  <c r="N371" i="8"/>
  <c r="Y371" i="8" s="1"/>
  <c r="M371" i="8"/>
  <c r="L371" i="8"/>
  <c r="K371" i="8"/>
  <c r="X370" i="8"/>
  <c r="W370" i="8"/>
  <c r="V370" i="8"/>
  <c r="U370" i="8"/>
  <c r="N370" i="8"/>
  <c r="Y370" i="8" s="1"/>
  <c r="M370" i="8"/>
  <c r="L370" i="8"/>
  <c r="K370" i="8"/>
  <c r="X369" i="8"/>
  <c r="W369" i="8"/>
  <c r="V369" i="8"/>
  <c r="U369" i="8"/>
  <c r="N369" i="8"/>
  <c r="Y369" i="8" s="1"/>
  <c r="M369" i="8"/>
  <c r="L369" i="8"/>
  <c r="K369" i="8"/>
  <c r="X368" i="8"/>
  <c r="W368" i="8"/>
  <c r="V368" i="8"/>
  <c r="U368" i="8"/>
  <c r="N368" i="8"/>
  <c r="Y368" i="8" s="1"/>
  <c r="M368" i="8"/>
  <c r="L368" i="8"/>
  <c r="K368" i="8"/>
  <c r="X367" i="8"/>
  <c r="W367" i="8"/>
  <c r="V367" i="8"/>
  <c r="U367" i="8"/>
  <c r="N367" i="8"/>
  <c r="Y367" i="8" s="1"/>
  <c r="M367" i="8"/>
  <c r="L367" i="8"/>
  <c r="K367" i="8"/>
  <c r="X366" i="8"/>
  <c r="W366" i="8"/>
  <c r="V366" i="8"/>
  <c r="U366" i="8"/>
  <c r="N366" i="8"/>
  <c r="Y366" i="8" s="1"/>
  <c r="M366" i="8"/>
  <c r="L366" i="8"/>
  <c r="K366" i="8"/>
  <c r="X365" i="8"/>
  <c r="W365" i="8"/>
  <c r="V365" i="8"/>
  <c r="U365" i="8"/>
  <c r="N365" i="8"/>
  <c r="Y365" i="8" s="1"/>
  <c r="M365" i="8"/>
  <c r="L365" i="8"/>
  <c r="K365" i="8"/>
  <c r="X364" i="8"/>
  <c r="W364" i="8"/>
  <c r="V364" i="8"/>
  <c r="U364" i="8"/>
  <c r="N364" i="8"/>
  <c r="Y364" i="8" s="1"/>
  <c r="M364" i="8"/>
  <c r="L364" i="8"/>
  <c r="K364" i="8"/>
  <c r="X363" i="8"/>
  <c r="W363" i="8"/>
  <c r="V363" i="8"/>
  <c r="U363" i="8"/>
  <c r="N363" i="8"/>
  <c r="Y363" i="8" s="1"/>
  <c r="M363" i="8"/>
  <c r="L363" i="8"/>
  <c r="K363" i="8"/>
  <c r="X362" i="8"/>
  <c r="W362" i="8"/>
  <c r="V362" i="8"/>
  <c r="U362" i="8"/>
  <c r="S362" i="8"/>
  <c r="N362" i="8"/>
  <c r="M362" i="8"/>
  <c r="L362" i="8"/>
  <c r="K362" i="8"/>
  <c r="X361" i="8"/>
  <c r="W361" i="8"/>
  <c r="V361" i="8"/>
  <c r="U361" i="8"/>
  <c r="S361" i="8"/>
  <c r="N361" i="8"/>
  <c r="M361" i="8"/>
  <c r="L361" i="8"/>
  <c r="K361" i="8"/>
  <c r="X360" i="8"/>
  <c r="W360" i="8"/>
  <c r="V360" i="8"/>
  <c r="U360" i="8"/>
  <c r="N360" i="8"/>
  <c r="Y360" i="8" s="1"/>
  <c r="M360" i="8"/>
  <c r="L360" i="8"/>
  <c r="K360" i="8"/>
  <c r="X359" i="8"/>
  <c r="W359" i="8"/>
  <c r="V359" i="8"/>
  <c r="U359" i="8"/>
  <c r="N359" i="8"/>
  <c r="Y359" i="8" s="1"/>
  <c r="M359" i="8"/>
  <c r="L359" i="8"/>
  <c r="K359" i="8"/>
  <c r="X358" i="8"/>
  <c r="W358" i="8"/>
  <c r="V358" i="8"/>
  <c r="U358" i="8"/>
  <c r="N358" i="8"/>
  <c r="Y358" i="8" s="1"/>
  <c r="M358" i="8"/>
  <c r="L358" i="8"/>
  <c r="K358" i="8"/>
  <c r="X357" i="8"/>
  <c r="W357" i="8"/>
  <c r="V357" i="8"/>
  <c r="U357" i="8"/>
  <c r="N357" i="8"/>
  <c r="Y357" i="8" s="1"/>
  <c r="M357" i="8"/>
  <c r="L357" i="8"/>
  <c r="X356" i="8"/>
  <c r="W356" i="8"/>
  <c r="V356" i="8"/>
  <c r="U356" i="8"/>
  <c r="N356" i="8"/>
  <c r="Y356" i="8" s="1"/>
  <c r="M356" i="8"/>
  <c r="L356" i="8"/>
  <c r="K356" i="8"/>
  <c r="X355" i="8"/>
  <c r="W355" i="8"/>
  <c r="V355" i="8"/>
  <c r="U355" i="8"/>
  <c r="N355" i="8"/>
  <c r="Y355" i="8" s="1"/>
  <c r="M355" i="8"/>
  <c r="L355" i="8"/>
  <c r="K355" i="8"/>
  <c r="X354" i="8"/>
  <c r="W354" i="8"/>
  <c r="V354" i="8"/>
  <c r="U354" i="8"/>
  <c r="N354" i="8"/>
  <c r="Y354" i="8" s="1"/>
  <c r="M354" i="8"/>
  <c r="L354" i="8"/>
  <c r="K354" i="8"/>
  <c r="X353" i="8"/>
  <c r="W353" i="8"/>
  <c r="V353" i="8"/>
  <c r="U353" i="8"/>
  <c r="N353" i="8"/>
  <c r="Y353" i="8" s="1"/>
  <c r="M353" i="8"/>
  <c r="L353" i="8"/>
  <c r="K353" i="8"/>
  <c r="X352" i="8"/>
  <c r="W352" i="8"/>
  <c r="V352" i="8"/>
  <c r="U352" i="8"/>
  <c r="N352" i="8"/>
  <c r="Y352" i="8" s="1"/>
  <c r="M352" i="8"/>
  <c r="L352" i="8"/>
  <c r="K352" i="8"/>
  <c r="X351" i="8"/>
  <c r="W351" i="8"/>
  <c r="V351" i="8"/>
  <c r="U351" i="8"/>
  <c r="N351" i="8"/>
  <c r="Y351" i="8" s="1"/>
  <c r="M351" i="8"/>
  <c r="L351" i="8"/>
  <c r="K351" i="8"/>
  <c r="X350" i="8"/>
  <c r="W350" i="8"/>
  <c r="V350" i="8"/>
  <c r="U350" i="8"/>
  <c r="N350" i="8"/>
  <c r="Y350" i="8" s="1"/>
  <c r="M350" i="8"/>
  <c r="L350" i="8"/>
  <c r="K350" i="8"/>
  <c r="X349" i="8"/>
  <c r="W349" i="8"/>
  <c r="V349" i="8"/>
  <c r="U349" i="8"/>
  <c r="N349" i="8"/>
  <c r="Y349" i="8" s="1"/>
  <c r="M349" i="8"/>
  <c r="L349" i="8"/>
  <c r="K349" i="8"/>
  <c r="X348" i="8"/>
  <c r="W348" i="8"/>
  <c r="V348" i="8"/>
  <c r="U348" i="8"/>
  <c r="N348" i="8"/>
  <c r="Y348" i="8" s="1"/>
  <c r="M348" i="8"/>
  <c r="L348" i="8"/>
  <c r="K348" i="8"/>
  <c r="X347" i="8"/>
  <c r="W347" i="8"/>
  <c r="V347" i="8"/>
  <c r="U347" i="8"/>
  <c r="N347" i="8"/>
  <c r="Y347" i="8" s="1"/>
  <c r="M347" i="8"/>
  <c r="L347" i="8"/>
  <c r="K347" i="8"/>
  <c r="X346" i="8"/>
  <c r="W346" i="8"/>
  <c r="V346" i="8"/>
  <c r="U346" i="8"/>
  <c r="N346" i="8"/>
  <c r="Y346" i="8" s="1"/>
  <c r="M346" i="8"/>
  <c r="L346" i="8"/>
  <c r="K346" i="8"/>
  <c r="X345" i="8"/>
  <c r="W345" i="8"/>
  <c r="V345" i="8"/>
  <c r="U345" i="8"/>
  <c r="N345" i="8"/>
  <c r="Y345" i="8" s="1"/>
  <c r="M345" i="8"/>
  <c r="L345" i="8"/>
  <c r="K345" i="8"/>
  <c r="X344" i="8"/>
  <c r="W344" i="8"/>
  <c r="V344" i="8"/>
  <c r="U344" i="8"/>
  <c r="N344" i="8"/>
  <c r="Y344" i="8" s="1"/>
  <c r="M344" i="8"/>
  <c r="L344" i="8"/>
  <c r="K344" i="8"/>
  <c r="X343" i="8"/>
  <c r="W343" i="8"/>
  <c r="V343" i="8"/>
  <c r="U343" i="8"/>
  <c r="N343" i="8"/>
  <c r="Y343" i="8" s="1"/>
  <c r="M343" i="8"/>
  <c r="L343" i="8"/>
  <c r="K343" i="8"/>
  <c r="X342" i="8"/>
  <c r="W342" i="8"/>
  <c r="V342" i="8"/>
  <c r="U342" i="8"/>
  <c r="N342" i="8"/>
  <c r="Y342" i="8" s="1"/>
  <c r="M342" i="8"/>
  <c r="L342" i="8"/>
  <c r="K342" i="8"/>
  <c r="X341" i="8"/>
  <c r="W341" i="8"/>
  <c r="V341" i="8"/>
  <c r="U341" i="8"/>
  <c r="N341" i="8"/>
  <c r="Y341" i="8" s="1"/>
  <c r="M341" i="8"/>
  <c r="L341" i="8"/>
  <c r="K341" i="8"/>
  <c r="X340" i="8"/>
  <c r="W340" i="8"/>
  <c r="V340" i="8"/>
  <c r="U340" i="8"/>
  <c r="N340" i="8"/>
  <c r="Y340" i="8" s="1"/>
  <c r="M340" i="8"/>
  <c r="L340" i="8"/>
  <c r="K340" i="8"/>
  <c r="X339" i="8"/>
  <c r="W339" i="8"/>
  <c r="V339" i="8"/>
  <c r="U339" i="8"/>
  <c r="N339" i="8"/>
  <c r="Y339" i="8" s="1"/>
  <c r="M339" i="8"/>
  <c r="L339" i="8"/>
  <c r="K339" i="8"/>
  <c r="X338" i="8"/>
  <c r="W338" i="8"/>
  <c r="V338" i="8"/>
  <c r="U338" i="8"/>
  <c r="N338" i="8"/>
  <c r="Y338" i="8" s="1"/>
  <c r="M338" i="8"/>
  <c r="L338" i="8"/>
  <c r="K338" i="8"/>
  <c r="X337" i="8"/>
  <c r="W337" i="8"/>
  <c r="V337" i="8"/>
  <c r="U337" i="8"/>
  <c r="N337" i="8"/>
  <c r="Y337" i="8" s="1"/>
  <c r="M337" i="8"/>
  <c r="L337" i="8"/>
  <c r="K337" i="8"/>
  <c r="X336" i="8"/>
  <c r="W336" i="8"/>
  <c r="V336" i="8"/>
  <c r="U336" i="8"/>
  <c r="N336" i="8"/>
  <c r="Y336" i="8" s="1"/>
  <c r="M336" i="8"/>
  <c r="L336" i="8"/>
  <c r="K336" i="8"/>
  <c r="X335" i="8"/>
  <c r="W335" i="8"/>
  <c r="V335" i="8"/>
  <c r="U335" i="8"/>
  <c r="N335" i="8"/>
  <c r="Y335" i="8" s="1"/>
  <c r="M335" i="8"/>
  <c r="L335" i="8"/>
  <c r="K335" i="8"/>
  <c r="X334" i="8"/>
  <c r="W334" i="8"/>
  <c r="V334" i="8"/>
  <c r="U334" i="8"/>
  <c r="N334" i="8"/>
  <c r="Y334" i="8" s="1"/>
  <c r="M334" i="8"/>
  <c r="L334" i="8"/>
  <c r="K334" i="8"/>
  <c r="X333" i="8"/>
  <c r="W333" i="8"/>
  <c r="V333" i="8"/>
  <c r="U333" i="8"/>
  <c r="N333" i="8"/>
  <c r="Y333" i="8" s="1"/>
  <c r="M333" i="8"/>
  <c r="L333" i="8"/>
  <c r="K333" i="8"/>
  <c r="X332" i="8"/>
  <c r="W332" i="8"/>
  <c r="V332" i="8"/>
  <c r="U332" i="8"/>
  <c r="N332" i="8"/>
  <c r="Y332" i="8" s="1"/>
  <c r="M332" i="8"/>
  <c r="L332" i="8"/>
  <c r="K332" i="8"/>
  <c r="X331" i="8"/>
  <c r="W331" i="8"/>
  <c r="V331" i="8"/>
  <c r="U331" i="8"/>
  <c r="N331" i="8"/>
  <c r="Y331" i="8" s="1"/>
  <c r="M331" i="8"/>
  <c r="L331" i="8"/>
  <c r="K331" i="8"/>
  <c r="X330" i="8"/>
  <c r="W330" i="8"/>
  <c r="V330" i="8"/>
  <c r="U330" i="8"/>
  <c r="N330" i="8"/>
  <c r="Y330" i="8" s="1"/>
  <c r="M330" i="8"/>
  <c r="L330" i="8"/>
  <c r="K330" i="8"/>
  <c r="X329" i="8"/>
  <c r="W329" i="8"/>
  <c r="V329" i="8"/>
  <c r="U329" i="8"/>
  <c r="N329" i="8"/>
  <c r="Y329" i="8" s="1"/>
  <c r="M329" i="8"/>
  <c r="L329" i="8"/>
  <c r="K329" i="8"/>
  <c r="X328" i="8"/>
  <c r="W328" i="8"/>
  <c r="V328" i="8"/>
  <c r="U328" i="8"/>
  <c r="N328" i="8"/>
  <c r="Y328" i="8" s="1"/>
  <c r="M328" i="8"/>
  <c r="L328" i="8"/>
  <c r="K328" i="8"/>
  <c r="X327" i="8"/>
  <c r="W327" i="8"/>
  <c r="V327" i="8"/>
  <c r="U327" i="8"/>
  <c r="N327" i="8"/>
  <c r="Y327" i="8" s="1"/>
  <c r="M327" i="8"/>
  <c r="L327" i="8"/>
  <c r="K327" i="8"/>
  <c r="X326" i="8"/>
  <c r="W326" i="8"/>
  <c r="V326" i="8"/>
  <c r="U326" i="8"/>
  <c r="N326" i="8"/>
  <c r="Y326" i="8" s="1"/>
  <c r="M326" i="8"/>
  <c r="L326" i="8"/>
  <c r="K326" i="8"/>
  <c r="X325" i="8"/>
  <c r="W325" i="8"/>
  <c r="V325" i="8"/>
  <c r="U325" i="8"/>
  <c r="N325" i="8"/>
  <c r="Y325" i="8" s="1"/>
  <c r="M325" i="8"/>
  <c r="L325" i="8"/>
  <c r="K325" i="8"/>
  <c r="X324" i="8"/>
  <c r="W324" i="8"/>
  <c r="V324" i="8"/>
  <c r="U324" i="8"/>
  <c r="N324" i="8"/>
  <c r="Y324" i="8" s="1"/>
  <c r="M324" i="8"/>
  <c r="L324" i="8"/>
  <c r="K324" i="8"/>
  <c r="X323" i="8"/>
  <c r="W323" i="8"/>
  <c r="V323" i="8"/>
  <c r="U323" i="8"/>
  <c r="N323" i="8"/>
  <c r="Y323" i="8" s="1"/>
  <c r="M323" i="8"/>
  <c r="L323" i="8"/>
  <c r="K323" i="8"/>
  <c r="X322" i="8"/>
  <c r="W322" i="8"/>
  <c r="V322" i="8"/>
  <c r="U322" i="8"/>
  <c r="N322" i="8"/>
  <c r="Y322" i="8" s="1"/>
  <c r="M322" i="8"/>
  <c r="L322" i="8"/>
  <c r="K322" i="8"/>
  <c r="X321" i="8"/>
  <c r="W321" i="8"/>
  <c r="V321" i="8"/>
  <c r="U321" i="8"/>
  <c r="N321" i="8"/>
  <c r="Y321" i="8" s="1"/>
  <c r="M321" i="8"/>
  <c r="L321" i="8"/>
  <c r="K321" i="8"/>
  <c r="X320" i="8"/>
  <c r="W320" i="8"/>
  <c r="V320" i="8"/>
  <c r="U320" i="8"/>
  <c r="N320" i="8"/>
  <c r="Y320" i="8" s="1"/>
  <c r="M320" i="8"/>
  <c r="L320" i="8"/>
  <c r="K320" i="8"/>
  <c r="X319" i="8"/>
  <c r="W319" i="8"/>
  <c r="V319" i="8"/>
  <c r="U319" i="8"/>
  <c r="N319" i="8"/>
  <c r="Y319" i="8" s="1"/>
  <c r="M319" i="8"/>
  <c r="L319" i="8"/>
  <c r="K319" i="8"/>
  <c r="X318" i="8"/>
  <c r="W318" i="8"/>
  <c r="V318" i="8"/>
  <c r="U318" i="8"/>
  <c r="N318" i="8"/>
  <c r="Y318" i="8" s="1"/>
  <c r="M318" i="8"/>
  <c r="L318" i="8"/>
  <c r="K318" i="8"/>
  <c r="X317" i="8"/>
  <c r="W317" i="8"/>
  <c r="V317" i="8"/>
  <c r="U317" i="8"/>
  <c r="N317" i="8"/>
  <c r="Y317" i="8" s="1"/>
  <c r="M317" i="8"/>
  <c r="L317" i="8"/>
  <c r="K317" i="8"/>
  <c r="X316" i="8"/>
  <c r="W316" i="8"/>
  <c r="V316" i="8"/>
  <c r="U316" i="8"/>
  <c r="N316" i="8"/>
  <c r="Y316" i="8" s="1"/>
  <c r="M316" i="8"/>
  <c r="L316" i="8"/>
  <c r="K316" i="8"/>
  <c r="X315" i="8"/>
  <c r="W315" i="8"/>
  <c r="V315" i="8"/>
  <c r="U315" i="8"/>
  <c r="N315" i="8"/>
  <c r="Y315" i="8" s="1"/>
  <c r="M315" i="8"/>
  <c r="L315" i="8"/>
  <c r="K315" i="8"/>
  <c r="X314" i="8"/>
  <c r="W314" i="8"/>
  <c r="V314" i="8"/>
  <c r="U314" i="8"/>
  <c r="N314" i="8"/>
  <c r="Y314" i="8" s="1"/>
  <c r="M314" i="8"/>
  <c r="L314" i="8"/>
  <c r="K314" i="8"/>
  <c r="X313" i="8"/>
  <c r="W313" i="8"/>
  <c r="V313" i="8"/>
  <c r="U313" i="8"/>
  <c r="N313" i="8"/>
  <c r="Y313" i="8" s="1"/>
  <c r="M313" i="8"/>
  <c r="L313" i="8"/>
  <c r="K313" i="8"/>
  <c r="X312" i="8"/>
  <c r="W312" i="8"/>
  <c r="V312" i="8"/>
  <c r="U312" i="8"/>
  <c r="N312" i="8"/>
  <c r="Y312" i="8" s="1"/>
  <c r="M312" i="8"/>
  <c r="L312" i="8"/>
  <c r="K312" i="8"/>
  <c r="X311" i="8"/>
  <c r="W311" i="8"/>
  <c r="V311" i="8"/>
  <c r="U311" i="8"/>
  <c r="N311" i="8"/>
  <c r="Y311" i="8" s="1"/>
  <c r="M311" i="8"/>
  <c r="L311" i="8"/>
  <c r="K311" i="8"/>
  <c r="X310" i="8"/>
  <c r="W310" i="8"/>
  <c r="V310" i="8"/>
  <c r="U310" i="8"/>
  <c r="N310" i="8"/>
  <c r="Y310" i="8" s="1"/>
  <c r="M310" i="8"/>
  <c r="L310" i="8"/>
  <c r="K310" i="8"/>
  <c r="X309" i="8"/>
  <c r="W309" i="8"/>
  <c r="V309" i="8"/>
  <c r="U309" i="8"/>
  <c r="N309" i="8"/>
  <c r="Y309" i="8" s="1"/>
  <c r="M309" i="8"/>
  <c r="L309" i="8"/>
  <c r="K309" i="8"/>
  <c r="X308" i="8"/>
  <c r="W308" i="8"/>
  <c r="V308" i="8"/>
  <c r="U308" i="8"/>
  <c r="N308" i="8"/>
  <c r="Y308" i="8" s="1"/>
  <c r="M308" i="8"/>
  <c r="L308" i="8"/>
  <c r="K308" i="8"/>
  <c r="X307" i="8"/>
  <c r="W307" i="8"/>
  <c r="V307" i="8"/>
  <c r="U307" i="8"/>
  <c r="N307" i="8"/>
  <c r="Y307" i="8" s="1"/>
  <c r="M307" i="8"/>
  <c r="L307" i="8"/>
  <c r="K307" i="8"/>
  <c r="X306" i="8"/>
  <c r="W306" i="8"/>
  <c r="V306" i="8"/>
  <c r="U306" i="8"/>
  <c r="S306" i="8"/>
  <c r="N306" i="8"/>
  <c r="M306" i="8"/>
  <c r="L306" i="8"/>
  <c r="K306" i="8"/>
  <c r="X305" i="8"/>
  <c r="W305" i="8"/>
  <c r="V305" i="8"/>
  <c r="U305" i="8"/>
  <c r="S305" i="8"/>
  <c r="N305" i="8"/>
  <c r="M305" i="8"/>
  <c r="L305" i="8"/>
  <c r="K305" i="8"/>
  <c r="AK2" i="8"/>
  <c r="R36" i="6" l="1"/>
  <c r="W36" i="6"/>
  <c r="W37" i="6"/>
  <c r="V37" i="6"/>
  <c r="S37" i="6"/>
  <c r="Y412" i="8"/>
  <c r="Y573" i="8"/>
  <c r="Y545" i="8"/>
  <c r="Y305" i="8"/>
  <c r="Y361" i="8"/>
  <c r="Y306" i="8"/>
  <c r="Y546" i="8"/>
  <c r="Y626" i="8"/>
  <c r="Y495" i="8"/>
  <c r="Y496" i="8"/>
  <c r="Y640" i="8"/>
  <c r="Y362" i="8"/>
  <c r="Y439" i="8"/>
  <c r="Y601" i="8"/>
  <c r="Y440" i="8"/>
  <c r="S36" i="6" l="1"/>
  <c r="W6" i="1"/>
  <c r="Y2" i="6" l="1"/>
  <c r="Y3" i="6"/>
  <c r="Y4" i="6"/>
  <c r="Y5" i="6"/>
  <c r="Y6" i="6"/>
  <c r="Y7" i="6"/>
  <c r="Y8" i="6"/>
  <c r="Y9" i="6"/>
  <c r="Y11" i="6"/>
  <c r="Y13" i="6"/>
  <c r="Y15" i="6"/>
  <c r="Y17" i="6"/>
  <c r="Y19" i="6"/>
  <c r="Y21" i="6"/>
  <c r="Y23" i="6"/>
  <c r="Y25" i="6"/>
  <c r="Y27" i="6"/>
  <c r="Y29" i="6"/>
  <c r="Y31" i="6"/>
  <c r="Y33" i="6"/>
  <c r="Y35" i="6"/>
  <c r="Y10" i="6"/>
  <c r="Y12" i="6"/>
  <c r="Y14" i="6"/>
  <c r="Y16" i="6"/>
  <c r="Y18" i="6"/>
  <c r="Y20" i="6"/>
  <c r="Y22" i="6"/>
  <c r="Y24" i="6"/>
  <c r="Y26" i="6"/>
  <c r="Y28" i="6"/>
  <c r="Y30" i="6"/>
  <c r="Y32" i="6"/>
  <c r="Y34" i="6"/>
  <c r="Y36" i="6"/>
  <c r="Y37" i="6"/>
  <c r="W5" i="1"/>
  <c r="D12" i="5"/>
  <c r="D9" i="5"/>
  <c r="B6" i="5"/>
  <c r="K4" i="2"/>
  <c r="J4" i="2"/>
  <c r="I4" i="2"/>
  <c r="H4" i="2"/>
  <c r="D10" i="5" l="1"/>
  <c r="D13" i="5" s="1"/>
  <c r="B9" i="5"/>
  <c r="C9" i="5"/>
  <c r="B10" i="5" l="1"/>
  <c r="B12" i="5"/>
  <c r="C12" i="5"/>
  <c r="C10" i="5"/>
  <c r="D36" i="4" l="1"/>
  <c r="B36" i="4"/>
  <c r="D35" i="4"/>
  <c r="B35" i="4"/>
  <c r="D34" i="4"/>
  <c r="B34" i="4"/>
  <c r="D33" i="4"/>
  <c r="B33" i="4"/>
  <c r="D32" i="4"/>
  <c r="B32" i="4"/>
  <c r="A31" i="4"/>
  <c r="A26" i="4"/>
  <c r="A25" i="4" s="1"/>
  <c r="I25" i="4"/>
  <c r="M24" i="4"/>
  <c r="I24" i="4"/>
  <c r="W5" i="4" s="1"/>
  <c r="W6" i="4" s="1"/>
  <c r="I20" i="4"/>
  <c r="AO17" i="4"/>
  <c r="AO16" i="4"/>
  <c r="J16" i="4"/>
  <c r="AO15" i="4"/>
  <c r="AO14" i="4"/>
  <c r="AK14" i="4"/>
  <c r="AG14" i="4"/>
  <c r="AF14" i="4"/>
  <c r="J14" i="4"/>
  <c r="AO13" i="4"/>
  <c r="AK13" i="4"/>
  <c r="AG13" i="4"/>
  <c r="AF13" i="4"/>
  <c r="AO12" i="4"/>
  <c r="J12" i="4"/>
  <c r="AO11" i="4"/>
  <c r="AK11" i="4"/>
  <c r="AO10" i="4"/>
  <c r="AK10" i="4"/>
  <c r="AO9" i="4"/>
  <c r="P9" i="4"/>
  <c r="Q9" i="4" s="1"/>
  <c r="AM8" i="4"/>
  <c r="AK8" i="4"/>
  <c r="AK12" i="4" s="1"/>
  <c r="AM12" i="4" s="1"/>
  <c r="S7" i="4"/>
  <c r="B7" i="4"/>
  <c r="B5" i="4"/>
  <c r="AK4" i="4"/>
  <c r="AF4" i="4"/>
  <c r="AK3" i="4"/>
  <c r="AG3" i="4"/>
  <c r="AF3" i="4"/>
  <c r="P3" i="4"/>
  <c r="AG12" i="4" l="1"/>
  <c r="L4" i="2"/>
  <c r="M4" i="2" s="1"/>
  <c r="L5" i="2"/>
  <c r="M5" i="2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1" i="1"/>
  <c r="K5" i="2" l="1"/>
  <c r="J5" i="2"/>
  <c r="H5" i="2"/>
  <c r="I5" i="2"/>
  <c r="B9" i="4"/>
  <c r="I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<sst xmlns="http://schemas.openxmlformats.org/spreadsheetml/2006/main" count="4309" uniqueCount="528">
  <si>
    <t>MRLN19AONBCON-1</t>
  </si>
  <si>
    <t>Section D</t>
  </si>
  <si>
    <t>CONSTRUCTION</t>
  </si>
  <si>
    <t>MRLN19AONBENE-1</t>
  </si>
  <si>
    <t>Section B</t>
  </si>
  <si>
    <t>ENERGY</t>
  </si>
  <si>
    <t>MRLN19AONBMAR-1</t>
  </si>
  <si>
    <t>MARINE</t>
  </si>
  <si>
    <t>MRLN19AONBPOW-1</t>
  </si>
  <si>
    <t>Section C</t>
  </si>
  <si>
    <t>POWER GENERATION</t>
  </si>
  <si>
    <t>MRLN19AONBPRO-1</t>
  </si>
  <si>
    <t>PROPERTY</t>
  </si>
  <si>
    <t>MRLN19AONBCON-2</t>
  </si>
  <si>
    <t>MRLN19AONBENE-2</t>
  </si>
  <si>
    <t>MRLN19AONBMAR-2</t>
  </si>
  <si>
    <t>MRLN19AONBPOW-2</t>
  </si>
  <si>
    <t>MRLN19AONBPRO-2</t>
  </si>
  <si>
    <t>MRLN19AONBCON-3</t>
  </si>
  <si>
    <t>MRLN19AONBENE-3</t>
  </si>
  <si>
    <t>MRLN19AONBMAR-3</t>
  </si>
  <si>
    <t>MRLN19AONBPOW-3</t>
  </si>
  <si>
    <t>MRLN19AONBPRO-3</t>
  </si>
  <si>
    <t>MRLN21AONBTER-3</t>
  </si>
  <si>
    <t>Section T</t>
  </si>
  <si>
    <t>TERRORISMO</t>
  </si>
  <si>
    <t>MRLN19AONBCON-4</t>
  </si>
  <si>
    <t>MRLN19AONBENE-4</t>
  </si>
  <si>
    <t>MRLN19AONBMAR-4</t>
  </si>
  <si>
    <t>MRLN19AONBPOW-4</t>
  </si>
  <si>
    <t>MRLN19AONBPRO-4</t>
  </si>
  <si>
    <t>UWY 2019</t>
  </si>
  <si>
    <t>UWY 2020</t>
  </si>
  <si>
    <t>UWY 2021</t>
  </si>
  <si>
    <t>UWY 2022</t>
  </si>
  <si>
    <t>BDX MARLIN</t>
  </si>
  <si>
    <t>UWY</t>
  </si>
  <si>
    <t>SECTION</t>
  </si>
  <si>
    <t>Max. LMIC Current Year Limit USD</t>
  </si>
  <si>
    <t>'LMIC Gross Written Premium USD</t>
  </si>
  <si>
    <t>'Original Slip Discounts Amount USD</t>
  </si>
  <si>
    <t>' Marlin Fee Amount USD</t>
  </si>
  <si>
    <t>'Tax Amount USD</t>
  </si>
  <si>
    <t>'Net Premium Amount USD</t>
  </si>
  <si>
    <t>UWY LIST</t>
  </si>
  <si>
    <t>SECTION LIST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</si>
  <si>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</si>
  <si>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</si>
  <si>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</si>
  <si>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</si>
  <si>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</si>
  <si>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</si>
  <si>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</si>
  <si>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</si>
  <si>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</si>
  <si>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</si>
  <si>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</si>
  <si>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</si>
  <si>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LOB LIST</t>
  </si>
  <si>
    <t>EN</t>
  </si>
  <si>
    <t>EF</t>
  </si>
  <si>
    <t>B5</t>
  </si>
  <si>
    <t>PG</t>
  </si>
  <si>
    <t>D</t>
  </si>
  <si>
    <t>T</t>
  </si>
  <si>
    <t>Marine</t>
  </si>
  <si>
    <t>Energy</t>
  </si>
  <si>
    <t>Property</t>
  </si>
  <si>
    <t>Power Generation</t>
  </si>
  <si>
    <t>Construction</t>
  </si>
  <si>
    <t>Terrorism</t>
  </si>
  <si>
    <t>MES DECLARACION</t>
  </si>
  <si>
    <t>REFERENCIA DE POLIZAS DISPONIBLE SEGUN SELECCION</t>
  </si>
  <si>
    <t>Risk Code</t>
  </si>
  <si>
    <t>Referencia GENIUS</t>
  </si>
  <si>
    <t xml:space="preserve">COPIAR Y PEGAR (TEXTO) DE ACUERDO AL EXCEL DE MARLIN </t>
  </si>
  <si>
    <t xml:space="preserve">Lista Despegable para seleccionar </t>
  </si>
  <si>
    <t>Underwriting Maintenance - Select Screen</t>
  </si>
  <si>
    <t>Option</t>
  </si>
  <si>
    <t>1=Policy</t>
  </si>
  <si>
    <t>2=Endorsement</t>
  </si>
  <si>
    <t>3=Quote</t>
  </si>
  <si>
    <t>4=Declinature</t>
  </si>
  <si>
    <t>Transaction</t>
  </si>
  <si>
    <t>Date</t>
  </si>
  <si>
    <t>Product</t>
  </si>
  <si>
    <t>Policy Ref</t>
  </si>
  <si>
    <t>si es renovacion vigencia anterior</t>
  </si>
  <si>
    <t>Edit Policy Screen</t>
  </si>
  <si>
    <t>Edit Terms Screen</t>
  </si>
  <si>
    <t>Work With Instalment Detail Screen</t>
  </si>
  <si>
    <t>Edit Risk Share% &amp; Deductions Screen</t>
  </si>
  <si>
    <t>Work with Sections Screen</t>
  </si>
  <si>
    <t>Work with Sections Details Screen</t>
  </si>
  <si>
    <t>Edit Section Detail</t>
  </si>
  <si>
    <t>Policy Title</t>
  </si>
  <si>
    <t>Instalment Frq</t>
  </si>
  <si>
    <t>Aplicar formula de la celda AC3</t>
  </si>
  <si>
    <t>Instalments</t>
  </si>
  <si>
    <t>Ins Nbr</t>
  </si>
  <si>
    <t>From
Date</t>
  </si>
  <si>
    <t>To
Date</t>
  </si>
  <si>
    <t>Due
Days</t>
  </si>
  <si>
    <t>Due
Date</t>
  </si>
  <si>
    <t>Split %</t>
  </si>
  <si>
    <t>Signed Order %</t>
  </si>
  <si>
    <t>Written Order%</t>
  </si>
  <si>
    <t xml:space="preserve">Sec Dtl Seq: </t>
  </si>
  <si>
    <r>
      <t xml:space="preserve">001 </t>
    </r>
    <r>
      <rPr>
        <b/>
        <sz val="11"/>
        <color theme="1"/>
        <rFont val="Arial"/>
        <family val="2"/>
      </rPr>
      <t>CGL</t>
    </r>
  </si>
  <si>
    <t>Producto Basico Casualty</t>
  </si>
  <si>
    <t xml:space="preserve">Cambia de acuerdo al producto emitido </t>
  </si>
  <si>
    <t>Nbr</t>
  </si>
  <si>
    <t>Signed Line %</t>
  </si>
  <si>
    <t>Written Line%</t>
  </si>
  <si>
    <t>Press</t>
  </si>
  <si>
    <t>F6=Add</t>
  </si>
  <si>
    <t>Policy Number</t>
  </si>
  <si>
    <t>Cancelation</t>
  </si>
  <si>
    <t>PRO</t>
  </si>
  <si>
    <t>Pro Rata</t>
  </si>
  <si>
    <t>Days to cancel</t>
  </si>
  <si>
    <t>ejemplo</t>
  </si>
  <si>
    <t>Op</t>
  </si>
  <si>
    <t>Clc
Seq</t>
  </si>
  <si>
    <t>Ded
Cde</t>
  </si>
  <si>
    <t>Percentage</t>
  </si>
  <si>
    <t>Amount</t>
  </si>
  <si>
    <t>Amount A/C</t>
  </si>
  <si>
    <t>Sec 
Cde</t>
  </si>
  <si>
    <t>Section</t>
  </si>
  <si>
    <t>LIU Code  :</t>
  </si>
  <si>
    <t>XXXX</t>
  </si>
  <si>
    <t>Campo: "SIC"</t>
  </si>
  <si>
    <t>Line of Bus . :</t>
  </si>
  <si>
    <t>Company</t>
  </si>
  <si>
    <t>LIBSEGPE</t>
  </si>
  <si>
    <t>COM</t>
  </si>
  <si>
    <t>CGL</t>
  </si>
  <si>
    <t>Traer de acuerdo a coberturas SF</t>
  </si>
  <si>
    <t>Market Hazard</t>
  </si>
  <si>
    <t>Campo: "Market Hazard"</t>
  </si>
  <si>
    <t>Jurisdiction  :</t>
  </si>
  <si>
    <t>JOTH</t>
  </si>
  <si>
    <t>Premium Type</t>
  </si>
  <si>
    <t>Mapear la section installments, en la opp, traer :"date"= due date -" % Total"</t>
  </si>
  <si>
    <t>UPT</t>
  </si>
  <si>
    <t>UMB</t>
  </si>
  <si>
    <t>Umbrella</t>
  </si>
  <si>
    <t xml:space="preserve">Finansial Loss </t>
  </si>
  <si>
    <t>EXCL</t>
  </si>
  <si>
    <t>Branch</t>
  </si>
  <si>
    <t>LIMA</t>
  </si>
  <si>
    <t>ISF</t>
  </si>
  <si>
    <t>EXC</t>
  </si>
  <si>
    <t>Excess</t>
  </si>
  <si>
    <t>Rating Area . :</t>
  </si>
  <si>
    <t>065</t>
  </si>
  <si>
    <t>Coverage Terr :</t>
  </si>
  <si>
    <t>WW</t>
  </si>
  <si>
    <t>IGVDPD</t>
  </si>
  <si>
    <t>XWC</t>
  </si>
  <si>
    <t>XS Work Comp</t>
  </si>
  <si>
    <t>Insured</t>
  </si>
  <si>
    <t>Currency</t>
  </si>
  <si>
    <t>PEN</t>
  </si>
  <si>
    <t xml:space="preserve"> </t>
  </si>
  <si>
    <t>A/C Ccy</t>
  </si>
  <si>
    <t>Peru - PEN</t>
  </si>
  <si>
    <t>EL</t>
  </si>
  <si>
    <t>Employer Liab</t>
  </si>
  <si>
    <t>Moneda SF</t>
  </si>
  <si>
    <t>SLP</t>
  </si>
  <si>
    <t>Statutory Liab</t>
  </si>
  <si>
    <t>Broker</t>
  </si>
  <si>
    <t>SPC</t>
  </si>
  <si>
    <t>SPC IT Liab.</t>
  </si>
  <si>
    <t>Financial Rtg:</t>
  </si>
  <si>
    <t>N</t>
  </si>
  <si>
    <t>FIJO</t>
  </si>
  <si>
    <t xml:space="preserve">WRAP Up </t>
  </si>
  <si>
    <t>NO</t>
  </si>
  <si>
    <t>SRC1</t>
  </si>
  <si>
    <t>Sales Rep Commission Non-Cede</t>
  </si>
  <si>
    <t>EIL</t>
  </si>
  <si>
    <t>Environmental I</t>
  </si>
  <si>
    <t>Pollution Code</t>
  </si>
  <si>
    <t>Low Hazard</t>
  </si>
  <si>
    <t>Reassured</t>
  </si>
  <si>
    <t xml:space="preserve">SINGLE </t>
  </si>
  <si>
    <t>SI ES SOLO UN INSTALMENTS</t>
  </si>
  <si>
    <t>EVE</t>
  </si>
  <si>
    <t>Event Cancel</t>
  </si>
  <si>
    <t xml:space="preserve">Liability Cover </t>
  </si>
  <si>
    <t>Not applicable</t>
  </si>
  <si>
    <t>Extraer el codigo SRC1 = campo " Introduction Fee", en caso sea 0 "ocultar linea"</t>
  </si>
  <si>
    <t>CET</t>
  </si>
  <si>
    <t>Defense</t>
  </si>
  <si>
    <t>Campo: "Defense"</t>
  </si>
  <si>
    <t>Underwriter</t>
  </si>
  <si>
    <t>CODE UNDERWRITER</t>
  </si>
  <si>
    <t xml:space="preserve">PRC </t>
  </si>
  <si>
    <t>Product recall</t>
  </si>
  <si>
    <t xml:space="preserve">Retro Date </t>
  </si>
  <si>
    <t>Direct/Assumed</t>
  </si>
  <si>
    <t>DIR/ASU</t>
  </si>
  <si>
    <t>Department</t>
  </si>
  <si>
    <t>Dates:</t>
  </si>
  <si>
    <t>Effect (MMDDYY)</t>
  </si>
  <si>
    <t>Written Date</t>
  </si>
  <si>
    <t>SI LA COMISION ES CERO NO VA PRB, aplicar regla para "ocultar linea"</t>
  </si>
  <si>
    <t>Expiry (MMDDYY)</t>
  </si>
  <si>
    <t>COD</t>
  </si>
  <si>
    <t>Primary/Excess</t>
  </si>
  <si>
    <t>CODE PRI/EXC</t>
  </si>
  <si>
    <t>PRI</t>
  </si>
  <si>
    <t>COD PER</t>
  </si>
  <si>
    <t>I051</t>
  </si>
  <si>
    <t>Accnt Domicile</t>
  </si>
  <si>
    <t>CODE RISK COUNTRY</t>
  </si>
  <si>
    <t>CARGO</t>
  </si>
  <si>
    <t>ONNRG</t>
  </si>
  <si>
    <t>PROP</t>
  </si>
  <si>
    <t>ENGNR</t>
  </si>
  <si>
    <t>TERROR</t>
  </si>
  <si>
    <t>MARLIN</t>
  </si>
  <si>
    <t>LMLATAM</t>
  </si>
  <si>
    <t>4LMROW</t>
  </si>
  <si>
    <t>AONR1399</t>
  </si>
  <si>
    <t>AONR0942</t>
  </si>
  <si>
    <t>AONB1330</t>
  </si>
  <si>
    <t xml:space="preserve"> Gabriela Palacios</t>
  </si>
  <si>
    <t xml:space="preserve"> Michael Robertson</t>
  </si>
  <si>
    <t xml:space="preserve"> Arturo Posada</t>
  </si>
  <si>
    <t>Luis Paternina</t>
  </si>
  <si>
    <t xml:space="preserve"> Douglas Sakamoto</t>
  </si>
  <si>
    <t>Total Comission</t>
  </si>
  <si>
    <t>Comision %</t>
  </si>
  <si>
    <t>Tx %</t>
  </si>
  <si>
    <t>Policy</t>
  </si>
  <si>
    <t>MPRO20190045-3</t>
  </si>
  <si>
    <t>Coverage</t>
  </si>
  <si>
    <t xml:space="preserve">PRP 001 TOT  Total Premium </t>
  </si>
  <si>
    <t xml:space="preserve">Signed Line % </t>
  </si>
  <si>
    <t xml:space="preserve">Share % </t>
  </si>
  <si>
    <t xml:space="preserve">Calculation % </t>
  </si>
  <si>
    <t>Decimal Places</t>
  </si>
  <si>
    <t>Rev Description</t>
  </si>
  <si>
    <t>Debit</t>
  </si>
  <si>
    <t>Credit</t>
  </si>
  <si>
    <t>Total</t>
  </si>
  <si>
    <t>PRM Premium</t>
  </si>
  <si>
    <t>COM Commission</t>
  </si>
  <si>
    <t>Fees</t>
  </si>
  <si>
    <t>Taxes</t>
  </si>
  <si>
    <t>Net to Source:</t>
  </si>
  <si>
    <t>ANHO VIGENCIA</t>
  </si>
  <si>
    <t>MES</t>
  </si>
  <si>
    <t>ANHO DECLARACION</t>
  </si>
  <si>
    <t>COMISION DEBIT</t>
  </si>
  <si>
    <t>IMPUESTO DEBIT</t>
  </si>
  <si>
    <t>LSM PRM DEBIT</t>
  </si>
  <si>
    <t>LSM PRM CREDIT</t>
  </si>
  <si>
    <t>COMISION CREDIT</t>
  </si>
  <si>
    <t>Correo</t>
  </si>
  <si>
    <t>IMPUESTO CREDIT</t>
  </si>
  <si>
    <t>COM Plantilla mensaje</t>
  </si>
  <si>
    <t>TAX Plantilla mensaje</t>
  </si>
  <si>
    <t>Endorsement Start Date</t>
  </si>
  <si>
    <t>ANHOS DECLARACION</t>
  </si>
  <si>
    <t>VIGENCIAS</t>
  </si>
  <si>
    <t>START DATE</t>
  </si>
  <si>
    <t>PPW</t>
  </si>
  <si>
    <t>Campo Salesforce</t>
  </si>
  <si>
    <t>Descripcion</t>
  </si>
  <si>
    <t>Campos Salesforce</t>
  </si>
  <si>
    <t>Endorsement Type</t>
  </si>
  <si>
    <t>Add Coverage</t>
  </si>
  <si>
    <t>Endorsement Stage</t>
  </si>
  <si>
    <t>Bound</t>
  </si>
  <si>
    <t>USD</t>
  </si>
  <si>
    <t>New PPW</t>
  </si>
  <si>
    <t>Premium For Endorsement</t>
  </si>
  <si>
    <t>New Deductions (Comissions)</t>
  </si>
  <si>
    <t>Endorsement End Date (Expiry)</t>
  </si>
  <si>
    <t>Policy New Limit</t>
  </si>
  <si>
    <t>Summary</t>
  </si>
  <si>
    <t>Issuance - Endorsement</t>
  </si>
  <si>
    <t>New Surcharges/Taxes</t>
  </si>
  <si>
    <t>BDX Marlin –UWY2021– Section C</t>
  </si>
  <si>
    <r>
      <t>1.</t>
    </r>
    <r>
      <rPr>
        <sz val="7"/>
        <color theme="1"/>
        <rFont val="Times New Roman"/>
        <family val="1"/>
      </rPr>
      <t xml:space="preserve">       </t>
    </r>
    <r>
      <rPr>
        <u/>
        <sz val="11"/>
        <color theme="1"/>
        <rFont val="Calibri"/>
        <family val="2"/>
        <scheme val="minor"/>
      </rPr>
      <t xml:space="preserve">Por favor la </t>
    </r>
    <r>
      <rPr>
        <b/>
        <u/>
        <sz val="11"/>
        <color theme="1"/>
        <rFont val="Calibri"/>
        <family val="2"/>
        <scheme val="minor"/>
      </rPr>
      <t>creacion del endoso en SALESFORCE</t>
    </r>
    <r>
      <rPr>
        <u/>
        <sz val="11"/>
        <color theme="1"/>
        <rFont val="Calibri"/>
        <family val="2"/>
        <scheme val="minor"/>
      </rPr>
      <t xml:space="preserve"> segun:</t>
    </r>
  </si>
  <si>
    <t>Start Date</t>
  </si>
  <si>
    <t>Type</t>
  </si>
  <si>
    <t>ADD</t>
  </si>
  <si>
    <t>Limite</t>
  </si>
  <si>
    <t>Prima</t>
  </si>
  <si>
    <t>RWT</t>
  </si>
  <si>
    <t>Fecha de Pago</t>
  </si>
  <si>
    <t>Siguiente, emitir el endoso en GENIUS, conforme:</t>
  </si>
  <si>
    <t xml:space="preserve">Tx en texto </t>
  </si>
  <si>
    <t xml:space="preserve">Comision en texto </t>
  </si>
  <si>
    <t>B = Marine / EF = Onshore Energy / C = Property / PG = Power Generation / D = Construction</t>
  </si>
  <si>
    <t>Reporting Month</t>
  </si>
  <si>
    <t>Reporting Year</t>
  </si>
  <si>
    <t>LOB</t>
  </si>
  <si>
    <t>GENIUS Policy #</t>
  </si>
  <si>
    <t>GWP $</t>
  </si>
  <si>
    <t>Commission $</t>
  </si>
  <si>
    <t>Marlin Fee $</t>
  </si>
  <si>
    <t>Taxes $</t>
  </si>
  <si>
    <t>Commission %</t>
  </si>
  <si>
    <t>Marlin Fee %</t>
  </si>
  <si>
    <t>Taxes %</t>
  </si>
  <si>
    <t>NP $</t>
  </si>
  <si>
    <t>GENIUS GWP</t>
  </si>
  <si>
    <t>GENIUS COMMISSIONS</t>
  </si>
  <si>
    <t>GENIUS FEES</t>
  </si>
  <si>
    <t>GENIUS TAXES</t>
  </si>
  <si>
    <t>NP</t>
  </si>
  <si>
    <t>GENIUS END #</t>
  </si>
  <si>
    <t>DIFERENCIA GWP</t>
  </si>
  <si>
    <t>DIFERENCIA COMMISSIONS</t>
  </si>
  <si>
    <t>DIFERENCIA FEES</t>
  </si>
  <si>
    <t>DIFERENCIA TAXES</t>
  </si>
  <si>
    <t>DIFERENCIA NP</t>
  </si>
  <si>
    <t>B</t>
  </si>
  <si>
    <t>Onshore Energy</t>
  </si>
  <si>
    <t>NA</t>
  </si>
  <si>
    <t>C</t>
  </si>
  <si>
    <t>MRLN21AONBTER-4</t>
  </si>
  <si>
    <t>BASE</t>
  </si>
  <si>
    <t>Ultimo Bordero Registrado</t>
  </si>
  <si>
    <t>2019</t>
  </si>
  <si>
    <t/>
  </si>
  <si>
    <t>2020</t>
  </si>
  <si>
    <t>2021</t>
  </si>
  <si>
    <t>2022</t>
  </si>
  <si>
    <t>Terrorismo</t>
  </si>
  <si>
    <t>Start date</t>
  </si>
  <si>
    <t xml:space="preserve"> -   </t>
  </si>
  <si>
    <t>Issuancefacilities@LibertyMutual.com</t>
  </si>
  <si>
    <t>Nombre</t>
  </si>
  <si>
    <t>ISO 2</t>
  </si>
  <si>
    <t>ISO 3</t>
  </si>
  <si>
    <t>Argentina</t>
  </si>
  <si>
    <t>ARG</t>
  </si>
  <si>
    <t>Bolivia, Estado Plurinacional de</t>
  </si>
  <si>
    <t>BOL</t>
  </si>
  <si>
    <t>Brasil</t>
  </si>
  <si>
    <t>BRA</t>
  </si>
  <si>
    <t>Chile</t>
  </si>
  <si>
    <t>CHL</t>
  </si>
  <si>
    <t>Colombia</t>
  </si>
  <si>
    <t>COL</t>
  </si>
  <si>
    <t>Ecuador</t>
  </si>
  <si>
    <t>ECU</t>
  </si>
  <si>
    <t>Guayana Francesa</t>
  </si>
  <si>
    <t>GUF</t>
  </si>
  <si>
    <t>Guyana</t>
  </si>
  <si>
    <t>GUY</t>
  </si>
  <si>
    <t>Islas Falkland (Malvinas)</t>
  </si>
  <si>
    <t>FLK</t>
  </si>
  <si>
    <t>Paraguay</t>
  </si>
  <si>
    <t>PRY</t>
  </si>
  <si>
    <t>Perú</t>
  </si>
  <si>
    <t>PER</t>
  </si>
  <si>
    <t>Surinam</t>
  </si>
  <si>
    <t>SUR</t>
  </si>
  <si>
    <t>Uruguay</t>
  </si>
  <si>
    <t>URY</t>
  </si>
  <si>
    <t>Venezuela, República Bolivariana de</t>
  </si>
  <si>
    <t>VEN</t>
  </si>
  <si>
    <t> AR </t>
  </si>
  <si>
    <t> BO </t>
  </si>
  <si>
    <t> BR </t>
  </si>
  <si>
    <t> CL </t>
  </si>
  <si>
    <t> CO </t>
  </si>
  <si>
    <t> EC </t>
  </si>
  <si>
    <t> GF </t>
  </si>
  <si>
    <t> GY </t>
  </si>
  <si>
    <t> FK </t>
  </si>
  <si>
    <t> PY </t>
  </si>
  <si>
    <t> PE </t>
  </si>
  <si>
    <t> SR </t>
  </si>
  <si>
    <t> UY </t>
  </si>
  <si>
    <t> VE </t>
  </si>
  <si>
    <t>Bandera</t>
  </si>
  <si>
    <t>Anguila</t>
  </si>
  <si>
    <t> AI </t>
  </si>
  <si>
    <t>AIA</t>
  </si>
  <si>
    <t>Antigua y Barbuda</t>
  </si>
  <si>
    <t> AG </t>
  </si>
  <si>
    <t>ATG</t>
  </si>
  <si>
    <t>Aruba</t>
  </si>
  <si>
    <t> AW </t>
  </si>
  <si>
    <t>ABW</t>
  </si>
  <si>
    <t>Bahamas</t>
  </si>
  <si>
    <t> BS </t>
  </si>
  <si>
    <t>BHS</t>
  </si>
  <si>
    <t>Barbados</t>
  </si>
  <si>
    <t> BB </t>
  </si>
  <si>
    <t>BRB</t>
  </si>
  <si>
    <t>Belice</t>
  </si>
  <si>
    <t> BZ </t>
  </si>
  <si>
    <t>BLZ</t>
  </si>
  <si>
    <t>Bermudas</t>
  </si>
  <si>
    <t> BM </t>
  </si>
  <si>
    <t>BMU</t>
  </si>
  <si>
    <t>Bonaire, San Eustaquio y Saba</t>
  </si>
  <si>
    <t> BQ </t>
  </si>
  <si>
    <t>BES</t>
  </si>
  <si>
    <t>Canadá</t>
  </si>
  <si>
    <t> CA </t>
  </si>
  <si>
    <t>CAN</t>
  </si>
  <si>
    <t>Costa Rica</t>
  </si>
  <si>
    <t> CR </t>
  </si>
  <si>
    <t>CRI</t>
  </si>
  <si>
    <t>Cuba</t>
  </si>
  <si>
    <t> CU </t>
  </si>
  <si>
    <t>CUB</t>
  </si>
  <si>
    <t>Curazao</t>
  </si>
  <si>
    <t> CW </t>
  </si>
  <si>
    <t>CUW</t>
  </si>
  <si>
    <t>Dominica</t>
  </si>
  <si>
    <t> DM </t>
  </si>
  <si>
    <t>DMA</t>
  </si>
  <si>
    <t>El Salvador</t>
  </si>
  <si>
    <t> SV </t>
  </si>
  <si>
    <t>SLV</t>
  </si>
  <si>
    <t>Estados Unidos</t>
  </si>
  <si>
    <t> US </t>
  </si>
  <si>
    <t>USA</t>
  </si>
  <si>
    <t>Granada</t>
  </si>
  <si>
    <t> GD </t>
  </si>
  <si>
    <t>GRD</t>
  </si>
  <si>
    <t>Groenlandia</t>
  </si>
  <si>
    <t> GL </t>
  </si>
  <si>
    <t>GRL</t>
  </si>
  <si>
    <t>Guadalupe</t>
  </si>
  <si>
    <t> GP </t>
  </si>
  <si>
    <t>GLP</t>
  </si>
  <si>
    <t>Guatemala</t>
  </si>
  <si>
    <t> GT </t>
  </si>
  <si>
    <t>GTM</t>
  </si>
  <si>
    <t>Haití</t>
  </si>
  <si>
    <t> HT </t>
  </si>
  <si>
    <t>HTI</t>
  </si>
  <si>
    <t>Honduras</t>
  </si>
  <si>
    <t> HN </t>
  </si>
  <si>
    <t>HND</t>
  </si>
  <si>
    <t>Islas Caimán</t>
  </si>
  <si>
    <t> KY </t>
  </si>
  <si>
    <t>CYM</t>
  </si>
  <si>
    <t>Islas Turcas y Caicos</t>
  </si>
  <si>
    <t> TC </t>
  </si>
  <si>
    <t>TCA</t>
  </si>
  <si>
    <t>Islas Virgenes Británicas</t>
  </si>
  <si>
    <t> VG </t>
  </si>
  <si>
    <t>VGB</t>
  </si>
  <si>
    <t>Islas Virgenes de Los Estados Unidos</t>
  </si>
  <si>
    <t> VI </t>
  </si>
  <si>
    <t>VIR</t>
  </si>
  <si>
    <t>Jamaica</t>
  </si>
  <si>
    <t> JM </t>
  </si>
  <si>
    <t>JAM</t>
  </si>
  <si>
    <t>Martinica</t>
  </si>
  <si>
    <t> MQ </t>
  </si>
  <si>
    <t>MTQ</t>
  </si>
  <si>
    <t>México</t>
  </si>
  <si>
    <t> MX </t>
  </si>
  <si>
    <t>MEX</t>
  </si>
  <si>
    <t>Montserrat</t>
  </si>
  <si>
    <t> MS </t>
  </si>
  <si>
    <t>MSR</t>
  </si>
  <si>
    <t>Nicaragua</t>
  </si>
  <si>
    <t> NI </t>
  </si>
  <si>
    <t>NIC</t>
  </si>
  <si>
    <t>Panamá</t>
  </si>
  <si>
    <t> PA </t>
  </si>
  <si>
    <t>PAN</t>
  </si>
  <si>
    <t>Puerto Rico</t>
  </si>
  <si>
    <t> PR </t>
  </si>
  <si>
    <t>República Dominicana</t>
  </si>
  <si>
    <t> DO </t>
  </si>
  <si>
    <t>DOM</t>
  </si>
  <si>
    <t>San Bartolomé</t>
  </si>
  <si>
    <t> BL </t>
  </si>
  <si>
    <t>BLM</t>
  </si>
  <si>
    <t>San Cristóbal y Nieves</t>
  </si>
  <si>
    <t> KN </t>
  </si>
  <si>
    <t>KNA</t>
  </si>
  <si>
    <t>San Martín (Parte Francesa)</t>
  </si>
  <si>
    <t> MF </t>
  </si>
  <si>
    <t>MAF</t>
  </si>
  <si>
    <t>San Pedro y Miquelón</t>
  </si>
  <si>
    <t> PM </t>
  </si>
  <si>
    <t>SPM</t>
  </si>
  <si>
    <t>San Vicente y Las Granadinas</t>
  </si>
  <si>
    <t> VC </t>
  </si>
  <si>
    <t>VCT</t>
  </si>
  <si>
    <t>Santa Lucía</t>
  </si>
  <si>
    <t> LC </t>
  </si>
  <si>
    <t>LCA</t>
  </si>
  <si>
    <t>Sint Maarten (Parte Neerlandesa)</t>
  </si>
  <si>
    <t> SX </t>
  </si>
  <si>
    <t>SXM</t>
  </si>
  <si>
    <t>Trinidad y Tobago</t>
  </si>
  <si>
    <t> TT </t>
  </si>
  <si>
    <t>TTO</t>
  </si>
  <si>
    <t>PRCONS0122298-1</t>
  </si>
  <si>
    <t>VIGENCIA</t>
  </si>
  <si>
    <t>CONSECUTIVO</t>
  </si>
  <si>
    <t>Primera vigencia en riesgo con LSM</t>
  </si>
  <si>
    <t>Segunda vigencia en riesgo con LSM</t>
  </si>
  <si>
    <t>Tercera vigencia en riesgo con LSM</t>
  </si>
  <si>
    <t>ISSUANCE YEAR</t>
  </si>
  <si>
    <t>PRODUCT</t>
  </si>
  <si>
    <t>REF POLIZA</t>
  </si>
  <si>
    <t>Row Labels</t>
  </si>
  <si>
    <t>Grand Total</t>
  </si>
  <si>
    <t>Sum of NP $</t>
  </si>
  <si>
    <t>UWY 2023</t>
  </si>
  <si>
    <t>MRLN19AONBCON-5</t>
  </si>
  <si>
    <t>MRLN19AONBENE-5</t>
  </si>
  <si>
    <t>MRLN19AONBMAR-5</t>
  </si>
  <si>
    <t>MRLN19AONBPOW-5</t>
  </si>
  <si>
    <t>MRLN19AONBPRO-5</t>
  </si>
  <si>
    <t>MRLN21AONBTER-5</t>
  </si>
  <si>
    <t>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</si>
</sst>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[$-409]mmmm/dd/yy;@"/>
    <numFmt numFmtId="166" formatCode="0.0000%"/>
    <numFmt numFmtId="167" formatCode="[$-409]dd\-mmm\-yy;@"/>
    <numFmt numFmtId="168" formatCode="_-* #,##0.0000_-;\-* #,##0.0000_-;_-* &quot;-&quot;??_-;_-@_-"/>
    <numFmt numFmtId="169" formatCode="0.0000"/>
    <numFmt numFmtId="170" formatCode="0.000000"/>
    <numFmt numFmtId="171" formatCode="_-* #,##0.000000_-;\-* #,##0.000000_-;_-* &quot;-&quot;??_-;_-@_-"/>
    <numFmt numFmtId="172" formatCode="&quot;$&quot;#,##0.00"/>
    <numFmt numFmtId="173" formatCode="0.000%"/>
    <numFmt numFmtId="174" formatCode="[$-F800]dddd\,\ mmmm\ dd\,\ yyyy"/>
    <numFmt numFmtId="175" formatCode="_-* #,##0_-;\-* #,##0_-;_-* &quot;-&quot;??_-;_-@_-"/>
    <numFmt numFmtId="176" formatCode="&quot;$&quot;\ #,##0.00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2"/>
      <color theme="0"/>
      <name val="Arial"/>
      <family val="2"/>
    </font>
    <font>
      <sz val="11"/>
      <color theme="0"/>
      <name val="Arial"/>
      <family val="2"/>
    </font>
    <font>
      <sz val="11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name val="Arial"/>
      <family val="2"/>
    </font>
    <font>
      <sz val="11"/>
      <color rgb="FFFFFF00"/>
      <name val="Arial"/>
      <family val="2"/>
    </font>
    <font>
      <b/>
      <sz val="18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u/>
      <sz val="11"/>
      <color theme="1"/>
      <name val="Arial"/>
      <family val="2"/>
    </font>
    <font>
      <u/>
      <sz val="11"/>
      <color theme="10"/>
      <name val="Arial"/>
      <family val="2"/>
    </font>
    <font>
      <u/>
      <sz val="12"/>
      <color theme="1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u/>
      <sz val="12"/>
      <color rgb="FFFF0000"/>
      <name val="Arial"/>
      <family val="2"/>
    </font>
    <font>
      <u/>
      <sz val="12"/>
      <color theme="0"/>
      <name val="Arial"/>
      <family val="2"/>
    </font>
    <font>
      <b/>
      <sz val="11"/>
      <color theme="0"/>
      <name val="Arial"/>
      <family val="2"/>
    </font>
    <font>
      <sz val="12"/>
      <color rgb="FFFF0000"/>
      <name val="Arial"/>
      <family val="2"/>
    </font>
    <font>
      <sz val="12"/>
      <name val="Arial"/>
      <family val="2"/>
    </font>
    <font>
      <b/>
      <u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Times New Roman"/>
      <family val="1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333333"/>
      <name val="Arial"/>
      <family val="2"/>
    </font>
    <font>
      <sz val="11"/>
      <color indexed="8"/>
      <name val="Calibri"/>
      <family val="2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3D3D3D"/>
      <name val="Arial"/>
      <family val="2"/>
    </font>
    <font>
      <sz val="11"/>
      <color rgb="FF0645AD"/>
      <name val="Arial"/>
      <family val="2"/>
    </font>
    <font>
      <b/>
      <sz val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F97B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E6EEEE"/>
        <bgColor indexed="64"/>
      </patternFill>
    </fill>
    <fill>
      <patternFill patternType="solid">
        <fgColor rgb="FF8DBDD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6E6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12">
    <xf numFmtId="0" fontId="0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36" fillId="0" borderId="0"/>
    <xf numFmtId="43" fontId="36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9" fontId="36" fillId="0" borderId="0" applyFont="0" applyFill="0" applyBorder="0" applyAlignment="0" applyProtection="0"/>
  </cellStyleXfs>
  <cellXfs count="235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0" fillId="3" borderId="10" xfId="0" applyFill="1" applyBorder="1"/>
    <xf numFmtId="0" fontId="0" fillId="3" borderId="12" xfId="0" applyFill="1" applyBorder="1"/>
    <xf numFmtId="0" fontId="2" fillId="3" borderId="11" xfId="0" applyFont="1" applyFill="1" applyBorder="1"/>
    <xf numFmtId="0" fontId="3" fillId="2" borderId="0" xfId="0" applyFont="1" applyFill="1"/>
    <xf numFmtId="0" fontId="0" fillId="3" borderId="2" xfId="0" applyFill="1" applyBorder="1"/>
    <xf numFmtId="0" fontId="0" fillId="3" borderId="7" xfId="0" applyFill="1" applyBorder="1"/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6" fillId="4" borderId="5" xfId="0" applyFont="1" applyFill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0" fillId="0" borderId="5" xfId="0" applyBorder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0" fillId="0" borderId="5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66" fontId="0" fillId="0" borderId="0" xfId="4" applyNumberFormat="1" applyFont="1" applyFill="1" applyBorder="1" applyAlignment="1">
      <alignment horizontal="left" vertical="center" wrapText="1"/>
    </xf>
    <xf numFmtId="166" fontId="0" fillId="0" borderId="0" xfId="4" applyNumberFormat="1" applyFont="1" applyFill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167" fontId="0" fillId="5" borderId="0" xfId="0" applyNumberFormat="1" applyFill="1" applyAlignment="1">
      <alignment horizontal="left" vertical="center"/>
    </xf>
    <xf numFmtId="166" fontId="0" fillId="5" borderId="6" xfId="4" applyNumberFormat="1" applyFont="1" applyFill="1" applyBorder="1" applyAlignment="1">
      <alignment horizontal="left" vertical="center"/>
    </xf>
    <xf numFmtId="0" fontId="3" fillId="5" borderId="5" xfId="0" applyFont="1" applyFill="1" applyBorder="1" applyAlignment="1">
      <alignment horizontal="left" vertical="center" wrapText="1"/>
    </xf>
    <xf numFmtId="167" fontId="12" fillId="5" borderId="0" xfId="0" applyNumberFormat="1" applyFont="1" applyFill="1" applyAlignment="1">
      <alignment horizontal="left" vertical="center"/>
    </xf>
    <xf numFmtId="0" fontId="13" fillId="5" borderId="0" xfId="0" applyFont="1" applyFill="1" applyAlignment="1">
      <alignment horizontal="left" vertical="center"/>
    </xf>
    <xf numFmtId="167" fontId="13" fillId="5" borderId="0" xfId="0" applyNumberFormat="1" applyFont="1" applyFill="1" applyAlignment="1">
      <alignment horizontal="left" vertical="center"/>
    </xf>
    <xf numFmtId="0" fontId="6" fillId="4" borderId="5" xfId="0" applyFont="1" applyFill="1" applyBorder="1" applyAlignment="1">
      <alignment horizontal="left" vertical="center" wrapText="1"/>
    </xf>
    <xf numFmtId="0" fontId="6" fillId="4" borderId="0" xfId="0" applyFont="1" applyFill="1" applyAlignment="1">
      <alignment horizontal="left" vertical="center" wrapText="1"/>
    </xf>
    <xf numFmtId="0" fontId="6" fillId="4" borderId="6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5" fillId="6" borderId="0" xfId="0" applyFont="1" applyFill="1" applyAlignment="1">
      <alignment horizontal="center" vertical="center"/>
    </xf>
    <xf numFmtId="167" fontId="0" fillId="0" borderId="0" xfId="0" applyNumberFormat="1" applyAlignment="1">
      <alignment horizontal="left" vertical="center"/>
    </xf>
    <xf numFmtId="166" fontId="0" fillId="0" borderId="6" xfId="4" applyNumberFormat="1" applyFont="1" applyFill="1" applyBorder="1" applyAlignment="1">
      <alignment horizontal="left" vertical="center"/>
    </xf>
    <xf numFmtId="168" fontId="0" fillId="0" borderId="0" xfId="1" applyNumberFormat="1" applyFont="1" applyBorder="1" applyAlignment="1">
      <alignment horizontal="left" vertical="center"/>
    </xf>
    <xf numFmtId="0" fontId="0" fillId="6" borderId="5" xfId="0" applyFill="1" applyBorder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0" borderId="0" xfId="0" applyAlignment="1">
      <alignment horizontal="center"/>
    </xf>
    <xf numFmtId="0" fontId="9" fillId="6" borderId="0" xfId="0" applyFont="1" applyFill="1" applyAlignment="1">
      <alignment horizontal="left" vertical="center"/>
    </xf>
    <xf numFmtId="9" fontId="0" fillId="0" borderId="0" xfId="4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2" fillId="5" borderId="0" xfId="0" applyFont="1" applyFill="1" applyAlignment="1">
      <alignment horizontal="left" vertical="center"/>
    </xf>
    <xf numFmtId="0" fontId="12" fillId="0" borderId="0" xfId="0" applyFont="1" applyAlignment="1">
      <alignment horizontal="left" vertical="center"/>
    </xf>
    <xf numFmtId="166" fontId="12" fillId="0" borderId="0" xfId="4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 applyAlignment="1">
      <alignment horizontal="left" vertical="center"/>
    </xf>
    <xf numFmtId="0" fontId="9" fillId="0" borderId="0" xfId="0" applyFont="1" applyAlignment="1">
      <alignment horizontal="left" vertical="center"/>
    </xf>
    <xf numFmtId="166" fontId="12" fillId="0" borderId="0" xfId="0" applyNumberFormat="1" applyFont="1" applyAlignment="1">
      <alignment horizontal="left" vertical="center"/>
    </xf>
    <xf numFmtId="166" fontId="0" fillId="0" borderId="0" xfId="0" applyNumberFormat="1" applyAlignment="1">
      <alignment horizontal="left" vertical="center"/>
    </xf>
    <xf numFmtId="0" fontId="0" fillId="8" borderId="6" xfId="0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169" fontId="0" fillId="0" borderId="0" xfId="0" applyNumberFormat="1" applyAlignment="1">
      <alignment horizontal="left" vertical="center"/>
    </xf>
    <xf numFmtId="10" fontId="0" fillId="0" borderId="0" xfId="4" applyNumberFormat="1" applyFont="1" applyBorder="1" applyAlignment="1">
      <alignment horizontal="left" vertical="center"/>
    </xf>
    <xf numFmtId="170" fontId="0" fillId="0" borderId="0" xfId="0" applyNumberFormat="1" applyAlignment="1">
      <alignment horizontal="left" vertical="center"/>
    </xf>
    <xf numFmtId="0" fontId="10" fillId="0" borderId="0" xfId="0" applyFont="1" applyAlignment="1">
      <alignment horizontal="left" vertical="center"/>
    </xf>
    <xf numFmtId="10" fontId="0" fillId="0" borderId="6" xfId="4" applyNumberFormat="1" applyFont="1" applyBorder="1" applyAlignment="1">
      <alignment horizontal="left" vertical="center"/>
    </xf>
    <xf numFmtId="0" fontId="19" fillId="0" borderId="0" xfId="5" applyFont="1" applyFill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19" fillId="0" borderId="0" xfId="5" applyNumberFormat="1" applyFont="1" applyFill="1" applyBorder="1" applyAlignment="1">
      <alignment horizontal="left" vertical="center"/>
    </xf>
    <xf numFmtId="0" fontId="22" fillId="0" borderId="0" xfId="5" applyFont="1" applyFill="1" applyBorder="1" applyAlignment="1">
      <alignment horizontal="center" vertical="center"/>
    </xf>
    <xf numFmtId="41" fontId="20" fillId="0" borderId="0" xfId="2" applyFont="1" applyFill="1" applyBorder="1" applyAlignment="1">
      <alignment vertical="center"/>
    </xf>
    <xf numFmtId="0" fontId="0" fillId="0" borderId="5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6" xfId="0" applyBorder="1" applyAlignment="1">
      <alignment vertical="top" wrapText="1"/>
    </xf>
    <xf numFmtId="0" fontId="0" fillId="10" borderId="0" xfId="0" applyFill="1" applyAlignment="1">
      <alignment horizontal="left" vertical="center"/>
    </xf>
    <xf numFmtId="0" fontId="23" fillId="0" borderId="0" xfId="5" applyFont="1" applyFill="1" applyBorder="1" applyAlignment="1">
      <alignment horizontal="center" vertical="center"/>
    </xf>
    <xf numFmtId="171" fontId="0" fillId="0" borderId="0" xfId="1" applyNumberFormat="1" applyFont="1" applyBorder="1" applyAlignment="1">
      <alignment horizontal="left" vertical="center"/>
    </xf>
    <xf numFmtId="0" fontId="0" fillId="0" borderId="5" xfId="0" applyBorder="1" applyAlignment="1">
      <alignment horizontal="center" vertical="top" wrapText="1"/>
    </xf>
    <xf numFmtId="0" fontId="0" fillId="0" borderId="0" xfId="0" applyAlignment="1">
      <alignment vertical="top"/>
    </xf>
    <xf numFmtId="43" fontId="0" fillId="0" borderId="0" xfId="0" applyNumberFormat="1" applyAlignment="1">
      <alignment vertical="top"/>
    </xf>
    <xf numFmtId="49" fontId="0" fillId="10" borderId="0" xfId="0" applyNumberFormat="1" applyFill="1" applyAlignment="1">
      <alignment horizontal="left" vertical="center"/>
    </xf>
    <xf numFmtId="169" fontId="0" fillId="0" borderId="0" xfId="0" applyNumberFormat="1" applyAlignment="1">
      <alignment vertical="top"/>
    </xf>
    <xf numFmtId="0" fontId="25" fillId="0" borderId="0" xfId="0" applyFont="1" applyAlignment="1">
      <alignment horizontal="center" vertical="center"/>
    </xf>
    <xf numFmtId="0" fontId="0" fillId="0" borderId="7" xfId="0" applyBorder="1" applyAlignment="1">
      <alignment vertical="top" wrapText="1"/>
    </xf>
    <xf numFmtId="0" fontId="0" fillId="0" borderId="8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7" xfId="0" applyBorder="1"/>
    <xf numFmtId="172" fontId="0" fillId="0" borderId="0" xfId="3" applyNumberFormat="1" applyFont="1" applyFill="1" applyBorder="1" applyAlignment="1">
      <alignment vertical="center"/>
    </xf>
    <xf numFmtId="41" fontId="0" fillId="0" borderId="0" xfId="2" applyFont="1" applyFill="1" applyBorder="1" applyAlignment="1">
      <alignment vertical="center"/>
    </xf>
    <xf numFmtId="0" fontId="18" fillId="0" borderId="0" xfId="5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horizontal="center" vertical="center"/>
    </xf>
    <xf numFmtId="0" fontId="0" fillId="0" borderId="0" xfId="1" applyNumberFormat="1" applyFont="1" applyFill="1" applyBorder="1" applyAlignment="1">
      <alignment vertical="center"/>
    </xf>
    <xf numFmtId="173" fontId="0" fillId="0" borderId="0" xfId="4" applyNumberFormat="1" applyFont="1"/>
    <xf numFmtId="0" fontId="3" fillId="12" borderId="5" xfId="0" applyFont="1" applyFill="1" applyBorder="1" applyAlignment="1">
      <alignment vertical="center"/>
    </xf>
    <xf numFmtId="166" fontId="0" fillId="0" borderId="0" xfId="0" applyNumberFormat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10" fontId="0" fillId="0" borderId="6" xfId="4" applyNumberFormat="1" applyFont="1" applyBorder="1" applyAlignment="1">
      <alignment horizontal="center" vertical="center"/>
    </xf>
    <xf numFmtId="9" fontId="0" fillId="0" borderId="0" xfId="4" applyFon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0" fontId="0" fillId="0" borderId="0" xfId="4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7" fontId="0" fillId="0" borderId="5" xfId="0" applyNumberFormat="1" applyBorder="1" applyAlignment="1">
      <alignment horizontal="left" vertical="center"/>
    </xf>
    <xf numFmtId="0" fontId="27" fillId="0" borderId="0" xfId="0" applyFon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1" applyNumberFormat="1" applyFont="1" applyBorder="1" applyAlignment="1">
      <alignment horizontal="center" vertical="center"/>
    </xf>
    <xf numFmtId="43" fontId="0" fillId="0" borderId="0" xfId="1" applyFont="1" applyAlignment="1">
      <alignment horizontal="center" vertical="center"/>
    </xf>
    <xf numFmtId="44" fontId="0" fillId="0" borderId="0" xfId="3" applyFont="1"/>
    <xf numFmtId="0" fontId="0" fillId="3" borderId="14" xfId="0" applyFill="1" applyBorder="1"/>
    <xf numFmtId="0" fontId="2" fillId="3" borderId="15" xfId="0" applyFont="1" applyFill="1" applyBorder="1"/>
    <xf numFmtId="0" fontId="2" fillId="3" borderId="13" xfId="0" applyFont="1" applyFill="1" applyBorder="1" applyAlignment="1">
      <alignment horizontal="center" vertical="center"/>
    </xf>
    <xf numFmtId="0" fontId="0" fillId="13" borderId="0" xfId="0" applyFill="1"/>
    <xf numFmtId="2" fontId="0" fillId="13" borderId="0" xfId="0" applyNumberFormat="1" applyFill="1"/>
    <xf numFmtId="44" fontId="0" fillId="13" borderId="0" xfId="3" applyFont="1" applyFill="1"/>
    <xf numFmtId="173" fontId="0" fillId="13" borderId="0" xfId="4" applyNumberFormat="1" applyFont="1" applyFill="1"/>
    <xf numFmtId="0" fontId="0" fillId="14" borderId="0" xfId="0" applyFill="1"/>
    <xf numFmtId="10" fontId="0" fillId="14" borderId="0" xfId="4" applyNumberFormat="1" applyFont="1" applyFill="1"/>
    <xf numFmtId="173" fontId="0" fillId="14" borderId="0" xfId="4" applyNumberFormat="1" applyFont="1" applyFill="1"/>
    <xf numFmtId="0" fontId="3" fillId="2" borderId="5" xfId="0" applyFont="1" applyFill="1" applyBorder="1"/>
    <xf numFmtId="0" fontId="3" fillId="2" borderId="6" xfId="0" applyFont="1" applyFill="1" applyBorder="1"/>
    <xf numFmtId="14" fontId="0" fillId="0" borderId="0" xfId="0" applyNumberFormat="1"/>
    <xf numFmtId="2" fontId="0" fillId="0" borderId="0" xfId="0" applyNumberFormat="1" applyAlignment="1">
      <alignment horizontal="right"/>
    </xf>
    <xf numFmtId="0" fontId="0" fillId="15" borderId="16" xfId="0" applyFill="1" applyBorder="1" applyAlignment="1">
      <alignment vertical="center" wrapText="1"/>
    </xf>
    <xf numFmtId="0" fontId="28" fillId="15" borderId="17" xfId="0" applyFont="1" applyFill="1" applyBorder="1" applyAlignment="1">
      <alignment vertical="center" wrapText="1"/>
    </xf>
    <xf numFmtId="0" fontId="29" fillId="0" borderId="18" xfId="0" applyFont="1" applyBorder="1" applyAlignment="1">
      <alignment vertical="center" wrapText="1"/>
    </xf>
    <xf numFmtId="0" fontId="29" fillId="0" borderId="9" xfId="0" applyFont="1" applyBorder="1" applyAlignment="1">
      <alignment vertical="center" wrapText="1"/>
    </xf>
    <xf numFmtId="14" fontId="29" fillId="0" borderId="9" xfId="0" applyNumberFormat="1" applyFont="1" applyBorder="1" applyAlignment="1">
      <alignment vertical="center" wrapText="1"/>
    </xf>
    <xf numFmtId="11" fontId="0" fillId="0" borderId="0" xfId="0" applyNumberFormat="1"/>
    <xf numFmtId="11" fontId="29" fillId="0" borderId="9" xfId="0" applyNumberFormat="1" applyFont="1" applyBorder="1" applyAlignment="1">
      <alignment vertical="center" wrapText="1"/>
    </xf>
    <xf numFmtId="0" fontId="0" fillId="0" borderId="0" xfId="0" applyAlignment="1">
      <alignment horizontal="left" vertical="top" indent="4"/>
    </xf>
    <xf numFmtId="2" fontId="0" fillId="14" borderId="0" xfId="4" applyNumberFormat="1" applyFont="1" applyFill="1"/>
    <xf numFmtId="0" fontId="33" fillId="0" borderId="0" xfId="0" applyFont="1"/>
    <xf numFmtId="9" fontId="0" fillId="14" borderId="0" xfId="4" applyFont="1" applyFill="1"/>
    <xf numFmtId="4" fontId="0" fillId="0" borderId="0" xfId="0" applyNumberFormat="1"/>
    <xf numFmtId="0" fontId="0" fillId="0" borderId="0" xfId="0" applyAlignment="1">
      <alignment vertical="center" wrapText="1"/>
    </xf>
    <xf numFmtId="4" fontId="0" fillId="0" borderId="0" xfId="0" applyNumberFormat="1" applyAlignment="1">
      <alignment vertical="center" wrapText="1"/>
    </xf>
    <xf numFmtId="43" fontId="0" fillId="0" borderId="0" xfId="1" applyFont="1" applyFill="1"/>
    <xf numFmtId="10" fontId="0" fillId="0" borderId="0" xfId="4" applyNumberFormat="1" applyFont="1" applyFill="1"/>
    <xf numFmtId="43" fontId="0" fillId="0" borderId="0" xfId="0" applyNumberFormat="1"/>
    <xf numFmtId="4" fontId="34" fillId="0" borderId="0" xfId="0" applyNumberFormat="1" applyFont="1"/>
    <xf numFmtId="2" fontId="0" fillId="0" borderId="0" xfId="0" applyNumberFormat="1"/>
    <xf numFmtId="2" fontId="0" fillId="0" borderId="0" xfId="4" applyNumberFormat="1" applyFont="1" applyFill="1"/>
    <xf numFmtId="2" fontId="0" fillId="0" borderId="0" xfId="1" applyNumberFormat="1" applyFont="1" applyFill="1"/>
    <xf numFmtId="167" fontId="0" fillId="0" borderId="0" xfId="0" applyNumberFormat="1"/>
    <xf numFmtId="174" fontId="0" fillId="0" borderId="0" xfId="0" applyNumberFormat="1"/>
    <xf numFmtId="0" fontId="18" fillId="0" borderId="0" xfId="5"/>
    <xf numFmtId="0" fontId="10" fillId="16" borderId="1" xfId="0" applyFont="1" applyFill="1" applyBorder="1" applyAlignment="1">
      <alignment horizontal="center" vertical="center" wrapText="1"/>
    </xf>
    <xf numFmtId="0" fontId="10" fillId="17" borderId="1" xfId="0" applyFont="1" applyFill="1" applyBorder="1" applyAlignment="1">
      <alignment horizontal="center" vertical="center" wrapText="1"/>
    </xf>
    <xf numFmtId="0" fontId="10" fillId="16" borderId="1" xfId="0" applyFont="1" applyFill="1" applyBorder="1" applyAlignment="1">
      <alignment horizontal="center" vertical="center"/>
    </xf>
    <xf numFmtId="0" fontId="38" fillId="18" borderId="1" xfId="0" applyFont="1" applyFill="1" applyBorder="1" applyAlignment="1">
      <alignment horizontal="center" vertical="center" wrapText="1"/>
    </xf>
    <xf numFmtId="0" fontId="37" fillId="18" borderId="1" xfId="0" applyFont="1" applyFill="1" applyBorder="1" applyAlignment="1">
      <alignment vertical="center" wrapText="1"/>
    </xf>
    <xf numFmtId="0" fontId="18" fillId="18" borderId="1" xfId="5" applyFill="1" applyBorder="1" applyAlignment="1">
      <alignment horizontal="center" vertical="center" wrapText="1"/>
    </xf>
    <xf numFmtId="0" fontId="37" fillId="18" borderId="1" xfId="0" applyFont="1" applyFill="1" applyBorder="1" applyAlignment="1">
      <alignment horizontal="center" vertical="center" wrapText="1"/>
    </xf>
    <xf numFmtId="0" fontId="38" fillId="18" borderId="20" xfId="0" applyFont="1" applyFill="1" applyBorder="1" applyAlignment="1">
      <alignment horizontal="center" vertical="center" wrapText="1"/>
    </xf>
    <xf numFmtId="0" fontId="37" fillId="18" borderId="20" xfId="0" applyFont="1" applyFill="1" applyBorder="1" applyAlignment="1">
      <alignment vertical="center" wrapText="1"/>
    </xf>
    <xf numFmtId="0" fontId="18" fillId="18" borderId="20" xfId="5" applyFill="1" applyBorder="1" applyAlignment="1">
      <alignment horizontal="center" vertical="center" wrapText="1"/>
    </xf>
    <xf numFmtId="0" fontId="37" fillId="18" borderId="20" xfId="0" applyFont="1" applyFill="1" applyBorder="1" applyAlignment="1">
      <alignment horizontal="center" vertical="center" wrapText="1"/>
    </xf>
    <xf numFmtId="0" fontId="0" fillId="0" borderId="21" xfId="0" applyBorder="1"/>
    <xf numFmtId="0" fontId="38" fillId="19" borderId="1" xfId="0" applyFont="1" applyFill="1" applyBorder="1" applyAlignment="1">
      <alignment horizontal="center" vertical="center" wrapText="1"/>
    </xf>
    <xf numFmtId="0" fontId="37" fillId="19" borderId="1" xfId="0" applyFont="1" applyFill="1" applyBorder="1" applyAlignment="1">
      <alignment vertical="center" wrapText="1"/>
    </xf>
    <xf numFmtId="0" fontId="18" fillId="19" borderId="1" xfId="5" applyFill="1" applyBorder="1" applyAlignment="1">
      <alignment horizontal="center" vertical="center" wrapText="1"/>
    </xf>
    <xf numFmtId="0" fontId="37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44" fontId="0" fillId="0" borderId="0" xfId="0" pivotButton="1" applyNumberFormat="1"/>
    <xf numFmtId="44" fontId="0" fillId="0" borderId="0" xfId="0" applyNumberFormat="1"/>
    <xf numFmtId="44" fontId="0" fillId="0" borderId="0" xfId="0" applyNumberFormat="1" applyAlignment="1">
      <alignment horizontal="left"/>
    </xf>
    <xf numFmtId="4" fontId="39" fillId="0" borderId="22" xfId="0" applyNumberFormat="1" applyFont="1" applyBorder="1" applyAlignment="1">
      <alignment horizontal="right"/>
    </xf>
    <xf numFmtId="175" fontId="39" fillId="0" borderId="22" xfId="0" applyNumberFormat="1" applyFont="1" applyBorder="1" applyAlignment="1">
      <alignment horizontal="center" vertical="top"/>
    </xf>
    <xf numFmtId="164" fontId="39" fillId="0" borderId="22" xfId="0" applyNumberFormat="1" applyFont="1" applyBorder="1" applyAlignment="1">
      <alignment horizontal="center" vertical="top"/>
    </xf>
    <xf numFmtId="4" fontId="39" fillId="0" borderId="22" xfId="0" applyNumberFormat="1" applyFont="1" applyBorder="1" applyAlignment="1">
      <alignment horizontal="right" vertical="top" wrapText="1"/>
    </xf>
    <xf numFmtId="176" fontId="0" fillId="0" borderId="0" xfId="0" applyNumberFormat="1"/>
    <xf numFmtId="176" fontId="0" fillId="13" borderId="0" xfId="0" applyNumberFormat="1" applyFill="1"/>
    <xf numFmtId="4" fontId="0" fillId="13" borderId="0" xfId="0" applyNumberFormat="1" applyFill="1"/>
    <xf numFmtId="0" fontId="1" fillId="2" borderId="2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 wrapText="1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9" fillId="0" borderId="19" xfId="0" applyFont="1" applyBorder="1" applyAlignment="1">
      <alignment vertical="center" wrapText="1"/>
    </xf>
    <xf numFmtId="0" fontId="29" fillId="0" borderId="18" xfId="0" applyFont="1" applyBorder="1" applyAlignment="1">
      <alignment vertical="center" wrapText="1"/>
    </xf>
    <xf numFmtId="0" fontId="0" fillId="0" borderId="0" xfId="0" applyAlignment="1">
      <alignment horizontal="center" vertical="top" wrapText="1"/>
    </xf>
    <xf numFmtId="0" fontId="14" fillId="0" borderId="0" xfId="0" applyFont="1" applyAlignment="1">
      <alignment horizontal="center" vertical="center" wrapText="1"/>
    </xf>
    <xf numFmtId="167" fontId="0" fillId="0" borderId="0" xfId="0" applyNumberFormat="1" applyAlignment="1">
      <alignment horizontal="center" vertical="center" wrapText="1"/>
    </xf>
    <xf numFmtId="0" fontId="24" fillId="11" borderId="5" xfId="0" applyFont="1" applyFill="1" applyBorder="1" applyAlignment="1">
      <alignment horizontal="center" vertical="top" wrapText="1"/>
    </xf>
    <xf numFmtId="0" fontId="24" fillId="11" borderId="0" xfId="0" applyFont="1" applyFill="1" applyAlignment="1">
      <alignment horizontal="center" vertical="top" wrapText="1"/>
    </xf>
    <xf numFmtId="0" fontId="24" fillId="11" borderId="6" xfId="0" applyFont="1" applyFill="1" applyBorder="1" applyAlignment="1">
      <alignment horizontal="center" vertical="top" wrapText="1"/>
    </xf>
    <xf numFmtId="0" fontId="2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6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" fillId="4" borderId="5" xfId="0" applyFont="1" applyFill="1" applyBorder="1" applyAlignment="1">
      <alignment horizontal="left" vertical="center" wrapText="1"/>
    </xf>
    <xf numFmtId="0" fontId="6" fillId="4" borderId="0" xfId="0" applyFont="1" applyFill="1" applyAlignment="1">
      <alignment horizontal="left" vertical="center" wrapText="1"/>
    </xf>
    <xf numFmtId="0" fontId="6" fillId="4" borderId="0" xfId="0" applyFont="1" applyFill="1" applyAlignment="1">
      <alignment horizontal="left" vertical="center"/>
    </xf>
    <xf numFmtId="0" fontId="6" fillId="4" borderId="6" xfId="0" applyFont="1" applyFill="1" applyBorder="1" applyAlignment="1">
      <alignment horizontal="left" vertical="center" wrapText="1"/>
    </xf>
  </cellXfs>
  <cellStyles count="12">
    <cellStyle name="Comma" xfId="1" builtinId="3"/>
    <cellStyle name="Comma [0]" xfId="2" builtinId="6"/>
    <cellStyle name="Comma 2" xfId="8" xr:uid="{00000000-0005-0000-0000-000000000000}"/>
    <cellStyle name="Comma 3" xfId="7" xr:uid="{00000000-0005-0000-0000-000001000000}"/>
    <cellStyle name="Currency" xfId="3" builtinId="4"/>
    <cellStyle name="Hyperlink" xfId="5" xr:uid="{00000000-0005-0000-0000-000002000000}"/>
    <cellStyle name="Normal" xfId="0" builtinId="0"/>
    <cellStyle name="Normal 2" xfId="9" xr:uid="{00000000-0005-0000-0000-000005000000}"/>
    <cellStyle name="Normal 3" xfId="6" xr:uid="{00000000-0005-0000-0000-000006000000}"/>
    <cellStyle name="Percent" xfId="4" builtinId="5"/>
    <cellStyle name="Percent 2" xfId="10" xr:uid="{00000000-0005-0000-0000-000007000000}"/>
    <cellStyle name="Percent 3" xfId="11" xr:uid="{00000000-0005-0000-0000-000008000000}"/>
  </cellStyles>
  <dxfs count="9">
    <dxf>
      <fill>
        <patternFill patternType="none"/>
      </fill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jpeg"/><Relationship Id="rId21" Type="http://schemas.openxmlformats.org/officeDocument/2006/relationships/hyperlink" Target="http://en.wikipedia.org/wiki/File:Flag_of_Peru.svg" TargetMode="External"/><Relationship Id="rId42" Type="http://schemas.openxmlformats.org/officeDocument/2006/relationships/image" Target="../media/image21.jpeg"/><Relationship Id="rId47" Type="http://schemas.openxmlformats.org/officeDocument/2006/relationships/hyperlink" Target="http://en.wikipedia.org/wiki/File:Flag_of_Costa_Rica.svg" TargetMode="External"/><Relationship Id="rId63" Type="http://schemas.openxmlformats.org/officeDocument/2006/relationships/hyperlink" Target="http://en.wikipedia.org/wiki/File:Flag_of_Guatemala.svg" TargetMode="External"/><Relationship Id="rId68" Type="http://schemas.openxmlformats.org/officeDocument/2006/relationships/image" Target="../media/image34.jpeg"/><Relationship Id="rId84" Type="http://schemas.openxmlformats.org/officeDocument/2006/relationships/image" Target="../media/image42.jpeg"/><Relationship Id="rId89" Type="http://schemas.openxmlformats.org/officeDocument/2006/relationships/hyperlink" Target="http://en.wikipedia.org/wiki/File:Flag_of_Dominican_Republic.svg" TargetMode="External"/><Relationship Id="rId16" Type="http://schemas.openxmlformats.org/officeDocument/2006/relationships/image" Target="../media/image8.jpeg"/><Relationship Id="rId11" Type="http://schemas.openxmlformats.org/officeDocument/2006/relationships/hyperlink" Target="http://en.wikipedia.org/wiki/File:Flag_of_Ecuador.svg" TargetMode="External"/><Relationship Id="rId32" Type="http://schemas.openxmlformats.org/officeDocument/2006/relationships/image" Target="../media/image16.jpeg"/><Relationship Id="rId37" Type="http://schemas.openxmlformats.org/officeDocument/2006/relationships/hyperlink" Target="http://en.wikipedia.org/wiki/File:Flag_of_Barbados.svg" TargetMode="External"/><Relationship Id="rId53" Type="http://schemas.openxmlformats.org/officeDocument/2006/relationships/hyperlink" Target="http://en.wikipedia.org/wiki/File:Flag_of_Dominica.svg" TargetMode="External"/><Relationship Id="rId58" Type="http://schemas.openxmlformats.org/officeDocument/2006/relationships/image" Target="../media/image29.jpeg"/><Relationship Id="rId74" Type="http://schemas.openxmlformats.org/officeDocument/2006/relationships/image" Target="../media/image37.jpeg"/><Relationship Id="rId79" Type="http://schemas.openxmlformats.org/officeDocument/2006/relationships/hyperlink" Target="http://en.wikipedia.org/wiki/File:Flag_of_Mexico.svg" TargetMode="External"/><Relationship Id="rId102" Type="http://schemas.openxmlformats.org/officeDocument/2006/relationships/image" Target="../media/image51.jpeg"/><Relationship Id="rId5" Type="http://schemas.openxmlformats.org/officeDocument/2006/relationships/hyperlink" Target="http://en.wikipedia.org/wiki/File:Flag_of_Brazil.svg" TargetMode="External"/><Relationship Id="rId90" Type="http://schemas.openxmlformats.org/officeDocument/2006/relationships/image" Target="../media/image45.jpeg"/><Relationship Id="rId95" Type="http://schemas.openxmlformats.org/officeDocument/2006/relationships/hyperlink" Target="http://en.wikipedia.org/wiki/File:Flag_of_Saint_Vincent_and_the_Grenadines.svg" TargetMode="External"/><Relationship Id="rId22" Type="http://schemas.openxmlformats.org/officeDocument/2006/relationships/image" Target="../media/image11.jpeg"/><Relationship Id="rId27" Type="http://schemas.openxmlformats.org/officeDocument/2006/relationships/hyperlink" Target="http://en.wikipedia.org/wiki/File:Flag_of_Venezuela.svg" TargetMode="External"/><Relationship Id="rId43" Type="http://schemas.openxmlformats.org/officeDocument/2006/relationships/hyperlink" Target="http://en.wikipedia.org/wiki/File:Flag_of_Netherlands.svg" TargetMode="External"/><Relationship Id="rId48" Type="http://schemas.openxmlformats.org/officeDocument/2006/relationships/image" Target="../media/image24.jpeg"/><Relationship Id="rId64" Type="http://schemas.openxmlformats.org/officeDocument/2006/relationships/image" Target="../media/image32.jpeg"/><Relationship Id="rId69" Type="http://schemas.openxmlformats.org/officeDocument/2006/relationships/hyperlink" Target="http://en.wikipedia.org/wiki/File:Flag_of_Cayman_Islands.svg" TargetMode="External"/><Relationship Id="rId80" Type="http://schemas.openxmlformats.org/officeDocument/2006/relationships/image" Target="../media/image40.jpeg"/><Relationship Id="rId85" Type="http://schemas.openxmlformats.org/officeDocument/2006/relationships/hyperlink" Target="http://en.wikipedia.org/wiki/File:Flag_of_Panama.svg" TargetMode="External"/><Relationship Id="rId12" Type="http://schemas.openxmlformats.org/officeDocument/2006/relationships/image" Target="../media/image6.jpeg"/><Relationship Id="rId17" Type="http://schemas.openxmlformats.org/officeDocument/2006/relationships/hyperlink" Target="http://en.wikipedia.org/wiki/File:Flag_of_the_Falkland_Islands.svg" TargetMode="External"/><Relationship Id="rId25" Type="http://schemas.openxmlformats.org/officeDocument/2006/relationships/hyperlink" Target="http://en.wikipedia.org/wiki/File:Flag_of_Uruguay.svg" TargetMode="External"/><Relationship Id="rId33" Type="http://schemas.openxmlformats.org/officeDocument/2006/relationships/hyperlink" Target="http://en.wikipedia.org/wiki/File:Flag_of_Aruba.svg" TargetMode="External"/><Relationship Id="rId38" Type="http://schemas.openxmlformats.org/officeDocument/2006/relationships/image" Target="../media/image19.jpeg"/><Relationship Id="rId46" Type="http://schemas.openxmlformats.org/officeDocument/2006/relationships/image" Target="../media/image23.jpeg"/><Relationship Id="rId59" Type="http://schemas.openxmlformats.org/officeDocument/2006/relationships/hyperlink" Target="http://en.wikipedia.org/wiki/File:Flag_of_Grenada.svg" TargetMode="External"/><Relationship Id="rId67" Type="http://schemas.openxmlformats.org/officeDocument/2006/relationships/hyperlink" Target="http://en.wikipedia.org/wiki/File:Flag_of_Honduras.svg" TargetMode="External"/><Relationship Id="rId20" Type="http://schemas.openxmlformats.org/officeDocument/2006/relationships/image" Target="../media/image10.jpeg"/><Relationship Id="rId41" Type="http://schemas.openxmlformats.org/officeDocument/2006/relationships/hyperlink" Target="http://en.wikipedia.org/wiki/File:Flag_of_Bermuda.svg" TargetMode="External"/><Relationship Id="rId54" Type="http://schemas.openxmlformats.org/officeDocument/2006/relationships/image" Target="../media/image27.jpeg"/><Relationship Id="rId62" Type="http://schemas.openxmlformats.org/officeDocument/2006/relationships/image" Target="../media/image31.jpeg"/><Relationship Id="rId70" Type="http://schemas.openxmlformats.org/officeDocument/2006/relationships/image" Target="../media/image35.jpeg"/><Relationship Id="rId75" Type="http://schemas.openxmlformats.org/officeDocument/2006/relationships/hyperlink" Target="http://en.wikipedia.org/wiki/File:Flag_of_the_United_States_Virgin_Islands.svg" TargetMode="External"/><Relationship Id="rId83" Type="http://schemas.openxmlformats.org/officeDocument/2006/relationships/hyperlink" Target="http://en.wikipedia.org/wiki/File:Flag_of_Nicaragua.svg" TargetMode="External"/><Relationship Id="rId88" Type="http://schemas.openxmlformats.org/officeDocument/2006/relationships/image" Target="../media/image44.jpeg"/><Relationship Id="rId91" Type="http://schemas.openxmlformats.org/officeDocument/2006/relationships/hyperlink" Target="http://en.wikipedia.org/wiki/File:Flag_of_Saint_Kitts_and_Nevis.svg" TargetMode="External"/><Relationship Id="rId96" Type="http://schemas.openxmlformats.org/officeDocument/2006/relationships/image" Target="../media/image48.jpeg"/><Relationship Id="rId1" Type="http://schemas.openxmlformats.org/officeDocument/2006/relationships/hyperlink" Target="http://en.wikipedia.org/wiki/File:Flag_of_Argentina.svg" TargetMode="External"/><Relationship Id="rId6" Type="http://schemas.openxmlformats.org/officeDocument/2006/relationships/image" Target="../media/image3.jpeg"/><Relationship Id="rId15" Type="http://schemas.openxmlformats.org/officeDocument/2006/relationships/hyperlink" Target="http://en.wikipedia.org/wiki/File:Flag_of_Guyana.svg" TargetMode="External"/><Relationship Id="rId23" Type="http://schemas.openxmlformats.org/officeDocument/2006/relationships/hyperlink" Target="http://en.wikipedia.org/wiki/File:Flag_of_Suriname.svg" TargetMode="External"/><Relationship Id="rId28" Type="http://schemas.openxmlformats.org/officeDocument/2006/relationships/image" Target="../media/image14.jpeg"/><Relationship Id="rId36" Type="http://schemas.openxmlformats.org/officeDocument/2006/relationships/image" Target="../media/image18.jpeg"/><Relationship Id="rId49" Type="http://schemas.openxmlformats.org/officeDocument/2006/relationships/hyperlink" Target="http://en.wikipedia.org/wiki/File:Flag_of_Cuba.svg" TargetMode="External"/><Relationship Id="rId57" Type="http://schemas.openxmlformats.org/officeDocument/2006/relationships/hyperlink" Target="http://en.wikipedia.org/wiki/File:Flag_of_United_States.svg" TargetMode="External"/><Relationship Id="rId10" Type="http://schemas.openxmlformats.org/officeDocument/2006/relationships/image" Target="../media/image5.jpeg"/><Relationship Id="rId31" Type="http://schemas.openxmlformats.org/officeDocument/2006/relationships/hyperlink" Target="http://en.wikipedia.org/wiki/File:Flag_of_Antigua_and_Barbuda.svg" TargetMode="External"/><Relationship Id="rId44" Type="http://schemas.openxmlformats.org/officeDocument/2006/relationships/image" Target="../media/image22.jpeg"/><Relationship Id="rId52" Type="http://schemas.openxmlformats.org/officeDocument/2006/relationships/image" Target="../media/image26.jpeg"/><Relationship Id="rId60" Type="http://schemas.openxmlformats.org/officeDocument/2006/relationships/image" Target="../media/image30.jpeg"/><Relationship Id="rId65" Type="http://schemas.openxmlformats.org/officeDocument/2006/relationships/hyperlink" Target="http://en.wikipedia.org/wiki/File:Flag_of_Haiti.svg" TargetMode="External"/><Relationship Id="rId73" Type="http://schemas.openxmlformats.org/officeDocument/2006/relationships/hyperlink" Target="http://en.wikipedia.org/wiki/File:Flag_of_the_British_Virgin_Islands.svg" TargetMode="External"/><Relationship Id="rId78" Type="http://schemas.openxmlformats.org/officeDocument/2006/relationships/image" Target="../media/image39.jpeg"/><Relationship Id="rId81" Type="http://schemas.openxmlformats.org/officeDocument/2006/relationships/hyperlink" Target="http://en.wikipedia.org/wiki/File:Flag_of_Montserrat.svg" TargetMode="External"/><Relationship Id="rId86" Type="http://schemas.openxmlformats.org/officeDocument/2006/relationships/image" Target="../media/image43.jpeg"/><Relationship Id="rId94" Type="http://schemas.openxmlformats.org/officeDocument/2006/relationships/image" Target="../media/image47.jpeg"/><Relationship Id="rId99" Type="http://schemas.openxmlformats.org/officeDocument/2006/relationships/hyperlink" Target="http://en.wikipedia.org/wiki/File:Flag_of_Sint_Maarten.svg" TargetMode="External"/><Relationship Id="rId101" Type="http://schemas.openxmlformats.org/officeDocument/2006/relationships/hyperlink" Target="http://en.wikipedia.org/wiki/File:Flag_of_Trinidad_and_Tobago.svg" TargetMode="External"/><Relationship Id="rId4" Type="http://schemas.openxmlformats.org/officeDocument/2006/relationships/image" Target="../media/image2.jpeg"/><Relationship Id="rId9" Type="http://schemas.openxmlformats.org/officeDocument/2006/relationships/hyperlink" Target="http://en.wikipedia.org/wiki/File:Flag_of_Colombia.svg" TargetMode="External"/><Relationship Id="rId13" Type="http://schemas.openxmlformats.org/officeDocument/2006/relationships/hyperlink" Target="http://en.wikipedia.org/wiki/File:Flag_of_France.svg" TargetMode="External"/><Relationship Id="rId18" Type="http://schemas.openxmlformats.org/officeDocument/2006/relationships/image" Target="../media/image9.jpeg"/><Relationship Id="rId39" Type="http://schemas.openxmlformats.org/officeDocument/2006/relationships/hyperlink" Target="http://en.wikipedia.org/wiki/File:Flag_of_Belize.svg" TargetMode="External"/><Relationship Id="rId34" Type="http://schemas.openxmlformats.org/officeDocument/2006/relationships/image" Target="../media/image17.jpeg"/><Relationship Id="rId50" Type="http://schemas.openxmlformats.org/officeDocument/2006/relationships/image" Target="../media/image25.jpeg"/><Relationship Id="rId55" Type="http://schemas.openxmlformats.org/officeDocument/2006/relationships/hyperlink" Target="http://en.wikipedia.org/wiki/File:Flag_of_El_Salvador.svg" TargetMode="External"/><Relationship Id="rId76" Type="http://schemas.openxmlformats.org/officeDocument/2006/relationships/image" Target="../media/image38.jpeg"/><Relationship Id="rId97" Type="http://schemas.openxmlformats.org/officeDocument/2006/relationships/hyperlink" Target="http://en.wikipedia.org/wiki/File:Flag_of_Saint_Lucia.svg" TargetMode="External"/><Relationship Id="rId7" Type="http://schemas.openxmlformats.org/officeDocument/2006/relationships/hyperlink" Target="http://en.wikipedia.org/wiki/File:Flag_of_Chile.svg" TargetMode="External"/><Relationship Id="rId71" Type="http://schemas.openxmlformats.org/officeDocument/2006/relationships/hyperlink" Target="http://en.wikipedia.org/wiki/File:Flag_of_the_Turks_and_Caicos_Islands.svg" TargetMode="External"/><Relationship Id="rId92" Type="http://schemas.openxmlformats.org/officeDocument/2006/relationships/image" Target="../media/image46.jpeg"/><Relationship Id="rId2" Type="http://schemas.openxmlformats.org/officeDocument/2006/relationships/image" Target="../media/image1.jpeg"/><Relationship Id="rId29" Type="http://schemas.openxmlformats.org/officeDocument/2006/relationships/hyperlink" Target="http://en.wikipedia.org/wiki/File:Flag_of_Anguilla.svg" TargetMode="External"/><Relationship Id="rId24" Type="http://schemas.openxmlformats.org/officeDocument/2006/relationships/image" Target="../media/image12.jpeg"/><Relationship Id="rId40" Type="http://schemas.openxmlformats.org/officeDocument/2006/relationships/image" Target="../media/image20.jpeg"/><Relationship Id="rId45" Type="http://schemas.openxmlformats.org/officeDocument/2006/relationships/hyperlink" Target="http://en.wikipedia.org/wiki/File:Flag_of_Canada.svg" TargetMode="External"/><Relationship Id="rId66" Type="http://schemas.openxmlformats.org/officeDocument/2006/relationships/image" Target="../media/image33.jpeg"/><Relationship Id="rId87" Type="http://schemas.openxmlformats.org/officeDocument/2006/relationships/hyperlink" Target="http://en.wikipedia.org/wiki/File:Flag_of_Puerto_Rico.svg" TargetMode="External"/><Relationship Id="rId61" Type="http://schemas.openxmlformats.org/officeDocument/2006/relationships/hyperlink" Target="http://en.wikipedia.org/wiki/File:Flag_of_Greenland.svg" TargetMode="External"/><Relationship Id="rId82" Type="http://schemas.openxmlformats.org/officeDocument/2006/relationships/image" Target="../media/image41.jpeg"/><Relationship Id="rId19" Type="http://schemas.openxmlformats.org/officeDocument/2006/relationships/hyperlink" Target="http://en.wikipedia.org/wiki/File:Flag_of_Paraguay.svg" TargetMode="External"/><Relationship Id="rId14" Type="http://schemas.openxmlformats.org/officeDocument/2006/relationships/image" Target="../media/image7.jpeg"/><Relationship Id="rId30" Type="http://schemas.openxmlformats.org/officeDocument/2006/relationships/image" Target="../media/image15.jpeg"/><Relationship Id="rId35" Type="http://schemas.openxmlformats.org/officeDocument/2006/relationships/hyperlink" Target="http://en.wikipedia.org/wiki/File:Flag_of_Bahamas.svg" TargetMode="External"/><Relationship Id="rId56" Type="http://schemas.openxmlformats.org/officeDocument/2006/relationships/image" Target="../media/image28.jpeg"/><Relationship Id="rId77" Type="http://schemas.openxmlformats.org/officeDocument/2006/relationships/hyperlink" Target="http://en.wikipedia.org/wiki/File:Flag_of_Jamaica.svg" TargetMode="External"/><Relationship Id="rId100" Type="http://schemas.openxmlformats.org/officeDocument/2006/relationships/image" Target="../media/image50.jpeg"/><Relationship Id="rId8" Type="http://schemas.openxmlformats.org/officeDocument/2006/relationships/image" Target="../media/image4.jpeg"/><Relationship Id="rId51" Type="http://schemas.openxmlformats.org/officeDocument/2006/relationships/hyperlink" Target="http://en.wikipedia.org/wiki/File:Flag_of_Cura%C3%A7ao.svg" TargetMode="External"/><Relationship Id="rId72" Type="http://schemas.openxmlformats.org/officeDocument/2006/relationships/image" Target="../media/image36.jpeg"/><Relationship Id="rId93" Type="http://schemas.openxmlformats.org/officeDocument/2006/relationships/hyperlink" Target="http://en.wikipedia.org/wiki/File:Flag_of_Saint-Pierre_and_Miquelon.svg" TargetMode="External"/><Relationship Id="rId98" Type="http://schemas.openxmlformats.org/officeDocument/2006/relationships/image" Target="../media/image49.jpeg"/><Relationship Id="rId3" Type="http://schemas.openxmlformats.org/officeDocument/2006/relationships/hyperlink" Target="http://en.wikipedia.org/wiki/File:Flag_of_Bolivia.sv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png"/><Relationship Id="rId1" Type="http://schemas.openxmlformats.org/officeDocument/2006/relationships/image" Target="../media/image5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8</xdr:row>
          <xdr:rowOff>133350</xdr:rowOff>
        </xdr:from>
        <xdr:to>
          <xdr:col>7</xdr:col>
          <xdr:colOff>1609725</xdr:colOff>
          <xdr:row>10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638175</xdr:colOff>
          <xdr:row>11</xdr:row>
          <xdr:rowOff>0</xdr:rowOff>
        </xdr:from>
        <xdr:to>
          <xdr:col>7</xdr:col>
          <xdr:colOff>1600200</xdr:colOff>
          <xdr:row>11</xdr:row>
          <xdr:rowOff>304800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12</xdr:row>
          <xdr:rowOff>133350</xdr:rowOff>
        </xdr:from>
        <xdr:to>
          <xdr:col>7</xdr:col>
          <xdr:colOff>1609725</xdr:colOff>
          <xdr:row>14</xdr:row>
          <xdr:rowOff>47625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361950</xdr:colOff>
      <xdr:row>4</xdr:row>
      <xdr:rowOff>12700</xdr:rowOff>
    </xdr:to>
    <xdr:pic>
      <xdr:nvPicPr>
        <xdr:cNvPr id="2" name="Picture 1" descr="Argentina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19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361950</xdr:colOff>
      <xdr:row>9</xdr:row>
      <xdr:rowOff>241300</xdr:rowOff>
    </xdr:to>
    <xdr:pic>
      <xdr:nvPicPr>
        <xdr:cNvPr id="3" name="Picture 2" descr="Bolivia, Estado Plurinacional de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175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361950</xdr:colOff>
      <xdr:row>11</xdr:row>
      <xdr:rowOff>260350</xdr:rowOff>
    </xdr:to>
    <xdr:pic>
      <xdr:nvPicPr>
        <xdr:cNvPr id="4" name="Picture 3" descr="Brasil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8750"/>
          <a:ext cx="36195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361950</xdr:colOff>
      <xdr:row>13</xdr:row>
      <xdr:rowOff>241300</xdr:rowOff>
    </xdr:to>
    <xdr:pic>
      <xdr:nvPicPr>
        <xdr:cNvPr id="5" name="Picture 4" descr="Chile">
          <a:hlinkClick xmlns:r="http://schemas.openxmlformats.org/officeDocument/2006/relationships" r:id="rId7" tgtFrame="_blank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129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361950</xdr:colOff>
      <xdr:row>14</xdr:row>
      <xdr:rowOff>241300</xdr:rowOff>
    </xdr:to>
    <xdr:pic>
      <xdr:nvPicPr>
        <xdr:cNvPr id="6" name="Picture 5" descr="Colombia">
          <a:hlinkClick xmlns:r="http://schemas.openxmlformats.org/officeDocument/2006/relationships" r:id="rId9" tgtFrame="_blank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970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361950</xdr:colOff>
      <xdr:row>19</xdr:row>
      <xdr:rowOff>184150</xdr:rowOff>
    </xdr:to>
    <xdr:pic>
      <xdr:nvPicPr>
        <xdr:cNvPr id="7" name="Picture 6" descr="Ecuador">
          <a:hlinkClick xmlns:r="http://schemas.openxmlformats.org/officeDocument/2006/relationships" r:id="rId11" tgtFrame="_blank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526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361950</xdr:colOff>
      <xdr:row>26</xdr:row>
      <xdr:rowOff>241300</xdr:rowOff>
    </xdr:to>
    <xdr:pic>
      <xdr:nvPicPr>
        <xdr:cNvPr id="8" name="Picture 7" descr="Guayana Francesa">
          <a:hlinkClick xmlns:r="http://schemas.openxmlformats.org/officeDocument/2006/relationships" r:id="rId13" tgtFrame="_blank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368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361950</xdr:colOff>
      <xdr:row>27</xdr:row>
      <xdr:rowOff>241300</xdr:rowOff>
    </xdr:to>
    <xdr:pic>
      <xdr:nvPicPr>
        <xdr:cNvPr id="9" name="Picture 8" descr="Guyana">
          <a:hlinkClick xmlns:r="http://schemas.openxmlformats.org/officeDocument/2006/relationships" r:id="rId15" tgtFrame="_blank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702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361950</xdr:colOff>
      <xdr:row>31</xdr:row>
      <xdr:rowOff>184150</xdr:rowOff>
    </xdr:to>
    <xdr:pic>
      <xdr:nvPicPr>
        <xdr:cNvPr id="10" name="Picture 9" descr="Islas Falkland (Malvinas)">
          <a:hlinkClick xmlns:r="http://schemas.openxmlformats.org/officeDocument/2006/relationships" r:id="rId17" tgtFrame="_blank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543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361950</xdr:colOff>
      <xdr:row>41</xdr:row>
      <xdr:rowOff>184150</xdr:rowOff>
    </xdr:to>
    <xdr:pic>
      <xdr:nvPicPr>
        <xdr:cNvPr id="11" name="Picture 10" descr="Paraguay">
          <a:hlinkClick xmlns:r="http://schemas.openxmlformats.org/officeDocument/2006/relationships" r:id="rId19" tgtFrame="_blank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655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361950</xdr:colOff>
      <xdr:row>42</xdr:row>
      <xdr:rowOff>241300</xdr:rowOff>
    </xdr:to>
    <xdr:pic>
      <xdr:nvPicPr>
        <xdr:cNvPr id="12" name="Picture 11" descr="Perú">
          <a:hlinkClick xmlns:r="http://schemas.openxmlformats.org/officeDocument/2006/relationships" r:id="rId21" tgtFrame="_blank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211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361950</xdr:colOff>
      <xdr:row>52</xdr:row>
      <xdr:rowOff>241300</xdr:rowOff>
    </xdr:to>
    <xdr:pic>
      <xdr:nvPicPr>
        <xdr:cNvPr id="13" name="Picture 12" descr="Surinam">
          <a:hlinkClick xmlns:r="http://schemas.openxmlformats.org/officeDocument/2006/relationships" r:id="rId23" tgtFrame="_blank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53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0</xdr:col>
      <xdr:colOff>361950</xdr:colOff>
      <xdr:row>54</xdr:row>
      <xdr:rowOff>241300</xdr:rowOff>
    </xdr:to>
    <xdr:pic>
      <xdr:nvPicPr>
        <xdr:cNvPr id="14" name="Picture 13" descr="Uruguay">
          <a:hlinkClick xmlns:r="http://schemas.openxmlformats.org/officeDocument/2006/relationships" r:id="rId25" tgtFrame="_blank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894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361950</xdr:colOff>
      <xdr:row>55</xdr:row>
      <xdr:rowOff>241300</xdr:rowOff>
    </xdr:to>
    <xdr:pic>
      <xdr:nvPicPr>
        <xdr:cNvPr id="15" name="Picture 14" descr="Venezuela, República Bolivariana de">
          <a:hlinkClick xmlns:r="http://schemas.openxmlformats.org/officeDocument/2006/relationships" r:id="rId27" tgtFrame="_blank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36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361950</xdr:colOff>
      <xdr:row>1</xdr:row>
      <xdr:rowOff>184150</xdr:rowOff>
    </xdr:to>
    <xdr:pic>
      <xdr:nvPicPr>
        <xdr:cNvPr id="16" name="Picture 15" descr="Anguila">
          <a:hlinkClick xmlns:r="http://schemas.openxmlformats.org/officeDocument/2006/relationships" r:id="rId29" tgtFrame="_blank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570230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361950</xdr:colOff>
      <xdr:row>2</xdr:row>
      <xdr:rowOff>241300</xdr:rowOff>
    </xdr:to>
    <xdr:pic>
      <xdr:nvPicPr>
        <xdr:cNvPr id="17" name="Picture 16" descr="Antigua y Barbuda">
          <a:hlinkClick xmlns:r="http://schemas.openxmlformats.org/officeDocument/2006/relationships" r:id="rId31" tgtFrame="_blank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58864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361950</xdr:colOff>
      <xdr:row>4</xdr:row>
      <xdr:rowOff>241300</xdr:rowOff>
    </xdr:to>
    <xdr:pic>
      <xdr:nvPicPr>
        <xdr:cNvPr id="18" name="Picture 17" descr="Aruba">
          <a:hlinkClick xmlns:r="http://schemas.openxmlformats.org/officeDocument/2006/relationships" r:id="rId33" tgtFrame="_blank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64198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361950</xdr:colOff>
      <xdr:row>5</xdr:row>
      <xdr:rowOff>184150</xdr:rowOff>
    </xdr:to>
    <xdr:pic>
      <xdr:nvPicPr>
        <xdr:cNvPr id="19" name="Picture 18" descr="Bahamas">
          <a:hlinkClick xmlns:r="http://schemas.openxmlformats.org/officeDocument/2006/relationships" r:id="rId35" tgtFrame="_blank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67754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361950</xdr:colOff>
      <xdr:row>6</xdr:row>
      <xdr:rowOff>241300</xdr:rowOff>
    </xdr:to>
    <xdr:pic>
      <xdr:nvPicPr>
        <xdr:cNvPr id="20" name="Picture 19" descr="Barbados">
          <a:hlinkClick xmlns:r="http://schemas.openxmlformats.org/officeDocument/2006/relationships" r:id="rId37" tgtFrame="_blank"/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71310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361950</xdr:colOff>
      <xdr:row>7</xdr:row>
      <xdr:rowOff>241300</xdr:rowOff>
    </xdr:to>
    <xdr:pic>
      <xdr:nvPicPr>
        <xdr:cNvPr id="21" name="Picture 20" descr="Belice">
          <a:hlinkClick xmlns:r="http://schemas.openxmlformats.org/officeDocument/2006/relationships" r:id="rId39" tgtFrame="_blank"/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74866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361950</xdr:colOff>
      <xdr:row>8</xdr:row>
      <xdr:rowOff>184150</xdr:rowOff>
    </xdr:to>
    <xdr:pic>
      <xdr:nvPicPr>
        <xdr:cNvPr id="24" name="Picture 23" descr="Bermudas">
          <a:hlinkClick xmlns:r="http://schemas.openxmlformats.org/officeDocument/2006/relationships" r:id="rId41" tgtFrame="_blank"/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767080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361950</xdr:colOff>
      <xdr:row>10</xdr:row>
      <xdr:rowOff>241300</xdr:rowOff>
    </xdr:to>
    <xdr:pic>
      <xdr:nvPicPr>
        <xdr:cNvPr id="25" name="Picture 24" descr="Bonaire, San Eustaquio y Saba">
          <a:hlinkClick xmlns:r="http://schemas.openxmlformats.org/officeDocument/2006/relationships" r:id="rId43" tgtFrame="_blank"/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80264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361950</xdr:colOff>
      <xdr:row>12</xdr:row>
      <xdr:rowOff>184150</xdr:rowOff>
    </xdr:to>
    <xdr:pic>
      <xdr:nvPicPr>
        <xdr:cNvPr id="26" name="Picture 25" descr="Canadá">
          <a:hlinkClick xmlns:r="http://schemas.openxmlformats.org/officeDocument/2006/relationships" r:id="rId45" tgtFrame="_blank"/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873760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361950</xdr:colOff>
      <xdr:row>15</xdr:row>
      <xdr:rowOff>228600</xdr:rowOff>
    </xdr:to>
    <xdr:pic>
      <xdr:nvPicPr>
        <xdr:cNvPr id="27" name="Picture 26" descr="Costa Rica">
          <a:hlinkClick xmlns:r="http://schemas.openxmlformats.org/officeDocument/2006/relationships" r:id="rId47" tgtFrame="_blank"/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8921750"/>
          <a:ext cx="3619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361950</xdr:colOff>
      <xdr:row>16</xdr:row>
      <xdr:rowOff>184150</xdr:rowOff>
    </xdr:to>
    <xdr:pic>
      <xdr:nvPicPr>
        <xdr:cNvPr id="28" name="Picture 27" descr="Cuba">
          <a:hlinkClick xmlns:r="http://schemas.openxmlformats.org/officeDocument/2006/relationships" r:id="rId49" tgtFrame="_blank"/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92773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361950</xdr:colOff>
      <xdr:row>17</xdr:row>
      <xdr:rowOff>241300</xdr:rowOff>
    </xdr:to>
    <xdr:pic>
      <xdr:nvPicPr>
        <xdr:cNvPr id="29" name="Picture 28" descr="Curazao">
          <a:hlinkClick xmlns:r="http://schemas.openxmlformats.org/officeDocument/2006/relationships" r:id="rId51" tgtFrame="_blank"/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94615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361950</xdr:colOff>
      <xdr:row>18</xdr:row>
      <xdr:rowOff>184150</xdr:rowOff>
    </xdr:to>
    <xdr:pic>
      <xdr:nvPicPr>
        <xdr:cNvPr id="30" name="Picture 29" descr="Dominica">
          <a:hlinkClick xmlns:r="http://schemas.openxmlformats.org/officeDocument/2006/relationships" r:id="rId53" tgtFrame="_blank"/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96456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361950</xdr:colOff>
      <xdr:row>20</xdr:row>
      <xdr:rowOff>228600</xdr:rowOff>
    </xdr:to>
    <xdr:pic>
      <xdr:nvPicPr>
        <xdr:cNvPr id="31" name="Picture 30" descr="El Salvador">
          <a:hlinkClick xmlns:r="http://schemas.openxmlformats.org/officeDocument/2006/relationships" r:id="rId55" tgtFrame="_blank"/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0001250"/>
          <a:ext cx="3619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361950</xdr:colOff>
      <xdr:row>21</xdr:row>
      <xdr:rowOff>184150</xdr:rowOff>
    </xdr:to>
    <xdr:pic>
      <xdr:nvPicPr>
        <xdr:cNvPr id="32" name="Picture 31" descr="Estados Unidos">
          <a:hlinkClick xmlns:r="http://schemas.openxmlformats.org/officeDocument/2006/relationships" r:id="rId57" tgtFrame="_blank"/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03568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361950</xdr:colOff>
      <xdr:row>22</xdr:row>
      <xdr:rowOff>203200</xdr:rowOff>
    </xdr:to>
    <xdr:pic>
      <xdr:nvPicPr>
        <xdr:cNvPr id="33" name="Picture 32" descr="Granada">
          <a:hlinkClick xmlns:r="http://schemas.openxmlformats.org/officeDocument/2006/relationships" r:id="rId59" tgtFrame="_blank"/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0712450"/>
          <a:ext cx="3619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361950</xdr:colOff>
      <xdr:row>23</xdr:row>
      <xdr:rowOff>241300</xdr:rowOff>
    </xdr:to>
    <xdr:pic>
      <xdr:nvPicPr>
        <xdr:cNvPr id="34" name="Picture 33" descr="Groenlandia">
          <a:hlinkClick xmlns:r="http://schemas.openxmlformats.org/officeDocument/2006/relationships" r:id="rId61" tgtFrame="_blank"/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08966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361950</xdr:colOff>
      <xdr:row>24</xdr:row>
      <xdr:rowOff>241300</xdr:rowOff>
    </xdr:to>
    <xdr:pic>
      <xdr:nvPicPr>
        <xdr:cNvPr id="35" name="Picture 34" descr="Guadalupe">
          <a:hlinkClick xmlns:r="http://schemas.openxmlformats.org/officeDocument/2006/relationships" r:id="rId13" tgtFrame="_blank"/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12522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361950</xdr:colOff>
      <xdr:row>25</xdr:row>
      <xdr:rowOff>241300</xdr:rowOff>
    </xdr:to>
    <xdr:pic>
      <xdr:nvPicPr>
        <xdr:cNvPr id="36" name="Picture 35" descr="Guatemala">
          <a:hlinkClick xmlns:r="http://schemas.openxmlformats.org/officeDocument/2006/relationships" r:id="rId63" tgtFrame="_blank"/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16078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361950</xdr:colOff>
      <xdr:row>28</xdr:row>
      <xdr:rowOff>241300</xdr:rowOff>
    </xdr:to>
    <xdr:pic>
      <xdr:nvPicPr>
        <xdr:cNvPr id="37" name="Picture 36" descr="Haití">
          <a:hlinkClick xmlns:r="http://schemas.openxmlformats.org/officeDocument/2006/relationships" r:id="rId65" tgtFrame="_blank"/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19634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361950</xdr:colOff>
      <xdr:row>29</xdr:row>
      <xdr:rowOff>184150</xdr:rowOff>
    </xdr:to>
    <xdr:pic>
      <xdr:nvPicPr>
        <xdr:cNvPr id="38" name="Picture 37" descr="Honduras">
          <a:hlinkClick xmlns:r="http://schemas.openxmlformats.org/officeDocument/2006/relationships" r:id="rId67" tgtFrame="_blank"/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21475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361950</xdr:colOff>
      <xdr:row>30</xdr:row>
      <xdr:rowOff>184150</xdr:rowOff>
    </xdr:to>
    <xdr:pic>
      <xdr:nvPicPr>
        <xdr:cNvPr id="39" name="Picture 38" descr="Islas Caimán">
          <a:hlinkClick xmlns:r="http://schemas.openxmlformats.org/officeDocument/2006/relationships" r:id="rId69" tgtFrame="_blank"/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25031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361950</xdr:colOff>
      <xdr:row>32</xdr:row>
      <xdr:rowOff>184150</xdr:rowOff>
    </xdr:to>
    <xdr:pic>
      <xdr:nvPicPr>
        <xdr:cNvPr id="40" name="Picture 39" descr="Islas Turcas y Caicos">
          <a:hlinkClick xmlns:r="http://schemas.openxmlformats.org/officeDocument/2006/relationships" r:id="rId71" tgtFrame="_blank"/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28587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361950</xdr:colOff>
      <xdr:row>33</xdr:row>
      <xdr:rowOff>184150</xdr:rowOff>
    </xdr:to>
    <xdr:pic>
      <xdr:nvPicPr>
        <xdr:cNvPr id="41" name="Picture 40" descr="Islas Virgenes Británicas">
          <a:hlinkClick xmlns:r="http://schemas.openxmlformats.org/officeDocument/2006/relationships" r:id="rId73" tgtFrame="_blank"/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33921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361950</xdr:colOff>
      <xdr:row>34</xdr:row>
      <xdr:rowOff>222250</xdr:rowOff>
    </xdr:to>
    <xdr:pic>
      <xdr:nvPicPr>
        <xdr:cNvPr id="42" name="Picture 41" descr="Islas Virgenes de Los Estados Unidos">
          <a:hlinkClick xmlns:r="http://schemas.openxmlformats.org/officeDocument/2006/relationships" r:id="rId75" tgtFrame="_blank"/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4103350"/>
          <a:ext cx="361950" cy="22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361950</xdr:colOff>
      <xdr:row>35</xdr:row>
      <xdr:rowOff>184150</xdr:rowOff>
    </xdr:to>
    <xdr:pic>
      <xdr:nvPicPr>
        <xdr:cNvPr id="43" name="Picture 42" descr="Jamaica">
          <a:hlinkClick xmlns:r="http://schemas.openxmlformats.org/officeDocument/2006/relationships" r:id="rId77" tgtFrame="_blank"/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49923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361950</xdr:colOff>
      <xdr:row>36</xdr:row>
      <xdr:rowOff>241300</xdr:rowOff>
    </xdr:to>
    <xdr:pic>
      <xdr:nvPicPr>
        <xdr:cNvPr id="44" name="Picture 43" descr="Martinica">
          <a:hlinkClick xmlns:r="http://schemas.openxmlformats.org/officeDocument/2006/relationships" r:id="rId13" tgtFrame="_blank"/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51765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361950</xdr:colOff>
      <xdr:row>37</xdr:row>
      <xdr:rowOff>203200</xdr:rowOff>
    </xdr:to>
    <xdr:pic>
      <xdr:nvPicPr>
        <xdr:cNvPr id="45" name="Picture 44" descr="México">
          <a:hlinkClick xmlns:r="http://schemas.openxmlformats.org/officeDocument/2006/relationships" r:id="rId79" tgtFrame="_blank"/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5532100"/>
          <a:ext cx="3619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361950</xdr:colOff>
      <xdr:row>38</xdr:row>
      <xdr:rowOff>184150</xdr:rowOff>
    </xdr:to>
    <xdr:pic>
      <xdr:nvPicPr>
        <xdr:cNvPr id="46" name="Picture 45" descr="Montserrat">
          <a:hlinkClick xmlns:r="http://schemas.openxmlformats.org/officeDocument/2006/relationships" r:id="rId81" tgtFrame="_blank"/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57162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361950</xdr:colOff>
      <xdr:row>39</xdr:row>
      <xdr:rowOff>184150</xdr:rowOff>
    </xdr:to>
    <xdr:pic>
      <xdr:nvPicPr>
        <xdr:cNvPr id="47" name="Picture 46" descr="Nicaragua">
          <a:hlinkClick xmlns:r="http://schemas.openxmlformats.org/officeDocument/2006/relationships" r:id="rId83" tgtFrame="_blank"/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60718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361950</xdr:colOff>
      <xdr:row>40</xdr:row>
      <xdr:rowOff>241300</xdr:rowOff>
    </xdr:to>
    <xdr:pic>
      <xdr:nvPicPr>
        <xdr:cNvPr id="48" name="Picture 47" descr="Panamá">
          <a:hlinkClick xmlns:r="http://schemas.openxmlformats.org/officeDocument/2006/relationships" r:id="rId85" tgtFrame="_blank"/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64274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361950</xdr:colOff>
      <xdr:row>43</xdr:row>
      <xdr:rowOff>184150</xdr:rowOff>
    </xdr:to>
    <xdr:pic>
      <xdr:nvPicPr>
        <xdr:cNvPr id="49" name="Picture 48" descr="Puerto Rico">
          <a:hlinkClick xmlns:r="http://schemas.openxmlformats.org/officeDocument/2006/relationships" r:id="rId87" tgtFrame="_blank"/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661160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0</xdr:col>
      <xdr:colOff>361950</xdr:colOff>
      <xdr:row>44</xdr:row>
      <xdr:rowOff>241300</xdr:rowOff>
    </xdr:to>
    <xdr:pic>
      <xdr:nvPicPr>
        <xdr:cNvPr id="50" name="Picture 49" descr="República Dominicana">
          <a:hlinkClick xmlns:r="http://schemas.openxmlformats.org/officeDocument/2006/relationships" r:id="rId89" tgtFrame="_blank"/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69672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361950</xdr:colOff>
      <xdr:row>45</xdr:row>
      <xdr:rowOff>241300</xdr:rowOff>
    </xdr:to>
    <xdr:pic>
      <xdr:nvPicPr>
        <xdr:cNvPr id="51" name="Picture 50" descr="San Bartolomé">
          <a:hlinkClick xmlns:r="http://schemas.openxmlformats.org/officeDocument/2006/relationships" r:id="rId13" tgtFrame="_blank"/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76784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361950</xdr:colOff>
      <xdr:row>46</xdr:row>
      <xdr:rowOff>241300</xdr:rowOff>
    </xdr:to>
    <xdr:pic>
      <xdr:nvPicPr>
        <xdr:cNvPr id="52" name="Picture 51" descr="San Cristóbal y Nieves">
          <a:hlinkClick xmlns:r="http://schemas.openxmlformats.org/officeDocument/2006/relationships" r:id="rId91" tgtFrame="_blank"/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82118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361950</xdr:colOff>
      <xdr:row>47</xdr:row>
      <xdr:rowOff>241300</xdr:rowOff>
    </xdr:to>
    <xdr:pic>
      <xdr:nvPicPr>
        <xdr:cNvPr id="53" name="Picture 52" descr="San Martín (Parte Francesa)">
          <a:hlinkClick xmlns:r="http://schemas.openxmlformats.org/officeDocument/2006/relationships" r:id="rId13" tgtFrame="_blank"/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87452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361950</xdr:colOff>
      <xdr:row>48</xdr:row>
      <xdr:rowOff>241300</xdr:rowOff>
    </xdr:to>
    <xdr:pic>
      <xdr:nvPicPr>
        <xdr:cNvPr id="54" name="Picture 53" descr="San Pedro y Miquelón">
          <a:hlinkClick xmlns:r="http://schemas.openxmlformats.org/officeDocument/2006/relationships" r:id="rId93" tgtFrame="_blank"/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96342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361950</xdr:colOff>
      <xdr:row>49</xdr:row>
      <xdr:rowOff>241300</xdr:rowOff>
    </xdr:to>
    <xdr:pic>
      <xdr:nvPicPr>
        <xdr:cNvPr id="55" name="Picture 54" descr="San Vicente y Las Granadinas">
          <a:hlinkClick xmlns:r="http://schemas.openxmlformats.org/officeDocument/2006/relationships" r:id="rId95" tgtFrame="_blank"/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201676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0</xdr:col>
      <xdr:colOff>361950</xdr:colOff>
      <xdr:row>50</xdr:row>
      <xdr:rowOff>184150</xdr:rowOff>
    </xdr:to>
    <xdr:pic>
      <xdr:nvPicPr>
        <xdr:cNvPr id="56" name="Picture 55" descr="Santa Lucía">
          <a:hlinkClick xmlns:r="http://schemas.openxmlformats.org/officeDocument/2006/relationships" r:id="rId97" tgtFrame="_blank"/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2105660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361950</xdr:colOff>
      <xdr:row>51</xdr:row>
      <xdr:rowOff>241300</xdr:rowOff>
    </xdr:to>
    <xdr:pic>
      <xdr:nvPicPr>
        <xdr:cNvPr id="57" name="Picture 56" descr="Sint Maarten (Parte Neerlandesa)">
          <a:hlinkClick xmlns:r="http://schemas.openxmlformats.org/officeDocument/2006/relationships" r:id="rId99" tgtFrame="_blank"/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214122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361950</xdr:colOff>
      <xdr:row>53</xdr:row>
      <xdr:rowOff>209550</xdr:rowOff>
    </xdr:to>
    <xdr:pic>
      <xdr:nvPicPr>
        <xdr:cNvPr id="58" name="Picture 57" descr="Trinidad y Tobago">
          <a:hlinkClick xmlns:r="http://schemas.openxmlformats.org/officeDocument/2006/relationships" r:id="rId101" tgtFrame="_blank"/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22301200"/>
          <a:ext cx="3619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78220</xdr:colOff>
      <xdr:row>10</xdr:row>
      <xdr:rowOff>271690</xdr:rowOff>
    </xdr:from>
    <xdr:to>
      <xdr:col>29</xdr:col>
      <xdr:colOff>107684</xdr:colOff>
      <xdr:row>25</xdr:row>
      <xdr:rowOff>159035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97520" y="3408590"/>
          <a:ext cx="4906264" cy="2738495"/>
        </a:xfrm>
        <a:prstGeom prst="rect">
          <a:avLst/>
        </a:prstGeom>
      </xdr:spPr>
    </xdr:pic>
    <xdr:clientData/>
  </xdr:twoCellAnchor>
  <xdr:twoCellAnchor editAs="oneCell">
    <xdr:from>
      <xdr:col>30</xdr:col>
      <xdr:colOff>1014292</xdr:colOff>
      <xdr:row>18</xdr:row>
      <xdr:rowOff>21980</xdr:rowOff>
    </xdr:from>
    <xdr:to>
      <xdr:col>41</xdr:col>
      <xdr:colOff>970</xdr:colOff>
      <xdr:row>22</xdr:row>
      <xdr:rowOff>104181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605792" y="5197230"/>
          <a:ext cx="5924053" cy="8188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juan_guerrero01_libertymutual_com/Documents/Desktop/Nueva%20Version_BS-PER%20-%20CAS%20-%20MARSH%20-%20INSTAPLAC%20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0290126/Downloads/SPC%20DO%20Peru%20v6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"/>
      <sheetName val="SF"/>
      <sheetName val="PRI-EXC-BLEN BOOKING INST"/>
      <sheetName val="Genius_BPO LP"/>
      <sheetName val="Genius_BPO AP"/>
      <sheetName val="Base datos"/>
      <sheetName val="Cancelation"/>
      <sheetName val="Invoice"/>
    </sheetNames>
    <sheetDataSet>
      <sheetData sheetId="0"/>
      <sheetData sheetId="1"/>
      <sheetData sheetId="2">
        <row r="2">
          <cell r="I2" t="str">
            <v>Primary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Ws (New Policies_Renewals)"/>
      <sheetName val="BPO (New Policies_Renewals)"/>
      <sheetName val="BPO (New Policies_Renewals) (2"/>
      <sheetName val="Invoice"/>
      <sheetName val="UWs_BPO (Endorsements)"/>
      <sheetName val="UWs_BPO (Cancelation)"/>
      <sheetName val="DataBase"/>
      <sheetName val="Treaties"/>
      <sheetName val="For BPO Coordinator"/>
    </sheetNames>
    <sheetDataSet>
      <sheetData sheetId="0">
        <row r="9">
          <cell r="C9" t="str">
            <v>&amp;=Master.OPPORTUNITY_ACCOUNT_NAME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 " refreshedDate="44886.74257800926" createdVersion="7" refreshedVersion="7" minRefreshableVersion="3" recordCount="80" xr:uid="{00000000-000A-0000-FFFF-FFFF00000000}">
  <cacheSource type="worksheet">
    <worksheetSource name="Table1"/>
  </cacheSource>
  <cacheFields count="14">
    <cacheField name="MES" numFmtId="0">
      <sharedItems count="4">
        <s v="AGOSTO"/>
        <s v=""/>
        <s v="OCTUBRE"/>
        <s v="SEPTIEMBRE"/>
      </sharedItems>
    </cacheField>
    <cacheField name="ISSUANCE YEAR" numFmtId="0">
      <sharedItems containsMixedTypes="1" containsNumber="1" containsInteger="1" minValue="2022" maxValue="2022"/>
    </cacheField>
    <cacheField name="UWY" numFmtId="0">
      <sharedItems/>
    </cacheField>
    <cacheField name="SECTION" numFmtId="0">
      <sharedItems/>
    </cacheField>
    <cacheField name="PRODUCT" numFmtId="0">
      <sharedItems count="7">
        <s v="CONSTRUCTION"/>
        <s v=""/>
        <s v="POWER GENERATION"/>
        <s v="PROPERTY"/>
        <s v="ENERGY"/>
        <s v="MARINE"/>
        <s v="TERRORISMO"/>
      </sharedItems>
    </cacheField>
    <cacheField name="REF POLIZA" numFmtId="0">
      <sharedItems count="22">
        <s v="MRLN19AONBCON-4"/>
        <s v=""/>
        <s v="MRLN19AONBPOW-4"/>
        <s v="MRLN19AONBPRO-4"/>
        <s v="MRLN19AONBENE-4"/>
        <s v="MRLN19AONBMAR-4"/>
        <s v="MRLN21AONBTER-3"/>
        <s v="MRLN19AONBCON-3"/>
        <s v="MRLN19AONBPOW-3"/>
        <s v="MRLN19AONBPRO-3"/>
        <s v="MRLN19AONBENE-3"/>
        <s v="MRLN19AONBMAR-3"/>
        <s v="MRLN19AONBCON-2"/>
        <s v="MRLN19AONBPOW-2"/>
        <s v="MRLN19AONBPRO-2"/>
        <s v="MRLN19AONBENE-2"/>
        <s v="MRLN19AONBMAR-2"/>
        <s v="MRLN19AONBCON-1"/>
        <s v="MRLN19AONBPOW-1"/>
        <s v="MRLN19AONBPRO-1"/>
        <s v="MRLN19AONBENE-1"/>
        <s v="MRLN19AONBMAR-1"/>
      </sharedItems>
    </cacheField>
    <cacheField name="GWP $" numFmtId="0">
      <sharedItems containsString="0" containsBlank="1" containsNumber="1" minValue="-28156.392538087133" maxValue="374747.13095154264"/>
    </cacheField>
    <cacheField name="Commission $" numFmtId="0">
      <sharedItems containsString="0" containsBlank="1" containsNumber="1" minValue="-5703.7351892695224" maxValue="64921.031791230649"/>
    </cacheField>
    <cacheField name="Marlin Fee $" numFmtId="0">
      <sharedItems containsString="0" containsBlank="1" containsNumber="1" minValue="-2815.639253808713" maxValue="33727.241785638857"/>
    </cacheField>
    <cacheField name="Taxes $" numFmtId="0">
      <sharedItems containsString="0" containsBlank="1" containsNumber="1" minValue="-646.30912492034463" maxValue="50794.681874999995"/>
    </cacheField>
    <cacheField name="Commission %" numFmtId="0">
      <sharedItems containsSemiMixedTypes="0" containsString="0" containsNumber="1" minValue="0" maxValue="0.8999999999999998"/>
    </cacheField>
    <cacheField name="Marlin Fee %" numFmtId="0">
      <sharedItems containsSemiMixedTypes="0" containsString="0" containsNumber="1" minValue="0" maxValue="0.15224655350050717"/>
    </cacheField>
    <cacheField name="Taxes %" numFmtId="0">
      <sharedItems containsSemiMixedTypes="0" containsString="0" containsNumber="1" minValue="0" maxValue="7.9935017851024091"/>
    </cacheField>
    <cacheField name="NP $" numFmtId="0">
      <sharedItems containsSemiMixedTypes="0" containsString="0" containsNumber="1" minValue="-34638.412624999997" maxValue="278205.407677287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2022"/>
    <s v="2022"/>
    <s v="Section D"/>
    <x v="0"/>
    <x v="0"/>
    <n v="16420.774971804873"/>
    <n v="2473.9347622647997"/>
    <n v="1477.8697474624387"/>
    <n v="376.64804113991232"/>
    <n v="0.15065883105472455"/>
    <n v="9.0000000000000011E-2"/>
    <n v="2.2937287782496995E-2"/>
    <n v="12092.322420937722"/>
  </r>
  <r>
    <x v="1"/>
    <s v=""/>
    <s v=""/>
    <s v=""/>
    <x v="1"/>
    <x v="1"/>
    <m/>
    <m/>
    <m/>
    <m/>
    <n v="0"/>
    <n v="0"/>
    <n v="0"/>
    <n v="0"/>
  </r>
  <r>
    <x v="2"/>
    <n v="2022"/>
    <s v="2022"/>
    <s v="Section D"/>
    <x v="0"/>
    <x v="0"/>
    <n v="50848.82239999999"/>
    <n v="9152.7880319999986"/>
    <n v="4576.3940159999993"/>
    <n v="875.62"/>
    <n v="0.18"/>
    <n v="0.09"/>
    <n v="1.7220064470952236E-2"/>
    <n v="36244.020351999992"/>
  </r>
  <r>
    <x v="1"/>
    <s v=""/>
    <s v=""/>
    <s v=""/>
    <x v="1"/>
    <x v="1"/>
    <m/>
    <m/>
    <m/>
    <m/>
    <n v="0"/>
    <n v="0"/>
    <n v="0"/>
    <n v="0"/>
  </r>
  <r>
    <x v="3"/>
    <n v="2022"/>
    <s v="2022"/>
    <s v="Section D"/>
    <x v="0"/>
    <x v="0"/>
    <m/>
    <m/>
    <m/>
    <m/>
    <n v="0"/>
    <n v="0"/>
    <n v="0"/>
    <n v="0"/>
  </r>
  <r>
    <x v="1"/>
    <s v=""/>
    <s v=""/>
    <s v=""/>
    <x v="1"/>
    <x v="1"/>
    <m/>
    <m/>
    <m/>
    <m/>
    <n v="0"/>
    <n v="0"/>
    <n v="0"/>
    <n v="0"/>
  </r>
  <r>
    <x v="0"/>
    <n v="2022"/>
    <s v="2022"/>
    <s v="Section D"/>
    <x v="0"/>
    <x v="0"/>
    <n v="2473.9347622647997"/>
    <n v="1477.8697474624387"/>
    <n v="376.64804113991232"/>
    <n v="12092.32242093772"/>
    <n v="0.59737620005367531"/>
    <n v="0.15224655350050717"/>
    <n v="4.8878905803755419"/>
    <n v="-11472.905447275272"/>
  </r>
  <r>
    <x v="1"/>
    <s v=""/>
    <s v=""/>
    <s v=""/>
    <x v="1"/>
    <x v="1"/>
    <m/>
    <m/>
    <m/>
    <m/>
    <n v="0"/>
    <n v="0"/>
    <n v="0"/>
    <n v="0"/>
  </r>
  <r>
    <x v="2"/>
    <n v="2022"/>
    <s v="2022"/>
    <s v="Section C"/>
    <x v="2"/>
    <x v="2"/>
    <n v="202568.32071921014"/>
    <n v="40902.896203550561"/>
    <n v="18231.148864728908"/>
    <n v="5281.9210719276398"/>
    <n v="0.20192148534542115"/>
    <n v="8.9999999999999983E-2"/>
    <n v="2.6074763581859225E-2"/>
    <n v="138152.354579003"/>
  </r>
  <r>
    <x v="2"/>
    <n v="2022"/>
    <s v="2022"/>
    <s v="Section C"/>
    <x v="3"/>
    <x v="3"/>
    <n v="358430.23992816836"/>
    <n v="57873.321594012064"/>
    <n v="32258.721593535152"/>
    <n v="6768.490481655298"/>
    <n v="0.16146327833725815"/>
    <n v="0.09"/>
    <n v="1.8883703794109963E-2"/>
    <n v="261529.70625896583"/>
  </r>
  <r>
    <x v="3"/>
    <n v="2022"/>
    <s v="2022"/>
    <s v="Section C"/>
    <x v="2"/>
    <x v="2"/>
    <n v="10513.993190819296"/>
    <n v="1603.5502562370523"/>
    <n v="946.2593871737364"/>
    <n v="114.01864445285877"/>
    <n v="0.15251581650606877"/>
    <n v="8.9999999999999983E-2"/>
    <n v="1.0844466263533307E-2"/>
    <n v="7850.1649029556474"/>
  </r>
  <r>
    <x v="3"/>
    <n v="2022"/>
    <s v="2022"/>
    <s v="Section C"/>
    <x v="3"/>
    <x v="3"/>
    <n v="372077.92814555333"/>
    <n v="64921.031791230649"/>
    <n v="33487.013533099802"/>
    <n v="9173.7501033342596"/>
    <n v="0.17448235135795037"/>
    <n v="9.0000000000000011E-2"/>
    <n v="2.4655453627836738E-2"/>
    <n v="264496.13271788863"/>
  </r>
  <r>
    <x v="0"/>
    <n v="2022"/>
    <s v="2022"/>
    <s v="Section C"/>
    <x v="2"/>
    <x v="2"/>
    <n v="79044.99078813316"/>
    <n v="7268.3353234277092"/>
    <n v="7114.0491709319831"/>
    <n v="1903.6918605411197"/>
    <n v="9.195187767064536E-2"/>
    <n v="8.9999999999999983E-2"/>
    <n v="2.4083649597020595E-2"/>
    <n v="62758.914433232356"/>
  </r>
  <r>
    <x v="0"/>
    <n v="2022"/>
    <s v="2022"/>
    <s v="Section C"/>
    <x v="3"/>
    <x v="3"/>
    <n v="374747.13095154264"/>
    <n v="54474.370774260875"/>
    <n v="33727.241785638857"/>
    <n v="8340.1107143556037"/>
    <n v="0.14536300954710921"/>
    <n v="9.0000000000000052E-2"/>
    <n v="2.2255302377309025E-2"/>
    <n v="278205.40767728729"/>
  </r>
  <r>
    <x v="3"/>
    <n v="2022"/>
    <s v="2022"/>
    <s v="Section B"/>
    <x v="4"/>
    <x v="4"/>
    <m/>
    <m/>
    <m/>
    <m/>
    <n v="0"/>
    <n v="0"/>
    <n v="0"/>
    <n v="0"/>
  </r>
  <r>
    <x v="3"/>
    <n v="2022"/>
    <s v="2022"/>
    <s v="Section B"/>
    <x v="5"/>
    <x v="5"/>
    <m/>
    <m/>
    <m/>
    <m/>
    <n v="0"/>
    <n v="0"/>
    <n v="0"/>
    <n v="0"/>
  </r>
  <r>
    <x v="0"/>
    <n v="2022"/>
    <s v="2022"/>
    <s v="Section B"/>
    <x v="4"/>
    <x v="4"/>
    <n v="27314.752499999999"/>
    <n v="8034.1132500000003"/>
    <n v="3124.37"/>
    <n v="50794.681874999995"/>
    <n v="0.29413091881392667"/>
    <n v="0.11438397620479995"/>
    <n v="1.859606155135398"/>
    <n v="-34638.412624999997"/>
  </r>
  <r>
    <x v="0"/>
    <n v="2022"/>
    <s v="2022"/>
    <s v="Section B"/>
    <x v="5"/>
    <x v="5"/>
    <m/>
    <m/>
    <m/>
    <m/>
    <n v="0"/>
    <n v="0"/>
    <n v="0"/>
    <n v="0"/>
  </r>
  <r>
    <x v="2"/>
    <n v="2022"/>
    <s v="2021"/>
    <s v="Section T"/>
    <x v="6"/>
    <x v="6"/>
    <m/>
    <m/>
    <m/>
    <m/>
    <n v="0"/>
    <n v="0"/>
    <n v="0"/>
    <n v="0"/>
  </r>
  <r>
    <x v="1"/>
    <s v=""/>
    <s v=""/>
    <s v=""/>
    <x v="1"/>
    <x v="1"/>
    <m/>
    <m/>
    <m/>
    <m/>
    <n v="0"/>
    <n v="0"/>
    <n v="0"/>
    <n v="0"/>
  </r>
  <r>
    <x v="3"/>
    <n v="2022"/>
    <s v="2021"/>
    <s v="Section T"/>
    <x v="6"/>
    <x v="6"/>
    <m/>
    <m/>
    <m/>
    <m/>
    <n v="0"/>
    <n v="0"/>
    <n v="0"/>
    <n v="0"/>
  </r>
  <r>
    <x v="1"/>
    <s v=""/>
    <s v=""/>
    <s v=""/>
    <x v="1"/>
    <x v="1"/>
    <m/>
    <m/>
    <m/>
    <m/>
    <n v="0"/>
    <n v="0"/>
    <n v="0"/>
    <n v="0"/>
  </r>
  <r>
    <x v="0"/>
    <n v="2022"/>
    <s v="2021"/>
    <s v="Section T"/>
    <x v="6"/>
    <x v="6"/>
    <n v="4157.2165165854694"/>
    <n v="831.44330331709386"/>
    <n v="415.72165165854693"/>
    <n v="103.27373997745021"/>
    <n v="0.19999999999999998"/>
    <n v="9.9999999999999992E-2"/>
    <n v="2.4842040236642309E-2"/>
    <n v="2806.7778216323786"/>
  </r>
  <r>
    <x v="1"/>
    <s v=""/>
    <s v=""/>
    <s v=""/>
    <x v="1"/>
    <x v="1"/>
    <m/>
    <m/>
    <m/>
    <m/>
    <n v="0"/>
    <n v="0"/>
    <n v="0"/>
    <n v="0"/>
  </r>
  <r>
    <x v="2"/>
    <n v="2022"/>
    <s v="2021"/>
    <s v="Section D"/>
    <x v="0"/>
    <x v="7"/>
    <n v="286.97060428641208"/>
    <n v="67.96659107160302"/>
    <n v="25.827354385777088"/>
    <n v="3.1621000428641208"/>
    <n v="0.2368416487835413"/>
    <n v="0.09"/>
    <n v="1.1018898784867091E-2"/>
    <n v="190.01455878616784"/>
  </r>
  <r>
    <x v="1"/>
    <s v=""/>
    <s v=""/>
    <s v=""/>
    <x v="1"/>
    <x v="1"/>
    <m/>
    <m/>
    <m/>
    <m/>
    <n v="0"/>
    <n v="0"/>
    <n v="0"/>
    <n v="0"/>
  </r>
  <r>
    <x v="3"/>
    <n v="2022"/>
    <s v="2021"/>
    <s v="Section D"/>
    <x v="0"/>
    <x v="7"/>
    <n v="743.77384072562973"/>
    <n v="187.55199994734213"/>
    <n v="66.939645665306685"/>
    <n v="7.4377373258796293"/>
    <n v="0.25216267321846841"/>
    <n v="9.0000000000000011E-2"/>
    <n v="9.9999985460947818E-3"/>
    <n v="481.84445778710131"/>
  </r>
  <r>
    <x v="1"/>
    <s v=""/>
    <s v=""/>
    <s v=""/>
    <x v="1"/>
    <x v="1"/>
    <m/>
    <m/>
    <m/>
    <m/>
    <n v="0"/>
    <n v="0"/>
    <n v="0"/>
    <n v="0"/>
  </r>
  <r>
    <x v="0"/>
    <n v="2022"/>
    <s v="2021"/>
    <s v="Section D"/>
    <x v="0"/>
    <x v="7"/>
    <n v="-620.50158383175358"/>
    <n v="-177.69698345793836"/>
    <n v="-55.845142544857858"/>
    <n v="-3.139332216872516"/>
    <n v="0.28637635759221552"/>
    <n v="9.0000000000000052E-2"/>
    <n v="5.059346017275812E-3"/>
    <n v="-383.82012561208484"/>
  </r>
  <r>
    <x v="1"/>
    <s v=""/>
    <s v=""/>
    <s v=""/>
    <x v="1"/>
    <x v="1"/>
    <m/>
    <m/>
    <m/>
    <m/>
    <n v="0"/>
    <n v="0"/>
    <n v="0"/>
    <n v="0"/>
  </r>
  <r>
    <x v="0"/>
    <n v="2022"/>
    <s v="2021"/>
    <s v="Section D"/>
    <x v="0"/>
    <x v="7"/>
    <n v="-177.69698345793836"/>
    <n v="-55.845142544857858"/>
    <n v="-3.139332216872516"/>
    <n v="-383.82012561208472"/>
    <n v="0.31427175328542728"/>
    <n v="1.7666772703632358E-2"/>
    <n v="2.1599698438490185"/>
    <n v="265.10761691587675"/>
  </r>
  <r>
    <x v="1"/>
    <s v=""/>
    <s v=""/>
    <s v=""/>
    <x v="1"/>
    <x v="1"/>
    <m/>
    <m/>
    <m/>
    <m/>
    <n v="0"/>
    <n v="0"/>
    <n v="0"/>
    <n v="0"/>
  </r>
  <r>
    <x v="2"/>
    <n v="2022"/>
    <s v="2021"/>
    <s v="Section C"/>
    <x v="2"/>
    <x v="8"/>
    <n v="-1370.4245000000001"/>
    <n v="-274.0849"/>
    <n v="-123.338205"/>
    <n v="-47.96"/>
    <n v="0.19999999999999998"/>
    <n v="0.09"/>
    <n v="3.499645547784646E-2"/>
    <n v="-925.04139499999997"/>
  </r>
  <r>
    <x v="2"/>
    <n v="2022"/>
    <s v="2021"/>
    <s v="Section C"/>
    <x v="3"/>
    <x v="9"/>
    <n v="13281.824908379211"/>
    <n v="2195.3440568794863"/>
    <n v="1195.3642417541291"/>
    <n v="25.360233376699512"/>
    <n v="0.16528933877862612"/>
    <n v="9.0000000000000011E-2"/>
    <n v="1.9093937430766986E-3"/>
    <n v="9865.7563763688959"/>
  </r>
  <r>
    <x v="3"/>
    <n v="2022"/>
    <s v="2021"/>
    <s v="Section C"/>
    <x v="2"/>
    <x v="8"/>
    <m/>
    <m/>
    <m/>
    <m/>
    <n v="0"/>
    <n v="0"/>
    <n v="0"/>
    <n v="0"/>
  </r>
  <r>
    <x v="3"/>
    <n v="2022"/>
    <s v="2021"/>
    <s v="Section C"/>
    <x v="3"/>
    <x v="9"/>
    <n v="26615.41203265743"/>
    <n v="6019.3273426321966"/>
    <n v="2395.3870829391662"/>
    <n v="186.99945374549324"/>
    <n v="0.22615946487119604"/>
    <n v="8.9999999999999913E-2"/>
    <n v="7.025983799012492E-3"/>
    <n v="18013.698153340571"/>
  </r>
  <r>
    <x v="0"/>
    <n v="2022"/>
    <s v="2021"/>
    <s v="Section C"/>
    <x v="2"/>
    <x v="8"/>
    <n v="39843.147616688191"/>
    <n v="7482.3091135581826"/>
    <n v="3585.8832855019368"/>
    <n v="921.65216319942397"/>
    <n v="0.18779412674776322"/>
    <n v="0.09"/>
    <n v="2.3132011859760611E-2"/>
    <n v="27853.303054428648"/>
  </r>
  <r>
    <x v="0"/>
    <n v="2022"/>
    <s v="2021"/>
    <s v="Section C"/>
    <x v="3"/>
    <x v="9"/>
    <n v="26391.370403924964"/>
    <n v="3725.0936132280367"/>
    <n v="2375.2233363532487"/>
    <n v="409.73384556367546"/>
    <n v="0.14114816912554246"/>
    <n v="9.0000000000000066E-2"/>
    <n v="1.5525296310597771E-2"/>
    <n v="19881.319608780006"/>
  </r>
  <r>
    <x v="2"/>
    <n v="2022"/>
    <s v="2021"/>
    <s v="Section B"/>
    <x v="4"/>
    <x v="10"/>
    <n v="180.94200000000001"/>
    <n v="162.84779999999998"/>
    <n v="19.27"/>
    <n v="1446.3602000000001"/>
    <n v="0.8999999999999998"/>
    <n v="0.10649821489759148"/>
    <n v="7.9935017851024091"/>
    <n v="-1447.5360000000001"/>
  </r>
  <r>
    <x v="2"/>
    <n v="2022"/>
    <s v="2021"/>
    <s v="Section B"/>
    <x v="5"/>
    <x v="11"/>
    <m/>
    <m/>
    <m/>
    <m/>
    <n v="0"/>
    <n v="0"/>
    <n v="0"/>
    <n v="0"/>
  </r>
  <r>
    <x v="3"/>
    <n v="2022"/>
    <s v="2021"/>
    <s v="Section B"/>
    <x v="4"/>
    <x v="10"/>
    <m/>
    <m/>
    <m/>
    <m/>
    <n v="0"/>
    <n v="0"/>
    <n v="0"/>
    <n v="0"/>
  </r>
  <r>
    <x v="3"/>
    <n v="2022"/>
    <s v="2021"/>
    <s v="Section B"/>
    <x v="5"/>
    <x v="11"/>
    <m/>
    <m/>
    <m/>
    <m/>
    <n v="0"/>
    <n v="0"/>
    <n v="0"/>
    <n v="0"/>
  </r>
  <r>
    <x v="0"/>
    <n v="2022"/>
    <s v="2021"/>
    <s v="Section B"/>
    <x v="4"/>
    <x v="10"/>
    <m/>
    <m/>
    <m/>
    <m/>
    <n v="0"/>
    <n v="0"/>
    <n v="0"/>
    <n v="0"/>
  </r>
  <r>
    <x v="0"/>
    <n v="2022"/>
    <s v="2021"/>
    <s v="Section B"/>
    <x v="5"/>
    <x v="11"/>
    <m/>
    <m/>
    <m/>
    <m/>
    <n v="0"/>
    <n v="0"/>
    <n v="0"/>
    <n v="0"/>
  </r>
  <r>
    <x v="2"/>
    <n v="2022"/>
    <s v="2020"/>
    <s v="Section D"/>
    <x v="0"/>
    <x v="12"/>
    <m/>
    <m/>
    <m/>
    <m/>
    <n v="0"/>
    <n v="0"/>
    <n v="0"/>
    <n v="0"/>
  </r>
  <r>
    <x v="1"/>
    <s v=""/>
    <s v=""/>
    <s v=""/>
    <x v="1"/>
    <x v="1"/>
    <m/>
    <m/>
    <m/>
    <m/>
    <n v="0"/>
    <n v="0"/>
    <n v="0"/>
    <n v="0"/>
  </r>
  <r>
    <x v="3"/>
    <n v="2022"/>
    <s v="2020"/>
    <s v="Section D"/>
    <x v="0"/>
    <x v="12"/>
    <m/>
    <m/>
    <m/>
    <m/>
    <n v="0"/>
    <n v="0"/>
    <n v="0"/>
    <n v="0"/>
  </r>
  <r>
    <x v="1"/>
    <s v=""/>
    <s v=""/>
    <s v=""/>
    <x v="1"/>
    <x v="1"/>
    <m/>
    <m/>
    <m/>
    <m/>
    <n v="0"/>
    <n v="0"/>
    <n v="0"/>
    <n v="0"/>
  </r>
  <r>
    <x v="0"/>
    <n v="2022"/>
    <s v="2020"/>
    <s v="Section D"/>
    <x v="0"/>
    <x v="12"/>
    <m/>
    <m/>
    <m/>
    <m/>
    <n v="0"/>
    <n v="0"/>
    <n v="0"/>
    <n v="0"/>
  </r>
  <r>
    <x v="1"/>
    <s v=""/>
    <s v=""/>
    <s v=""/>
    <x v="1"/>
    <x v="1"/>
    <m/>
    <m/>
    <m/>
    <m/>
    <n v="0"/>
    <n v="0"/>
    <n v="0"/>
    <n v="0"/>
  </r>
  <r>
    <x v="2"/>
    <n v="2022"/>
    <s v="2020"/>
    <s v="Section C"/>
    <x v="2"/>
    <x v="13"/>
    <m/>
    <m/>
    <m/>
    <m/>
    <n v="0"/>
    <n v="0"/>
    <n v="0"/>
    <n v="0"/>
  </r>
  <r>
    <x v="2"/>
    <n v="2022"/>
    <s v="2020"/>
    <s v="Section C"/>
    <x v="3"/>
    <x v="14"/>
    <m/>
    <m/>
    <m/>
    <m/>
    <n v="0"/>
    <n v="0"/>
    <n v="0"/>
    <n v="0"/>
  </r>
  <r>
    <x v="3"/>
    <n v="2022"/>
    <s v="2020"/>
    <s v="Section C"/>
    <x v="2"/>
    <x v="13"/>
    <n v="7150.28712"/>
    <n v="0"/>
    <n v="715.02871200000004"/>
    <n v="0"/>
    <n v="0"/>
    <n v="0.1"/>
    <n v="0"/>
    <n v="6435.2584079999997"/>
  </r>
  <r>
    <x v="3"/>
    <n v="2022"/>
    <s v="2020"/>
    <s v="Section C"/>
    <x v="3"/>
    <x v="14"/>
    <n v="296.48752033154943"/>
    <n v="43.049760442080952"/>
    <n v="29.648752033154942"/>
    <n v="2.964874494641685"/>
    <n v="0.1451992326487814"/>
    <n v="9.9999999999999992E-2"/>
    <n v="9.9999976097685031E-3"/>
    <n v="220.82413336167184"/>
  </r>
  <r>
    <x v="0"/>
    <n v="2022"/>
    <s v="2020"/>
    <s v="Section C"/>
    <x v="2"/>
    <x v="13"/>
    <n v="-28156.392538087133"/>
    <n v="-5703.7351892695224"/>
    <n v="-2815.639253808713"/>
    <n v="-646.30912492034463"/>
    <n v="0.20257336523327993"/>
    <n v="9.9999999999999992E-2"/>
    <n v="2.2954258932357287E-2"/>
    <n v="-18990.708970088552"/>
  </r>
  <r>
    <x v="0"/>
    <n v="2022"/>
    <s v="2020"/>
    <s v="Section C"/>
    <x v="3"/>
    <x v="14"/>
    <n v="2420.1908693604983"/>
    <n v="393.78127903536893"/>
    <n v="242.01908693604986"/>
    <n v="65.823319630089145"/>
    <n v="0.16270670384746147"/>
    <n v="0.10000000000000002"/>
    <n v="2.7197573738257281E-2"/>
    <n v="1718.5671837589903"/>
  </r>
  <r>
    <x v="2"/>
    <n v="2022"/>
    <s v="2020"/>
    <s v="Section B"/>
    <x v="4"/>
    <x v="15"/>
    <m/>
    <m/>
    <m/>
    <m/>
    <n v="0"/>
    <n v="0"/>
    <n v="0"/>
    <n v="0"/>
  </r>
  <r>
    <x v="2"/>
    <n v="2022"/>
    <s v="2020"/>
    <s v="Section B"/>
    <x v="5"/>
    <x v="16"/>
    <m/>
    <m/>
    <m/>
    <m/>
    <n v="0"/>
    <n v="0"/>
    <n v="0"/>
    <n v="0"/>
  </r>
  <r>
    <x v="3"/>
    <n v="2022"/>
    <s v="2020"/>
    <s v="Section B"/>
    <x v="4"/>
    <x v="15"/>
    <m/>
    <m/>
    <m/>
    <m/>
    <n v="0"/>
    <n v="0"/>
    <n v="0"/>
    <n v="0"/>
  </r>
  <r>
    <x v="3"/>
    <n v="2022"/>
    <s v="2020"/>
    <s v="Section B"/>
    <x v="5"/>
    <x v="16"/>
    <m/>
    <m/>
    <m/>
    <m/>
    <n v="0"/>
    <n v="0"/>
    <n v="0"/>
    <n v="0"/>
  </r>
  <r>
    <x v="0"/>
    <n v="2022"/>
    <s v="2020"/>
    <s v="Section B"/>
    <x v="4"/>
    <x v="15"/>
    <m/>
    <m/>
    <m/>
    <m/>
    <n v="0"/>
    <n v="0"/>
    <n v="0"/>
    <n v="0"/>
  </r>
  <r>
    <x v="0"/>
    <n v="2022"/>
    <s v="2020"/>
    <s v="Section B"/>
    <x v="5"/>
    <x v="16"/>
    <m/>
    <m/>
    <m/>
    <m/>
    <n v="0"/>
    <n v="0"/>
    <n v="0"/>
    <n v="0"/>
  </r>
  <r>
    <x v="2"/>
    <n v="2022"/>
    <s v="2019"/>
    <s v="Section D"/>
    <x v="0"/>
    <x v="17"/>
    <n v="1224.1065340136911"/>
    <n v="206.03207397424052"/>
    <n v="153.01331675171139"/>
    <n v="27.104322136245443"/>
    <n v="0.16831220833262553"/>
    <n v="0.125"/>
    <n v="2.2142126835459155E-2"/>
    <n v="837.95682115149373"/>
  </r>
  <r>
    <x v="1"/>
    <s v=""/>
    <s v=""/>
    <s v=""/>
    <x v="1"/>
    <x v="1"/>
    <m/>
    <m/>
    <m/>
    <m/>
    <n v="0"/>
    <n v="0"/>
    <n v="0"/>
    <n v="0"/>
  </r>
  <r>
    <x v="3"/>
    <n v="2022"/>
    <s v="2019"/>
    <s v="Section D"/>
    <x v="0"/>
    <x v="17"/>
    <n v="3056.4421176470591"/>
    <n v="535.01290885341177"/>
    <n v="382.05526470588239"/>
    <n v="88.738588235294131"/>
    <n v="0.17504434511106684"/>
    <n v="0.125"/>
    <n v="2.9033295845173002E-2"/>
    <n v="2050.6353558524706"/>
  </r>
  <r>
    <x v="1"/>
    <s v=""/>
    <s v=""/>
    <s v=""/>
    <x v="1"/>
    <x v="1"/>
    <m/>
    <m/>
    <m/>
    <m/>
    <n v="0"/>
    <n v="0"/>
    <n v="0"/>
    <n v="0"/>
  </r>
  <r>
    <x v="0"/>
    <n v="2022"/>
    <s v="2019"/>
    <s v="Section D"/>
    <x v="0"/>
    <x v="17"/>
    <m/>
    <m/>
    <m/>
    <m/>
    <n v="0"/>
    <n v="0"/>
    <n v="0"/>
    <n v="0"/>
  </r>
  <r>
    <x v="1"/>
    <s v=""/>
    <s v=""/>
    <s v=""/>
    <x v="1"/>
    <x v="1"/>
    <m/>
    <m/>
    <m/>
    <m/>
    <n v="0"/>
    <n v="0"/>
    <n v="0"/>
    <n v="0"/>
  </r>
  <r>
    <x v="2"/>
    <n v="2022"/>
    <s v="2019"/>
    <s v="Section C"/>
    <x v="2"/>
    <x v="18"/>
    <m/>
    <m/>
    <m/>
    <m/>
    <n v="0"/>
    <n v="0"/>
    <n v="0"/>
    <n v="0"/>
  </r>
  <r>
    <x v="2"/>
    <n v="2022"/>
    <s v="2019"/>
    <s v="Section C"/>
    <x v="3"/>
    <x v="19"/>
    <m/>
    <m/>
    <m/>
    <m/>
    <n v="0"/>
    <n v="0"/>
    <n v="0"/>
    <n v="0"/>
  </r>
  <r>
    <x v="3"/>
    <n v="2022"/>
    <s v="2019"/>
    <s v="Section C"/>
    <x v="2"/>
    <x v="18"/>
    <m/>
    <m/>
    <m/>
    <m/>
    <n v="0"/>
    <n v="0"/>
    <n v="0"/>
    <n v="0"/>
  </r>
  <r>
    <x v="3"/>
    <n v="2022"/>
    <s v="2019"/>
    <s v="Section C"/>
    <x v="3"/>
    <x v="19"/>
    <n v="-14.582212749000002"/>
    <n v="0"/>
    <n v="-1.8227765936250002"/>
    <n v="0"/>
    <n v="0"/>
    <n v="0.125"/>
    <n v="0"/>
    <n v="-12.759436155375001"/>
  </r>
  <r>
    <x v="0"/>
    <n v="2022"/>
    <s v="2019"/>
    <s v="Section C"/>
    <x v="2"/>
    <x v="18"/>
    <m/>
    <m/>
    <m/>
    <m/>
    <n v="0"/>
    <n v="0"/>
    <n v="0"/>
    <n v="0"/>
  </r>
  <r>
    <x v="0"/>
    <n v="2022"/>
    <s v="2019"/>
    <s v="Section C"/>
    <x v="3"/>
    <x v="19"/>
    <n v="22.873476185985034"/>
    <n v="3.1056583918466329"/>
    <n v="2.8591845232481292"/>
    <n v="0.23164312949914367"/>
    <n v="0.1357755317379141"/>
    <n v="0.125"/>
    <n v="1.0127150224812587E-2"/>
    <n v="16.67699014139113"/>
  </r>
  <r>
    <x v="2"/>
    <n v="2022"/>
    <s v="2019"/>
    <s v="Section B"/>
    <x v="4"/>
    <x v="20"/>
    <m/>
    <m/>
    <m/>
    <m/>
    <n v="0"/>
    <n v="0"/>
    <n v="0"/>
    <n v="0"/>
  </r>
  <r>
    <x v="2"/>
    <n v="2022"/>
    <s v="2019"/>
    <s v="Section B"/>
    <x v="5"/>
    <x v="21"/>
    <m/>
    <m/>
    <m/>
    <m/>
    <n v="0"/>
    <n v="0"/>
    <n v="0"/>
    <n v="0"/>
  </r>
  <r>
    <x v="3"/>
    <n v="2022"/>
    <s v="2019"/>
    <s v="Section B"/>
    <x v="4"/>
    <x v="20"/>
    <m/>
    <m/>
    <m/>
    <m/>
    <n v="0"/>
    <n v="0"/>
    <n v="0"/>
    <n v="0"/>
  </r>
  <r>
    <x v="3"/>
    <n v="2022"/>
    <s v="2019"/>
    <s v="Section B"/>
    <x v="5"/>
    <x v="21"/>
    <m/>
    <m/>
    <m/>
    <m/>
    <n v="0"/>
    <n v="0"/>
    <n v="0"/>
    <n v="0"/>
  </r>
  <r>
    <x v="0"/>
    <n v="2022"/>
    <s v="2019"/>
    <s v="Section B"/>
    <x v="4"/>
    <x v="20"/>
    <m/>
    <m/>
    <m/>
    <m/>
    <n v="0"/>
    <n v="0"/>
    <n v="0"/>
    <n v="0"/>
  </r>
  <r>
    <x v="0"/>
    <n v="2022"/>
    <s v="2019"/>
    <s v="Section B"/>
    <x v="5"/>
    <x v="21"/>
    <n v="18.29787142857143"/>
    <n v="5.031914642857144"/>
    <n v="2.2872339285714287"/>
    <n v="0.27858509250000008"/>
    <n v="0.27500000000000002"/>
    <n v="0.125"/>
    <n v="1.5225000000000002E-2"/>
    <n v="10.70013776464285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D8" firstHeaderRow="1" firstDataRow="1" firstDataCol="3"/>
  <pivotFields count="14">
    <pivotField axis="axisRow" outline="0" showAll="0" defaultSubtotal="0">
      <items count="4">
        <item sd="0" x="1"/>
        <item sd="0" x="0"/>
        <item sd="0" x="2"/>
        <item sd="0" x="3"/>
      </items>
    </pivotField>
    <pivotField showAll="0" defaultSubtotal="0"/>
    <pivotField showAll="0" defaultSubtotal="0"/>
    <pivotField showAll="0" defaultSubtotal="0"/>
    <pivotField axis="axisRow" showAll="0" defaultSubtotal="0">
      <items count="7">
        <item x="1"/>
        <item x="0"/>
        <item x="4"/>
        <item x="5"/>
        <item x="2"/>
        <item x="3"/>
        <item x="6"/>
      </items>
    </pivotField>
    <pivotField axis="axisRow" outline="0" showAll="0" defaultSubtotal="0">
      <items count="22">
        <item x="1"/>
        <item x="17"/>
        <item x="12"/>
        <item x="7"/>
        <item x="0"/>
        <item x="20"/>
        <item x="15"/>
        <item x="10"/>
        <item x="4"/>
        <item x="21"/>
        <item x="16"/>
        <item x="11"/>
        <item x="5"/>
        <item x="18"/>
        <item x="13"/>
        <item x="8"/>
        <item x="2"/>
        <item x="19"/>
        <item x="14"/>
        <item x="9"/>
        <item x="3"/>
        <item x="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</pivotFields>
  <rowFields count="3">
    <field x="0"/>
    <field x="5"/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NP $" fld="13" baseField="0" baseItem="0" numFmtId="44"/>
  </dataFields>
  <formats count="8">
    <format dxfId="8">
      <pivotArea type="all" dataOnly="0" outline="0" fieldPosition="0"/>
    </format>
    <format dxfId="7">
      <pivotArea outline="0" collapsedLevelsAreSubtotals="1" fieldPosition="0"/>
    </format>
    <format dxfId="6">
      <pivotArea field="0" type="button" dataOnly="0" labelOnly="1" outline="0" axis="axisRow" fieldPosition="0"/>
    </format>
    <format dxfId="5">
      <pivotArea field="5" type="button" dataOnly="0" labelOnly="1" outline="0" axis="axisRow" fieldPosition="1"/>
    </format>
    <format dxfId="4">
      <pivotArea field="4" type="button" dataOnly="0" labelOnly="1" outline="0" axis="axisRow" fieldPosition="2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81" totalsRowShown="0">
  <autoFilter ref="A1:N81" xr:uid="{00000000-0009-0000-0100-000001000000}"/>
  <tableColumns count="14">
    <tableColumn id="1" xr3:uid="{00000000-0010-0000-0000-000001000000}" name="MES"/>
    <tableColumn id="2" xr3:uid="{00000000-0010-0000-0000-000002000000}" name="ISSUANCE YEAR"/>
    <tableColumn id="3" xr3:uid="{00000000-0010-0000-0000-000003000000}" name="UWY"/>
    <tableColumn id="4" xr3:uid="{00000000-0010-0000-0000-000004000000}" name="SECTION"/>
    <tableColumn id="5" xr3:uid="{00000000-0010-0000-0000-000005000000}" name="PRODUCT"/>
    <tableColumn id="6" xr3:uid="{00000000-0010-0000-0000-000006000000}" name="REF POLIZA"/>
    <tableColumn id="7" xr3:uid="{00000000-0010-0000-0000-000007000000}" name="GWP $"/>
    <tableColumn id="8" xr3:uid="{00000000-0010-0000-0000-000008000000}" name="Commission $"/>
    <tableColumn id="9" xr3:uid="{00000000-0010-0000-0000-000009000000}" name="Marlin Fee $"/>
    <tableColumn id="10" xr3:uid="{00000000-0010-0000-0000-00000A000000}" name="Taxes $"/>
    <tableColumn id="11" xr3:uid="{00000000-0010-0000-0000-00000B000000}" name="Commission %"/>
    <tableColumn id="12" xr3:uid="{00000000-0010-0000-0000-00000C000000}" name="Marlin Fee %"/>
    <tableColumn id="13" xr3:uid="{00000000-0010-0000-0000-00000D000000}" name="Taxes %"/>
    <tableColumn id="14" xr3:uid="{00000000-0010-0000-0000-00000E000000}" name="NP $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Issuancefacilities@LibertyMutual.com" TargetMode="External"/><Relationship Id="rId3" Type="http://schemas.openxmlformats.org/officeDocument/2006/relationships/hyperlink" Target="mailto:Issuancefacilities@LibertyMutual.com" TargetMode="External"/><Relationship Id="rId7" Type="http://schemas.openxmlformats.org/officeDocument/2006/relationships/hyperlink" Target="mailto:Issuancefacilities@LibertyMutual.com" TargetMode="External"/><Relationship Id="rId2" Type="http://schemas.openxmlformats.org/officeDocument/2006/relationships/hyperlink" Target="mailto:Issuancefacilities@LibertyMutual.com" TargetMode="External"/><Relationship Id="rId1" Type="http://schemas.openxmlformats.org/officeDocument/2006/relationships/hyperlink" Target="mailto:Issuancefacilities@LibertyMutual.com" TargetMode="External"/><Relationship Id="rId6" Type="http://schemas.openxmlformats.org/officeDocument/2006/relationships/hyperlink" Target="mailto:Issuancefacilities@LibertyMutual.com" TargetMode="External"/><Relationship Id="rId11" Type="http://schemas.openxmlformats.org/officeDocument/2006/relationships/printerSettings" Target="../printerSettings/printerSettings3.bin"/><Relationship Id="rId5" Type="http://schemas.openxmlformats.org/officeDocument/2006/relationships/hyperlink" Target="mailto:Issuancefacilities@LibertyMutual.com" TargetMode="External"/><Relationship Id="rId10" Type="http://schemas.openxmlformats.org/officeDocument/2006/relationships/hyperlink" Target="mailto:Issuancefacilities@LibertyMutual.com" TargetMode="External"/><Relationship Id="rId4" Type="http://schemas.openxmlformats.org/officeDocument/2006/relationships/hyperlink" Target="mailto:Issuancefacilities@LibertyMutual.com" TargetMode="External"/><Relationship Id="rId9" Type="http://schemas.openxmlformats.org/officeDocument/2006/relationships/hyperlink" Target="mailto:Issuancefacilities@LibertyMutual.com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ISO_3166-2:UY" TargetMode="External"/><Relationship Id="rId18" Type="http://schemas.openxmlformats.org/officeDocument/2006/relationships/hyperlink" Target="https://en.wikipedia.org/wiki/ISO_3166-2:BS" TargetMode="External"/><Relationship Id="rId26" Type="http://schemas.openxmlformats.org/officeDocument/2006/relationships/hyperlink" Target="https://en.wikipedia.org/wiki/ISO_3166-2:CW" TargetMode="External"/><Relationship Id="rId39" Type="http://schemas.openxmlformats.org/officeDocument/2006/relationships/hyperlink" Target="https://en.wikipedia.org/wiki/ISO_3166-2:VI" TargetMode="External"/><Relationship Id="rId21" Type="http://schemas.openxmlformats.org/officeDocument/2006/relationships/hyperlink" Target="https://en.wikipedia.org/wiki/ISO_3166-2:BM" TargetMode="External"/><Relationship Id="rId34" Type="http://schemas.openxmlformats.org/officeDocument/2006/relationships/hyperlink" Target="https://en.wikipedia.org/wiki/ISO_3166-2:HT" TargetMode="External"/><Relationship Id="rId42" Type="http://schemas.openxmlformats.org/officeDocument/2006/relationships/hyperlink" Target="https://en.wikipedia.org/wiki/ISO_3166-2:MX" TargetMode="External"/><Relationship Id="rId47" Type="http://schemas.openxmlformats.org/officeDocument/2006/relationships/hyperlink" Target="https://en.wikipedia.org/wiki/ISO_3166-2:DO" TargetMode="External"/><Relationship Id="rId50" Type="http://schemas.openxmlformats.org/officeDocument/2006/relationships/hyperlink" Target="https://en.wikipedia.org/wiki/ISO_3166-2:MF" TargetMode="External"/><Relationship Id="rId55" Type="http://schemas.openxmlformats.org/officeDocument/2006/relationships/hyperlink" Target="https://en.wikipedia.org/wiki/ISO_3166-2:TT" TargetMode="External"/><Relationship Id="rId7" Type="http://schemas.openxmlformats.org/officeDocument/2006/relationships/hyperlink" Target="https://en.wikipedia.org/wiki/ISO_3166-2:GF" TargetMode="External"/><Relationship Id="rId2" Type="http://schemas.openxmlformats.org/officeDocument/2006/relationships/hyperlink" Target="https://en.wikipedia.org/wiki/ISO_3166-2:BO" TargetMode="External"/><Relationship Id="rId16" Type="http://schemas.openxmlformats.org/officeDocument/2006/relationships/hyperlink" Target="https://en.wikipedia.org/wiki/ISO_3166-2:AG" TargetMode="External"/><Relationship Id="rId29" Type="http://schemas.openxmlformats.org/officeDocument/2006/relationships/hyperlink" Target="https://en.wikipedia.org/wiki/ISO_3166-2:US" TargetMode="External"/><Relationship Id="rId11" Type="http://schemas.openxmlformats.org/officeDocument/2006/relationships/hyperlink" Target="https://en.wikipedia.org/wiki/ISO_3166-2:PE" TargetMode="External"/><Relationship Id="rId24" Type="http://schemas.openxmlformats.org/officeDocument/2006/relationships/hyperlink" Target="https://en.wikipedia.org/wiki/ISO_3166-2:CR" TargetMode="External"/><Relationship Id="rId32" Type="http://schemas.openxmlformats.org/officeDocument/2006/relationships/hyperlink" Target="https://en.wikipedia.org/wiki/ISO_3166-2:GP" TargetMode="External"/><Relationship Id="rId37" Type="http://schemas.openxmlformats.org/officeDocument/2006/relationships/hyperlink" Target="https://en.wikipedia.org/wiki/ISO_3166-2:TC" TargetMode="External"/><Relationship Id="rId40" Type="http://schemas.openxmlformats.org/officeDocument/2006/relationships/hyperlink" Target="https://en.wikipedia.org/wiki/ISO_3166-2:JM" TargetMode="External"/><Relationship Id="rId45" Type="http://schemas.openxmlformats.org/officeDocument/2006/relationships/hyperlink" Target="https://en.wikipedia.org/wiki/ISO_3166-2:PA" TargetMode="External"/><Relationship Id="rId53" Type="http://schemas.openxmlformats.org/officeDocument/2006/relationships/hyperlink" Target="https://en.wikipedia.org/wiki/ISO_3166-2:LC" TargetMode="External"/><Relationship Id="rId5" Type="http://schemas.openxmlformats.org/officeDocument/2006/relationships/hyperlink" Target="https://en.wikipedia.org/wiki/ISO_3166-2:CO" TargetMode="External"/><Relationship Id="rId19" Type="http://schemas.openxmlformats.org/officeDocument/2006/relationships/hyperlink" Target="https://en.wikipedia.org/wiki/ISO_3166-2:BB" TargetMode="External"/><Relationship Id="rId4" Type="http://schemas.openxmlformats.org/officeDocument/2006/relationships/hyperlink" Target="https://en.wikipedia.org/wiki/ISO_3166-2:CL" TargetMode="External"/><Relationship Id="rId9" Type="http://schemas.openxmlformats.org/officeDocument/2006/relationships/hyperlink" Target="https://en.wikipedia.org/wiki/ISO_3166-2:FK" TargetMode="External"/><Relationship Id="rId14" Type="http://schemas.openxmlformats.org/officeDocument/2006/relationships/hyperlink" Target="https://en.wikipedia.org/wiki/ISO_3166-2:VE" TargetMode="External"/><Relationship Id="rId22" Type="http://schemas.openxmlformats.org/officeDocument/2006/relationships/hyperlink" Target="https://en.wikipedia.org/wiki/ISO_3166-2:BQ" TargetMode="External"/><Relationship Id="rId27" Type="http://schemas.openxmlformats.org/officeDocument/2006/relationships/hyperlink" Target="https://en.wikipedia.org/wiki/ISO_3166-2:DM" TargetMode="External"/><Relationship Id="rId30" Type="http://schemas.openxmlformats.org/officeDocument/2006/relationships/hyperlink" Target="https://en.wikipedia.org/wiki/ISO_3166-2:GD" TargetMode="External"/><Relationship Id="rId35" Type="http://schemas.openxmlformats.org/officeDocument/2006/relationships/hyperlink" Target="https://en.wikipedia.org/wiki/ISO_3166-2:HN" TargetMode="External"/><Relationship Id="rId43" Type="http://schemas.openxmlformats.org/officeDocument/2006/relationships/hyperlink" Target="https://en.wikipedia.org/wiki/ISO_3166-2:MS" TargetMode="External"/><Relationship Id="rId48" Type="http://schemas.openxmlformats.org/officeDocument/2006/relationships/hyperlink" Target="https://en.wikipedia.org/wiki/ISO_3166-2:BL" TargetMode="External"/><Relationship Id="rId56" Type="http://schemas.openxmlformats.org/officeDocument/2006/relationships/printerSettings" Target="../printerSettings/printerSettings4.bin"/><Relationship Id="rId8" Type="http://schemas.openxmlformats.org/officeDocument/2006/relationships/hyperlink" Target="https://en.wikipedia.org/wiki/ISO_3166-2:GY" TargetMode="External"/><Relationship Id="rId51" Type="http://schemas.openxmlformats.org/officeDocument/2006/relationships/hyperlink" Target="https://en.wikipedia.org/wiki/ISO_3166-2:PM" TargetMode="External"/><Relationship Id="rId3" Type="http://schemas.openxmlformats.org/officeDocument/2006/relationships/hyperlink" Target="https://en.wikipedia.org/wiki/ISO_3166-2:BR" TargetMode="External"/><Relationship Id="rId12" Type="http://schemas.openxmlformats.org/officeDocument/2006/relationships/hyperlink" Target="https://en.wikipedia.org/wiki/ISO_3166-2:SR" TargetMode="External"/><Relationship Id="rId17" Type="http://schemas.openxmlformats.org/officeDocument/2006/relationships/hyperlink" Target="https://en.wikipedia.org/wiki/ISO_3166-2:AW" TargetMode="External"/><Relationship Id="rId25" Type="http://schemas.openxmlformats.org/officeDocument/2006/relationships/hyperlink" Target="https://en.wikipedia.org/wiki/ISO_3166-2:CU" TargetMode="External"/><Relationship Id="rId33" Type="http://schemas.openxmlformats.org/officeDocument/2006/relationships/hyperlink" Target="https://en.wikipedia.org/wiki/ISO_3166-2:GT" TargetMode="External"/><Relationship Id="rId38" Type="http://schemas.openxmlformats.org/officeDocument/2006/relationships/hyperlink" Target="https://en.wikipedia.org/wiki/ISO_3166-2:VG" TargetMode="External"/><Relationship Id="rId46" Type="http://schemas.openxmlformats.org/officeDocument/2006/relationships/hyperlink" Target="https://en.wikipedia.org/wiki/ISO_3166-2:PR" TargetMode="External"/><Relationship Id="rId20" Type="http://schemas.openxmlformats.org/officeDocument/2006/relationships/hyperlink" Target="https://en.wikipedia.org/wiki/ISO_3166-2:BZ" TargetMode="External"/><Relationship Id="rId41" Type="http://schemas.openxmlformats.org/officeDocument/2006/relationships/hyperlink" Target="https://en.wikipedia.org/wiki/ISO_3166-2:MQ" TargetMode="External"/><Relationship Id="rId54" Type="http://schemas.openxmlformats.org/officeDocument/2006/relationships/hyperlink" Target="https://en.wikipedia.org/wiki/ISO_3166-2:SX" TargetMode="External"/><Relationship Id="rId1" Type="http://schemas.openxmlformats.org/officeDocument/2006/relationships/hyperlink" Target="https://en.wikipedia.org/wiki/ISO_3166-2:AR" TargetMode="External"/><Relationship Id="rId6" Type="http://schemas.openxmlformats.org/officeDocument/2006/relationships/hyperlink" Target="https://en.wikipedia.org/wiki/ISO_3166-2:EC" TargetMode="External"/><Relationship Id="rId15" Type="http://schemas.openxmlformats.org/officeDocument/2006/relationships/hyperlink" Target="https://en.wikipedia.org/wiki/ISO_3166-2:AI" TargetMode="External"/><Relationship Id="rId23" Type="http://schemas.openxmlformats.org/officeDocument/2006/relationships/hyperlink" Target="https://en.wikipedia.org/wiki/ISO_3166-2:CA" TargetMode="External"/><Relationship Id="rId28" Type="http://schemas.openxmlformats.org/officeDocument/2006/relationships/hyperlink" Target="https://en.wikipedia.org/wiki/ISO_3166-2:SV" TargetMode="External"/><Relationship Id="rId36" Type="http://schemas.openxmlformats.org/officeDocument/2006/relationships/hyperlink" Target="https://en.wikipedia.org/wiki/ISO_3166-2:KY" TargetMode="External"/><Relationship Id="rId49" Type="http://schemas.openxmlformats.org/officeDocument/2006/relationships/hyperlink" Target="https://en.wikipedia.org/wiki/ISO_3166-2:KN" TargetMode="External"/><Relationship Id="rId57" Type="http://schemas.openxmlformats.org/officeDocument/2006/relationships/drawing" Target="../drawings/drawing2.xml"/><Relationship Id="rId10" Type="http://schemas.openxmlformats.org/officeDocument/2006/relationships/hyperlink" Target="https://en.wikipedia.org/wiki/ISO_3166-2:PY" TargetMode="External"/><Relationship Id="rId31" Type="http://schemas.openxmlformats.org/officeDocument/2006/relationships/hyperlink" Target="https://en.wikipedia.org/wiki/ISO_3166-2:GL" TargetMode="External"/><Relationship Id="rId44" Type="http://schemas.openxmlformats.org/officeDocument/2006/relationships/hyperlink" Target="https://en.wikipedia.org/wiki/ISO_3166-2:NI" TargetMode="External"/><Relationship Id="rId52" Type="http://schemas.openxmlformats.org/officeDocument/2006/relationships/hyperlink" Target="https://en.wikipedia.org/wiki/ISO_3166-2:VC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18"/>
  <sheetViews>
    <sheetView zoomScale="85" zoomScaleNormal="85" workbookViewId="0">
      <selection activeCell="G9" sqref="G9"/>
    </sheetView>
  </sheetViews>
  <sheetFormatPr defaultRowHeight="15" x14ac:dyDescent="0.25"/>
  <cols>
    <col min="2" max="2" width="25" bestFit="1" customWidth="1"/>
    <col min="3" max="3" width="11.5703125" bestFit="1" customWidth="1"/>
    <col min="6" max="6" width="18.5703125" bestFit="1" customWidth="1"/>
    <col min="7" max="7" width="18.5703125" customWidth="1"/>
    <col min="8" max="8" width="29.5703125" bestFit="1" customWidth="1"/>
    <col min="9" max="9" width="11" customWidth="1"/>
    <col min="10" max="10" width="18.85546875" bestFit="1" customWidth="1"/>
    <col min="11" max="11" width="18.85546875" customWidth="1"/>
    <col min="12" max="12" width="31.85546875" bestFit="1" customWidth="1"/>
    <col min="13" max="13" width="22.140625" bestFit="1" customWidth="1"/>
    <col min="14" max="14" width="29.5703125" bestFit="1" customWidth="1"/>
    <col min="15" max="15" width="30.140625" bestFit="1" customWidth="1"/>
    <col min="16" max="16" width="31.85546875" bestFit="1" customWidth="1"/>
    <col min="17" max="17" width="22.140625" customWidth="1"/>
    <col min="18" max="18" width="15.42578125" customWidth="1"/>
    <col min="19" max="19" width="24.140625" customWidth="1"/>
  </cols>
  <sheetData>
    <row r="1" spans="2:19" ht="15" customHeight="1" thickBot="1" x14ac:dyDescent="0.3">
      <c r="N1" s="185" t="s">
        <v>75</v>
      </c>
      <c r="O1" s="186"/>
      <c r="P1" s="186"/>
      <c r="Q1" s="186"/>
      <c r="R1" s="186"/>
      <c r="S1" s="187"/>
    </row>
    <row r="2" spans="2:19" x14ac:dyDescent="0.25">
      <c r="B2" s="191" t="s">
        <v>35</v>
      </c>
      <c r="C2" s="192"/>
      <c r="N2" s="188"/>
      <c r="O2" s="189"/>
      <c r="P2" s="189"/>
      <c r="Q2" s="189"/>
      <c r="R2" s="189"/>
      <c r="S2" s="190"/>
    </row>
    <row r="3" spans="2:19" ht="15.75" thickBot="1" x14ac:dyDescent="0.3">
      <c r="B3" s="193"/>
      <c r="C3" s="194"/>
      <c r="H3" s="6" t="s">
        <v>255</v>
      </c>
      <c r="I3" s="6" t="s">
        <v>256</v>
      </c>
      <c r="J3" s="6" t="s">
        <v>257</v>
      </c>
      <c r="K3" s="6" t="s">
        <v>129</v>
      </c>
      <c r="L3" s="6" t="s">
        <v>74</v>
      </c>
      <c r="M3" s="6" t="s">
        <v>73</v>
      </c>
      <c r="N3" s="122" t="s">
        <v>38</v>
      </c>
      <c r="O3" s="6" t="s">
        <v>39</v>
      </c>
      <c r="P3" s="6" t="s">
        <v>40</v>
      </c>
      <c r="Q3" s="6" t="s">
        <v>41</v>
      </c>
      <c r="R3" s="6" t="s">
        <v>42</v>
      </c>
      <c r="S3" s="123" t="s">
        <v>43</v>
      </c>
    </row>
    <row r="4" spans="2:19" x14ac:dyDescent="0.25">
      <c r="B4" s="112" t="s">
        <v>36</v>
      </c>
      <c r="C4" s="113" t="s">
        <v>520</v>
      </c>
      <c r="H4" t="str">
        <f>+RIGHT(C4,4)</f>
        <v>2023</v>
      </c>
      <c r="I4" t="str">
        <f>+C6</f>
        <v>ENERO</v>
      </c>
      <c r="J4">
        <f>+C7</f>
        <v>2023</v>
      </c>
      <c r="K4" t="str">
        <f>+C5</f>
        <v>Section B</v>
      </c>
      <c r="L4" t="str">
        <f>+B11</f>
        <v>MRLN19AONBENE-5</v>
      </c>
      <c r="M4" t="str">
        <f>IFERROR(VLOOKUP('FILL OUT'!L4,'Base de Datos'!$C$1:$D$28,2,FALSE),"")</f>
        <v>ENERGY</v>
      </c>
      <c r="N4" s="175">
        <v>1375000</v>
      </c>
      <c r="O4" s="172">
        <v>8868.75</v>
      </c>
      <c r="P4" s="172">
        <v>2217.1875</v>
      </c>
      <c r="Q4" s="172">
        <v>798.1875</v>
      </c>
      <c r="R4" s="172">
        <v>0</v>
      </c>
      <c r="S4" s="172">
        <v>5853.375</v>
      </c>
    </row>
    <row r="5" spans="2:19" x14ac:dyDescent="0.25">
      <c r="B5" s="3" t="s">
        <v>37</v>
      </c>
      <c r="C5" s="5" t="s">
        <v>4</v>
      </c>
      <c r="H5" t="str">
        <f>+IF(L5&lt;&gt;"",H4,"")</f>
        <v>2023</v>
      </c>
      <c r="I5" t="str">
        <f>+IF(L5&lt;&gt;"",I4,"")</f>
        <v>ENERO</v>
      </c>
      <c r="J5">
        <f>+IF(L5&lt;&gt;"",J4,"")</f>
        <v>2023</v>
      </c>
      <c r="K5" t="str">
        <f>+IF(L5&lt;&gt;"",K4,"")</f>
        <v>Section B</v>
      </c>
      <c r="L5" t="str">
        <f>IFERROR(+B12,"")</f>
        <v>MRLN19AONBMAR-5</v>
      </c>
      <c r="M5" t="str">
        <f>IFERROR(+VLOOKUP('FILL OUT'!L5,'Base de Datos'!$C$1:$D$28,2,FALSE),"")</f>
        <v>MARINE</v>
      </c>
      <c r="N5" s="173"/>
      <c r="O5" s="174"/>
      <c r="P5" s="174"/>
      <c r="Q5" s="174"/>
      <c r="R5" s="174"/>
      <c r="S5" s="174"/>
    </row>
    <row r="6" spans="2:19" x14ac:dyDescent="0.25">
      <c r="B6" s="3" t="s">
        <v>71</v>
      </c>
      <c r="C6" s="5" t="s">
        <v>46</v>
      </c>
    </row>
    <row r="7" spans="2:19" ht="15.75" thickBot="1" x14ac:dyDescent="0.3">
      <c r="B7" s="4" t="s">
        <v>257</v>
      </c>
      <c r="C7" s="114">
        <v>2023</v>
      </c>
    </row>
    <row r="8" spans="2:19" ht="15.75" thickBot="1" x14ac:dyDescent="0.3"/>
    <row r="9" spans="2:19" x14ac:dyDescent="0.25">
      <c r="B9" s="199" t="s">
        <v>72</v>
      </c>
      <c r="C9" s="200"/>
    </row>
    <row r="10" spans="2:19" x14ac:dyDescent="0.25">
      <c r="B10" s="201"/>
      <c r="C10" s="202"/>
    </row>
    <row r="11" spans="2:19" ht="24.95" customHeight="1" x14ac:dyDescent="0.25">
      <c r="B11" s="203" t="str" cm="1">
        <f t="array" ref="B11">IFERROR(INDEX('Base de Datos'!$C$1:$C$28,SMALL(IF(COUNTIF('FILL OUT'!$C$4,'Base de Datos'!$A$1:$A$28)*COUNTIF('FILL OUT'!$C$5,'Base de Datos'!$B$1:$B$28),ROW('Base de Datos'!$A$1:$C$28)-MIN(ROW('Base de Datos'!$A$1:$C$28))+1),ROW(A1)),COLUMN(A1)),"")</f>
        <v>MRLN19AONBENE-5</v>
      </c>
      <c r="C11" s="204"/>
    </row>
    <row r="12" spans="2:19" ht="30.95" customHeight="1" thickBot="1" x14ac:dyDescent="0.3">
      <c r="B12" s="205" t="str" cm="1">
        <f t="array" ref="B12">IFERROR(INDEX('Base de Datos'!$C$1:$C$28,SMALL(IF(COUNTIF('FILL OUT'!$C$4,'Base de Datos'!$A$1:$A$28)*COUNTIF('FILL OUT'!$C$5,'Base de Datos'!$B$1:$B$28),ROW('Base de Datos'!$A$1:$C$28)-MIN(ROW('Base de Datos'!$A$1:$C$28))+1),ROW(A2)),COLUMN(A2)),"")</f>
        <v>MRLN19AONBMAR-5</v>
      </c>
      <c r="C12" s="206"/>
    </row>
    <row r="13" spans="2:19" ht="15.75" thickBot="1" x14ac:dyDescent="0.3"/>
    <row r="14" spans="2:19" x14ac:dyDescent="0.25">
      <c r="B14" s="7"/>
      <c r="C14" s="195" t="s">
        <v>76</v>
      </c>
      <c r="D14" s="195"/>
      <c r="E14" s="196"/>
    </row>
    <row r="15" spans="2:19" ht="15.75" thickBot="1" x14ac:dyDescent="0.3">
      <c r="B15" s="8"/>
      <c r="C15" s="197"/>
      <c r="D15" s="197"/>
      <c r="E15" s="198"/>
    </row>
    <row r="16" spans="2:19" ht="15.75" thickBot="1" x14ac:dyDescent="0.3"/>
    <row r="17" spans="2:5" x14ac:dyDescent="0.25">
      <c r="B17" s="179" t="s">
        <v>330</v>
      </c>
      <c r="C17" s="181"/>
      <c r="D17" s="181"/>
      <c r="E17" s="182"/>
    </row>
    <row r="18" spans="2:5" ht="15.75" thickBot="1" x14ac:dyDescent="0.3">
      <c r="B18" s="180"/>
      <c r="C18" s="183"/>
      <c r="D18" s="183"/>
      <c r="E18" s="184"/>
    </row>
  </sheetData>
  <mergeCells count="8">
    <mergeCell ref="B17:B18"/>
    <mergeCell ref="C17:E18"/>
    <mergeCell ref="N1:S2"/>
    <mergeCell ref="B2:C3"/>
    <mergeCell ref="C14:E15"/>
    <mergeCell ref="B9:C10"/>
    <mergeCell ref="B11:C11"/>
    <mergeCell ref="B12:C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OPULATE">
                <anchor moveWithCells="1" sizeWithCells="1">
                  <from>
                    <xdr:col>7</xdr:col>
                    <xdr:colOff>647700</xdr:colOff>
                    <xdr:row>8</xdr:row>
                    <xdr:rowOff>133350</xdr:rowOff>
                  </from>
                  <to>
                    <xdr:col>7</xdr:col>
                    <xdr:colOff>1609725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Borrar">
                <anchor moveWithCells="1" sizeWithCells="1">
                  <from>
                    <xdr:col>7</xdr:col>
                    <xdr:colOff>638175</xdr:colOff>
                    <xdr:row>11</xdr:row>
                    <xdr:rowOff>0</xdr:rowOff>
                  </from>
                  <to>
                    <xdr:col>7</xdr:col>
                    <xdr:colOff>1600200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Module6.reiniciar">
                <anchor moveWithCells="1" sizeWithCells="1">
                  <from>
                    <xdr:col>7</xdr:col>
                    <xdr:colOff>647700</xdr:colOff>
                    <xdr:row>12</xdr:row>
                    <xdr:rowOff>133350</xdr:rowOff>
                  </from>
                  <to>
                    <xdr:col>7</xdr:col>
                    <xdr:colOff>1609725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'Base de Datos'!$L$2:$L$6</xm:f>
          </x14:formula1>
          <xm:sqref>C4</xm:sqref>
        </x14:dataValidation>
        <x14:dataValidation type="list" allowBlank="1" showInputMessage="1" showErrorMessage="1" xr:uid="{00000000-0002-0000-0000-000001000000}">
          <x14:formula1>
            <xm:f>'Base de Datos'!$M$2:$M$5</xm:f>
          </x14:formula1>
          <xm:sqref>C5</xm:sqref>
        </x14:dataValidation>
        <x14:dataValidation type="list" allowBlank="1" showInputMessage="1" showErrorMessage="1" xr:uid="{00000000-0002-0000-0000-000002000000}">
          <x14:formula1>
            <xm:f>'Base de Datos'!$N$2:$N$13</xm:f>
          </x14:formula1>
          <xm:sqref>C6 C8 C17:E18</xm:sqref>
        </x14:dataValidation>
        <x14:dataValidation type="list" allowBlank="1" showInputMessage="1" showErrorMessage="1" xr:uid="{00000000-0002-0000-0000-000003000000}">
          <x14:formula1>
            <xm:f>'Base de Datos'!$T$2:$T$5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28"/>
  <sheetViews>
    <sheetView workbookViewId="0">
      <selection activeCell="D27" sqref="D27"/>
    </sheetView>
  </sheetViews>
  <sheetFormatPr defaultRowHeight="15" x14ac:dyDescent="0.25"/>
  <cols>
    <col min="1" max="1" width="9.42578125" bestFit="1" customWidth="1"/>
    <col min="2" max="2" width="9.42578125" customWidth="1"/>
    <col min="3" max="3" width="18.5703125" bestFit="1" customWidth="1"/>
    <col min="4" max="4" width="19.85546875" bestFit="1" customWidth="1"/>
    <col min="5" max="5" width="18.7109375" bestFit="1" customWidth="1"/>
    <col min="6" max="6" width="9.7109375" bestFit="1" customWidth="1"/>
    <col min="7" max="7" width="10.7109375" bestFit="1" customWidth="1"/>
    <col min="8" max="8" width="17.28515625" bestFit="1" customWidth="1"/>
    <col min="12" max="12" width="9.42578125" bestFit="1" customWidth="1"/>
    <col min="14" max="14" width="11.140625" bestFit="1" customWidth="1"/>
    <col min="16" max="16" width="16.5703125" bestFit="1" customWidth="1"/>
    <col min="18" max="18" width="17.42578125" bestFit="1" customWidth="1"/>
    <col min="20" max="20" width="19.7109375" bestFit="1" customWidth="1"/>
    <col min="22" max="22" width="10.140625" bestFit="1" customWidth="1"/>
    <col min="23" max="23" width="11.5703125" bestFit="1" customWidth="1"/>
    <col min="24" max="24" width="9.42578125" bestFit="1" customWidth="1"/>
    <col min="25" max="25" width="18.85546875" bestFit="1" customWidth="1"/>
    <col min="26" max="26" width="12.42578125" style="147" customWidth="1"/>
  </cols>
  <sheetData>
    <row r="1" spans="1:26" x14ac:dyDescent="0.25">
      <c r="A1" s="2" t="s">
        <v>31</v>
      </c>
      <c r="B1" s="1" t="s">
        <v>1</v>
      </c>
      <c r="C1" s="1" t="s">
        <v>0</v>
      </c>
      <c r="D1" s="1" t="s">
        <v>2</v>
      </c>
      <c r="E1" s="1" t="s">
        <v>2</v>
      </c>
      <c r="F1" s="207">
        <v>43466</v>
      </c>
      <c r="G1" s="207">
        <v>43830</v>
      </c>
      <c r="H1" t="str">
        <f t="shared" ref="H1:H22" si="0">+_xlfn.CONCAT(A1,B1)</f>
        <v>UWY 2019Section D</v>
      </c>
      <c r="L1" t="s">
        <v>44</v>
      </c>
      <c r="M1" t="s">
        <v>45</v>
      </c>
      <c r="O1" t="s">
        <v>58</v>
      </c>
      <c r="T1" t="s">
        <v>268</v>
      </c>
      <c r="V1" t="s">
        <v>269</v>
      </c>
      <c r="W1" t="s">
        <v>270</v>
      </c>
    </row>
    <row r="2" spans="1:26" x14ac:dyDescent="0.25">
      <c r="A2" s="2" t="s">
        <v>31</v>
      </c>
      <c r="B2" s="1" t="s">
        <v>4</v>
      </c>
      <c r="C2" s="1" t="s">
        <v>3</v>
      </c>
      <c r="D2" s="1" t="s">
        <v>5</v>
      </c>
      <c r="E2" s="1" t="s">
        <v>5</v>
      </c>
      <c r="F2" s="207"/>
      <c r="G2" s="207"/>
      <c r="H2" t="str">
        <f t="shared" si="0"/>
        <v>UWY 2019Section B</v>
      </c>
      <c r="L2" t="s">
        <v>31</v>
      </c>
      <c r="M2" t="s">
        <v>1</v>
      </c>
      <c r="N2" t="s">
        <v>46</v>
      </c>
      <c r="O2" t="s">
        <v>65</v>
      </c>
      <c r="P2" t="s">
        <v>65</v>
      </c>
      <c r="Q2" t="s">
        <v>219</v>
      </c>
      <c r="R2" t="s">
        <v>232</v>
      </c>
      <c r="T2">
        <v>2022</v>
      </c>
      <c r="V2">
        <v>2019</v>
      </c>
      <c r="W2" s="147">
        <v>43830</v>
      </c>
      <c r="Y2" t="s">
        <v>0</v>
      </c>
      <c r="Z2" s="147">
        <v>43830</v>
      </c>
    </row>
    <row r="3" spans="1:26" x14ac:dyDescent="0.25">
      <c r="A3" s="2" t="s">
        <v>31</v>
      </c>
      <c r="B3" s="1" t="s">
        <v>4</v>
      </c>
      <c r="C3" s="1" t="s">
        <v>6</v>
      </c>
      <c r="D3" s="1" t="s">
        <v>7</v>
      </c>
      <c r="E3" s="1" t="s">
        <v>7</v>
      </c>
      <c r="F3" s="207"/>
      <c r="G3" s="207"/>
      <c r="H3" t="str">
        <f t="shared" si="0"/>
        <v>UWY 2019Section B</v>
      </c>
      <c r="L3" t="s">
        <v>32</v>
      </c>
      <c r="M3" t="s">
        <v>4</v>
      </c>
      <c r="N3" t="s">
        <v>47</v>
      </c>
      <c r="O3" t="s">
        <v>66</v>
      </c>
      <c r="P3" t="s">
        <v>66</v>
      </c>
      <c r="Q3" t="s">
        <v>220</v>
      </c>
      <c r="R3" t="s">
        <v>231</v>
      </c>
      <c r="T3">
        <v>2023</v>
      </c>
      <c r="V3">
        <v>2020</v>
      </c>
      <c r="W3" s="147">
        <v>44196</v>
      </c>
      <c r="Y3" t="s">
        <v>3</v>
      </c>
      <c r="Z3" s="147">
        <v>43830</v>
      </c>
    </row>
    <row r="4" spans="1:26" x14ac:dyDescent="0.25">
      <c r="A4" s="2" t="s">
        <v>31</v>
      </c>
      <c r="B4" s="1" t="s">
        <v>9</v>
      </c>
      <c r="C4" s="1" t="s">
        <v>8</v>
      </c>
      <c r="D4" s="1" t="s">
        <v>10</v>
      </c>
      <c r="E4" s="1" t="s">
        <v>10</v>
      </c>
      <c r="F4" s="207"/>
      <c r="G4" s="207"/>
      <c r="H4" t="str">
        <f t="shared" si="0"/>
        <v>UWY 2019Section C</v>
      </c>
      <c r="L4" t="s">
        <v>33</v>
      </c>
      <c r="M4" t="s">
        <v>9</v>
      </c>
      <c r="N4" t="s">
        <v>48</v>
      </c>
      <c r="O4" t="s">
        <v>67</v>
      </c>
      <c r="P4" t="s">
        <v>67</v>
      </c>
      <c r="Q4" t="s">
        <v>221</v>
      </c>
      <c r="R4" t="s">
        <v>233</v>
      </c>
      <c r="T4">
        <v>2024</v>
      </c>
      <c r="V4">
        <v>2021</v>
      </c>
      <c r="W4" s="147">
        <v>44561</v>
      </c>
      <c r="Y4" t="s">
        <v>6</v>
      </c>
      <c r="Z4" s="147">
        <v>43830</v>
      </c>
    </row>
    <row r="5" spans="1:26" x14ac:dyDescent="0.25">
      <c r="A5" s="2" t="s">
        <v>31</v>
      </c>
      <c r="B5" s="1" t="s">
        <v>9</v>
      </c>
      <c r="C5" s="1" t="s">
        <v>11</v>
      </c>
      <c r="D5" s="1" t="s">
        <v>12</v>
      </c>
      <c r="E5" s="1" t="s">
        <v>12</v>
      </c>
      <c r="F5" s="207"/>
      <c r="G5" s="207"/>
      <c r="H5" t="str">
        <f t="shared" si="0"/>
        <v>UWY 2019Section C</v>
      </c>
      <c r="L5" t="s">
        <v>34</v>
      </c>
      <c r="M5" t="s">
        <v>24</v>
      </c>
      <c r="N5" t="s">
        <v>49</v>
      </c>
      <c r="O5" t="s">
        <v>68</v>
      </c>
      <c r="P5" t="s">
        <v>68</v>
      </c>
      <c r="Q5" t="s">
        <v>220</v>
      </c>
      <c r="R5" t="s">
        <v>231</v>
      </c>
      <c r="T5">
        <v>2025</v>
      </c>
      <c r="V5">
        <v>2022</v>
      </c>
      <c r="W5" s="147">
        <f ca="1">+W6</f>
        <v>45201</v>
      </c>
      <c r="Y5" t="s">
        <v>8</v>
      </c>
      <c r="Z5" s="147">
        <v>43830</v>
      </c>
    </row>
    <row r="6" spans="1:26" x14ac:dyDescent="0.25">
      <c r="A6" s="2" t="s">
        <v>32</v>
      </c>
      <c r="B6" s="1" t="s">
        <v>1</v>
      </c>
      <c r="C6" s="1" t="s">
        <v>13</v>
      </c>
      <c r="D6" s="1" t="s">
        <v>2</v>
      </c>
      <c r="E6" s="1" t="s">
        <v>2</v>
      </c>
      <c r="F6" s="207">
        <v>43831</v>
      </c>
      <c r="G6" s="207">
        <v>44196</v>
      </c>
      <c r="H6" t="str">
        <f t="shared" si="0"/>
        <v>UWY 2020Section D</v>
      </c>
      <c r="L6" t="s">
        <v>520</v>
      </c>
      <c r="N6" t="s">
        <v>50</v>
      </c>
      <c r="O6" t="s">
        <v>69</v>
      </c>
      <c r="P6" t="s">
        <v>69</v>
      </c>
      <c r="Q6" t="s">
        <v>222</v>
      </c>
      <c r="R6" t="s">
        <v>230</v>
      </c>
      <c r="V6">
        <v>2023</v>
      </c>
      <c r="W6" s="147">
        <f ca="1">+TODAY()</f>
        <v>45201</v>
      </c>
      <c r="Y6" t="s">
        <v>11</v>
      </c>
      <c r="Z6" s="147">
        <v>43830</v>
      </c>
    </row>
    <row r="7" spans="1:26" x14ac:dyDescent="0.25">
      <c r="A7" s="2" t="s">
        <v>32</v>
      </c>
      <c r="B7" s="1" t="s">
        <v>4</v>
      </c>
      <c r="C7" s="1" t="s">
        <v>14</v>
      </c>
      <c r="D7" s="1" t="s">
        <v>5</v>
      </c>
      <c r="E7" s="1" t="s">
        <v>5</v>
      </c>
      <c r="F7" s="207"/>
      <c r="G7" s="207"/>
      <c r="H7" t="str">
        <f t="shared" si="0"/>
        <v>UWY 2020Section B</v>
      </c>
      <c r="N7" t="s">
        <v>51</v>
      </c>
      <c r="O7" t="s">
        <v>336</v>
      </c>
      <c r="P7" t="s">
        <v>70</v>
      </c>
      <c r="Q7" t="s">
        <v>223</v>
      </c>
      <c r="R7" t="s">
        <v>234</v>
      </c>
      <c r="Y7" t="s">
        <v>13</v>
      </c>
      <c r="Z7" s="147">
        <v>44196</v>
      </c>
    </row>
    <row r="8" spans="1:26" x14ac:dyDescent="0.25">
      <c r="A8" s="2" t="s">
        <v>32</v>
      </c>
      <c r="B8" s="1" t="s">
        <v>4</v>
      </c>
      <c r="C8" s="1" t="s">
        <v>15</v>
      </c>
      <c r="D8" s="1" t="s">
        <v>7</v>
      </c>
      <c r="E8" s="1" t="s">
        <v>7</v>
      </c>
      <c r="F8" s="207"/>
      <c r="G8" s="207"/>
      <c r="H8" t="str">
        <f t="shared" si="0"/>
        <v>UWY 2020Section B</v>
      </c>
      <c r="N8" t="s">
        <v>52</v>
      </c>
      <c r="Y8" t="s">
        <v>14</v>
      </c>
      <c r="Z8" s="147">
        <v>44196</v>
      </c>
    </row>
    <row r="9" spans="1:26" x14ac:dyDescent="0.25">
      <c r="A9" s="2" t="s">
        <v>32</v>
      </c>
      <c r="B9" s="1" t="s">
        <v>9</v>
      </c>
      <c r="C9" s="1" t="s">
        <v>16</v>
      </c>
      <c r="D9" s="1" t="s">
        <v>10</v>
      </c>
      <c r="E9" s="1" t="s">
        <v>10</v>
      </c>
      <c r="F9" s="207"/>
      <c r="G9" s="207"/>
      <c r="H9" t="str">
        <f t="shared" si="0"/>
        <v>UWY 2020Section C</v>
      </c>
      <c r="N9" t="s">
        <v>53</v>
      </c>
      <c r="Y9" t="s">
        <v>15</v>
      </c>
      <c r="Z9" s="147">
        <v>44196</v>
      </c>
    </row>
    <row r="10" spans="1:26" x14ac:dyDescent="0.25">
      <c r="A10" s="2" t="s">
        <v>32</v>
      </c>
      <c r="B10" s="1" t="s">
        <v>9</v>
      </c>
      <c r="C10" s="1" t="s">
        <v>17</v>
      </c>
      <c r="D10" s="1" t="s">
        <v>12</v>
      </c>
      <c r="E10" s="1" t="s">
        <v>12</v>
      </c>
      <c r="F10" s="207"/>
      <c r="G10" s="207"/>
      <c r="H10" t="str">
        <f t="shared" si="0"/>
        <v>UWY 2020Section C</v>
      </c>
      <c r="N10" t="s">
        <v>54</v>
      </c>
      <c r="Y10" t="s">
        <v>16</v>
      </c>
      <c r="Z10" s="147">
        <v>44196</v>
      </c>
    </row>
    <row r="11" spans="1:26" x14ac:dyDescent="0.25">
      <c r="A11" s="2" t="s">
        <v>33</v>
      </c>
      <c r="B11" s="1" t="s">
        <v>1</v>
      </c>
      <c r="C11" s="1" t="s">
        <v>18</v>
      </c>
      <c r="D11" s="1" t="s">
        <v>2</v>
      </c>
      <c r="E11" s="1" t="s">
        <v>2</v>
      </c>
      <c r="F11" s="207">
        <v>44197</v>
      </c>
      <c r="G11" s="207">
        <v>44561</v>
      </c>
      <c r="H11" t="str">
        <f t="shared" si="0"/>
        <v>UWY 2021Section D</v>
      </c>
      <c r="N11" t="s">
        <v>55</v>
      </c>
      <c r="Y11" t="s">
        <v>17</v>
      </c>
      <c r="Z11" s="147">
        <v>44196</v>
      </c>
    </row>
    <row r="12" spans="1:26" x14ac:dyDescent="0.25">
      <c r="A12" s="2" t="s">
        <v>33</v>
      </c>
      <c r="B12" s="1" t="s">
        <v>4</v>
      </c>
      <c r="C12" s="1" t="s">
        <v>19</v>
      </c>
      <c r="D12" s="1" t="s">
        <v>5</v>
      </c>
      <c r="E12" s="1" t="s">
        <v>5</v>
      </c>
      <c r="F12" s="207"/>
      <c r="G12" s="207"/>
      <c r="H12" t="str">
        <f t="shared" si="0"/>
        <v>UWY 2021Section B</v>
      </c>
      <c r="N12" t="s">
        <v>56</v>
      </c>
      <c r="Y12" t="s">
        <v>18</v>
      </c>
      <c r="Z12" s="147">
        <v>44561</v>
      </c>
    </row>
    <row r="13" spans="1:26" x14ac:dyDescent="0.25">
      <c r="A13" s="2" t="s">
        <v>33</v>
      </c>
      <c r="B13" s="1" t="s">
        <v>4</v>
      </c>
      <c r="C13" s="1" t="s">
        <v>20</v>
      </c>
      <c r="D13" s="1" t="s">
        <v>7</v>
      </c>
      <c r="E13" s="1" t="s">
        <v>7</v>
      </c>
      <c r="F13" s="207"/>
      <c r="G13" s="207"/>
      <c r="H13" t="str">
        <f t="shared" si="0"/>
        <v>UWY 2021Section B</v>
      </c>
      <c r="N13" t="s">
        <v>57</v>
      </c>
      <c r="Y13" t="s">
        <v>19</v>
      </c>
      <c r="Z13" s="147">
        <v>44561</v>
      </c>
    </row>
    <row r="14" spans="1:26" x14ac:dyDescent="0.25">
      <c r="A14" s="2" t="s">
        <v>33</v>
      </c>
      <c r="B14" s="1" t="s">
        <v>9</v>
      </c>
      <c r="C14" s="1" t="s">
        <v>21</v>
      </c>
      <c r="D14" s="1" t="s">
        <v>10</v>
      </c>
      <c r="E14" s="1" t="s">
        <v>10</v>
      </c>
      <c r="F14" s="207"/>
      <c r="G14" s="207"/>
      <c r="H14" t="str">
        <f t="shared" si="0"/>
        <v>UWY 2021Section C</v>
      </c>
      <c r="Y14" t="s">
        <v>20</v>
      </c>
      <c r="Z14" s="147">
        <v>44561</v>
      </c>
    </row>
    <row r="15" spans="1:26" x14ac:dyDescent="0.25">
      <c r="A15" s="2" t="s">
        <v>33</v>
      </c>
      <c r="B15" s="1" t="s">
        <v>9</v>
      </c>
      <c r="C15" s="1" t="s">
        <v>22</v>
      </c>
      <c r="D15" s="1" t="s">
        <v>12</v>
      </c>
      <c r="E15" s="1" t="s">
        <v>12</v>
      </c>
      <c r="F15" s="207"/>
      <c r="G15" s="207"/>
      <c r="H15" t="str">
        <f t="shared" si="0"/>
        <v>UWY 2021Section C</v>
      </c>
      <c r="Y15" t="s">
        <v>21</v>
      </c>
      <c r="Z15" s="147">
        <v>44561</v>
      </c>
    </row>
    <row r="16" spans="1:26" x14ac:dyDescent="0.25">
      <c r="A16" s="2" t="s">
        <v>33</v>
      </c>
      <c r="B16" s="1" t="s">
        <v>24</v>
      </c>
      <c r="C16" s="2" t="s">
        <v>23</v>
      </c>
      <c r="D16" s="1" t="s">
        <v>25</v>
      </c>
      <c r="E16" s="1" t="s">
        <v>25</v>
      </c>
      <c r="F16" s="207"/>
      <c r="G16" s="207"/>
      <c r="H16" t="str">
        <f t="shared" si="0"/>
        <v>UWY 2021Section T</v>
      </c>
      <c r="Y16" t="s">
        <v>22</v>
      </c>
      <c r="Z16" s="147">
        <v>44561</v>
      </c>
    </row>
    <row r="17" spans="1:26" x14ac:dyDescent="0.25">
      <c r="A17" s="2" t="s">
        <v>34</v>
      </c>
      <c r="B17" s="1" t="s">
        <v>1</v>
      </c>
      <c r="C17" s="1" t="s">
        <v>26</v>
      </c>
      <c r="D17" s="1" t="s">
        <v>2</v>
      </c>
      <c r="E17" s="1" t="s">
        <v>2</v>
      </c>
      <c r="F17" s="207">
        <v>44562</v>
      </c>
      <c r="G17" s="207">
        <v>44926</v>
      </c>
      <c r="H17" t="str">
        <f t="shared" si="0"/>
        <v>UWY 2022Section D</v>
      </c>
      <c r="Y17" t="s">
        <v>23</v>
      </c>
      <c r="Z17" s="147">
        <v>44561</v>
      </c>
    </row>
    <row r="18" spans="1:26" x14ac:dyDescent="0.25">
      <c r="A18" s="2" t="s">
        <v>34</v>
      </c>
      <c r="B18" s="1" t="s">
        <v>4</v>
      </c>
      <c r="C18" s="1" t="s">
        <v>27</v>
      </c>
      <c r="D18" s="1" t="s">
        <v>5</v>
      </c>
      <c r="E18" s="1" t="s">
        <v>5</v>
      </c>
      <c r="F18" s="207"/>
      <c r="G18" s="207"/>
      <c r="H18" t="str">
        <f t="shared" si="0"/>
        <v>UWY 2022Section B</v>
      </c>
      <c r="Y18" t="s">
        <v>26</v>
      </c>
      <c r="Z18" s="147">
        <v>44644</v>
      </c>
    </row>
    <row r="19" spans="1:26" x14ac:dyDescent="0.25">
      <c r="A19" s="2" t="s">
        <v>34</v>
      </c>
      <c r="B19" s="1" t="s">
        <v>4</v>
      </c>
      <c r="C19" s="1" t="s">
        <v>28</v>
      </c>
      <c r="D19" s="1" t="s">
        <v>7</v>
      </c>
      <c r="E19" s="1" t="s">
        <v>7</v>
      </c>
      <c r="F19" s="207"/>
      <c r="G19" s="207"/>
      <c r="H19" t="str">
        <f t="shared" si="0"/>
        <v>UWY 2022Section B</v>
      </c>
      <c r="Y19" t="s">
        <v>27</v>
      </c>
      <c r="Z19" s="147">
        <v>44644</v>
      </c>
    </row>
    <row r="20" spans="1:26" x14ac:dyDescent="0.25">
      <c r="A20" s="2" t="s">
        <v>34</v>
      </c>
      <c r="B20" s="1" t="s">
        <v>9</v>
      </c>
      <c r="C20" s="1" t="s">
        <v>29</v>
      </c>
      <c r="D20" s="1" t="s">
        <v>10</v>
      </c>
      <c r="E20" s="1" t="s">
        <v>10</v>
      </c>
      <c r="F20" s="207"/>
      <c r="G20" s="207"/>
      <c r="H20" t="str">
        <f t="shared" si="0"/>
        <v>UWY 2022Section C</v>
      </c>
      <c r="Y20" t="s">
        <v>28</v>
      </c>
      <c r="Z20" s="147">
        <v>44644</v>
      </c>
    </row>
    <row r="21" spans="1:26" x14ac:dyDescent="0.25">
      <c r="A21" s="2" t="s">
        <v>34</v>
      </c>
      <c r="B21" s="1" t="s">
        <v>9</v>
      </c>
      <c r="C21" s="1" t="s">
        <v>30</v>
      </c>
      <c r="D21" s="1" t="s">
        <v>12</v>
      </c>
      <c r="E21" s="1" t="s">
        <v>12</v>
      </c>
      <c r="F21" s="207"/>
      <c r="G21" s="207"/>
      <c r="H21" t="str">
        <f t="shared" si="0"/>
        <v>UWY 2022Section C</v>
      </c>
      <c r="Y21" t="s">
        <v>29</v>
      </c>
      <c r="Z21" s="147">
        <v>44644</v>
      </c>
    </row>
    <row r="22" spans="1:26" x14ac:dyDescent="0.25">
      <c r="A22" s="2" t="s">
        <v>34</v>
      </c>
      <c r="B22" s="1" t="s">
        <v>24</v>
      </c>
      <c r="C22" s="2" t="s">
        <v>23</v>
      </c>
      <c r="D22" s="1" t="s">
        <v>25</v>
      </c>
      <c r="E22" s="1" t="s">
        <v>25</v>
      </c>
      <c r="F22" s="207"/>
      <c r="G22" s="207"/>
      <c r="H22" t="str">
        <f t="shared" si="0"/>
        <v>UWY 2022Section T</v>
      </c>
      <c r="Y22" t="s">
        <v>30</v>
      </c>
      <c r="Z22" s="147">
        <v>44644</v>
      </c>
    </row>
    <row r="23" spans="1:26" x14ac:dyDescent="0.25">
      <c r="A23" s="2" t="s">
        <v>520</v>
      </c>
      <c r="B23" s="1" t="s">
        <v>1</v>
      </c>
      <c r="C23" s="1" t="s">
        <v>521</v>
      </c>
      <c r="D23" s="1" t="s">
        <v>2</v>
      </c>
      <c r="E23" s="1" t="s">
        <v>2</v>
      </c>
      <c r="F23" s="207">
        <v>44927</v>
      </c>
      <c r="G23" s="207">
        <v>45291</v>
      </c>
      <c r="Y23" t="s">
        <v>521</v>
      </c>
    </row>
    <row r="24" spans="1:26" x14ac:dyDescent="0.25">
      <c r="A24" s="2" t="s">
        <v>520</v>
      </c>
      <c r="B24" s="1" t="s">
        <v>4</v>
      </c>
      <c r="C24" s="1" t="s">
        <v>522</v>
      </c>
      <c r="D24" s="1" t="s">
        <v>5</v>
      </c>
      <c r="E24" s="1" t="s">
        <v>5</v>
      </c>
      <c r="F24" s="207"/>
      <c r="G24" s="207"/>
      <c r="Y24" t="s">
        <v>522</v>
      </c>
    </row>
    <row r="25" spans="1:26" x14ac:dyDescent="0.25">
      <c r="A25" s="2" t="s">
        <v>520</v>
      </c>
      <c r="B25" s="1" t="s">
        <v>4</v>
      </c>
      <c r="C25" s="1" t="s">
        <v>523</v>
      </c>
      <c r="D25" s="1" t="s">
        <v>7</v>
      </c>
      <c r="E25" s="1" t="s">
        <v>7</v>
      </c>
      <c r="F25" s="207"/>
      <c r="G25" s="207"/>
      <c r="Y25" t="s">
        <v>523</v>
      </c>
    </row>
    <row r="26" spans="1:26" x14ac:dyDescent="0.25">
      <c r="A26" s="2" t="s">
        <v>520</v>
      </c>
      <c r="B26" s="1" t="s">
        <v>9</v>
      </c>
      <c r="C26" s="1" t="s">
        <v>524</v>
      </c>
      <c r="D26" s="1" t="s">
        <v>10</v>
      </c>
      <c r="E26" s="1" t="s">
        <v>10</v>
      </c>
      <c r="F26" s="207"/>
      <c r="G26" s="207"/>
      <c r="Y26" t="s">
        <v>524</v>
      </c>
    </row>
    <row r="27" spans="1:26" x14ac:dyDescent="0.25">
      <c r="A27" s="2" t="s">
        <v>520</v>
      </c>
      <c r="B27" s="1" t="s">
        <v>9</v>
      </c>
      <c r="C27" s="1" t="s">
        <v>525</v>
      </c>
      <c r="D27" s="1" t="s">
        <v>12</v>
      </c>
      <c r="E27" s="1" t="s">
        <v>12</v>
      </c>
      <c r="F27" s="207"/>
      <c r="G27" s="207"/>
      <c r="Y27" t="s">
        <v>525</v>
      </c>
    </row>
    <row r="28" spans="1:26" x14ac:dyDescent="0.25">
      <c r="A28" s="2" t="s">
        <v>520</v>
      </c>
      <c r="B28" s="1" t="s">
        <v>24</v>
      </c>
      <c r="C28" s="2" t="s">
        <v>526</v>
      </c>
      <c r="D28" s="1" t="s">
        <v>25</v>
      </c>
      <c r="E28" s="1" t="s">
        <v>25</v>
      </c>
      <c r="F28" s="207"/>
      <c r="G28" s="207"/>
    </row>
  </sheetData>
  <mergeCells count="10">
    <mergeCell ref="F23:F28"/>
    <mergeCell ref="G23:G28"/>
    <mergeCell ref="F17:F22"/>
    <mergeCell ref="G17:G22"/>
    <mergeCell ref="F1:F5"/>
    <mergeCell ref="G1:G5"/>
    <mergeCell ref="F6:F10"/>
    <mergeCell ref="G6:G10"/>
    <mergeCell ref="F11:F16"/>
    <mergeCell ref="G11:G1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71"/>
  <sheetViews>
    <sheetView tabSelected="1" topLeftCell="U1" zoomScale="85" zoomScaleNormal="85" workbookViewId="0">
      <selection activeCell="Y2" sqref="Y2"/>
    </sheetView>
  </sheetViews>
  <sheetFormatPr defaultRowHeight="15" x14ac:dyDescent="0.25"/>
  <cols>
    <col min="1" max="1" width="14.85546875" bestFit="1" customWidth="1"/>
    <col min="2" max="2" width="11.42578125" bestFit="1" customWidth="1"/>
    <col min="3" max="3" width="18.85546875" bestFit="1" customWidth="1"/>
    <col min="5" max="5" width="18.85546875" bestFit="1" customWidth="1"/>
    <col min="6" max="6" width="19.85546875" bestFit="1" customWidth="1"/>
    <col min="7" max="7" width="14" style="115" customWidth="1"/>
    <col min="8" max="9" width="19.140625" style="115" customWidth="1"/>
    <col min="10" max="10" width="18.5703125" style="115" customWidth="1"/>
    <col min="11" max="11" width="18.42578125" style="178" customWidth="1"/>
    <col min="12" max="12" width="15.5703125" style="178" customWidth="1"/>
    <col min="13" max="13" width="29.42578125" style="176" customWidth="1"/>
    <col min="14" max="14" width="29.85546875" customWidth="1"/>
    <col min="15" max="15" width="31.140625" customWidth="1"/>
    <col min="16" max="16" width="21.85546875" customWidth="1"/>
    <col min="17" max="17" width="21.85546875" style="115" customWidth="1"/>
    <col min="18" max="18" width="21.85546875" style="119" customWidth="1"/>
    <col min="19" max="19" width="21.85546875" style="115" customWidth="1"/>
    <col min="20" max="20" width="19.5703125" customWidth="1"/>
    <col min="21" max="21" width="17" customWidth="1"/>
    <col min="22" max="22" width="19.42578125" style="115" customWidth="1"/>
    <col min="23" max="23" width="24.140625" customWidth="1"/>
    <col min="24" max="24" width="24.140625" style="124" customWidth="1"/>
    <col min="25" max="25" width="28.42578125" style="148" customWidth="1"/>
    <col min="26" max="26" width="51.28515625" bestFit="1" customWidth="1"/>
    <col min="27" max="27" width="19.5703125" customWidth="1"/>
    <col min="28" max="28" width="25" bestFit="1" customWidth="1"/>
    <col min="29" max="29" width="26.140625" style="148" bestFit="1" customWidth="1"/>
    <col min="30" max="30" width="10.42578125" bestFit="1" customWidth="1"/>
    <col min="31" max="31" width="13.140625" bestFit="1" customWidth="1"/>
  </cols>
  <sheetData>
    <row r="1" spans="1:29" x14ac:dyDescent="0.25">
      <c r="A1" t="s">
        <v>255</v>
      </c>
      <c r="B1" t="s">
        <v>256</v>
      </c>
      <c r="C1" t="s">
        <v>257</v>
      </c>
      <c r="D1" t="s">
        <v>129</v>
      </c>
      <c r="E1" t="s">
        <v>74</v>
      </c>
      <c r="F1" t="s">
        <v>73</v>
      </c>
      <c r="G1" s="115" t="s">
        <v>260</v>
      </c>
      <c r="H1" s="115" t="s">
        <v>258</v>
      </c>
      <c r="I1" s="115" t="s">
        <v>259</v>
      </c>
      <c r="J1" s="115" t="s">
        <v>261</v>
      </c>
      <c r="K1" s="178" t="s">
        <v>262</v>
      </c>
      <c r="L1" s="178" t="s">
        <v>264</v>
      </c>
      <c r="M1" s="176" t="s">
        <v>38</v>
      </c>
      <c r="N1" t="s">
        <v>39</v>
      </c>
      <c r="O1" t="s">
        <v>40</v>
      </c>
      <c r="P1" t="s">
        <v>41</v>
      </c>
      <c r="Q1" s="115" t="s">
        <v>235</v>
      </c>
      <c r="R1" s="119" t="s">
        <v>236</v>
      </c>
      <c r="S1" s="115" t="s">
        <v>265</v>
      </c>
      <c r="T1" t="s">
        <v>42</v>
      </c>
      <c r="U1" t="s">
        <v>237</v>
      </c>
      <c r="V1" s="115" t="s">
        <v>266</v>
      </c>
      <c r="W1" t="s">
        <v>43</v>
      </c>
      <c r="X1" s="124" t="s">
        <v>267</v>
      </c>
      <c r="Y1" s="148" t="s">
        <v>271</v>
      </c>
      <c r="Z1" t="s">
        <v>263</v>
      </c>
      <c r="AA1" t="s">
        <v>298</v>
      </c>
      <c r="AB1" t="s">
        <v>299</v>
      </c>
      <c r="AC1" s="148" t="s">
        <v>337</v>
      </c>
    </row>
    <row r="2" spans="1:29" x14ac:dyDescent="0.25">
      <c r="A2" t="s">
        <v>527</v>
      </c>
      <c r="B2" t="s">
        <v>46</v>
      </c>
      <c r="C2">
        <v>2023</v>
      </c>
      <c r="D2" t="s">
        <v>4</v>
      </c>
      <c r="E2" t="s">
        <v>522</v>
      </c>
      <c r="F2" t="s">
        <v>5</v>
      </c>
      <c r="G2" s="116">
        <f>+IF(Recepcion!H28&lt;0,Recepcion!H28,"")</f>
        <v>-1271.1906800000004</v>
      </c>
      <c r="H2" s="116" t="str">
        <f t="shared" ref="H2:H3" si="0">+IF((O2+P2)&lt;0,"",TEXT((O2+P2),"#,0.00"))</f>
        <v/>
      </c>
      <c r="I2" s="116" t="str">
        <f>+IF(Recepcion!K28&lt;0,"",TEXT(Recepcion!K28,"#,0.00"))</f>
        <v/>
      </c>
      <c r="J2" s="116" t="b">
        <f>+IF(Recepcion!H28&gt;0, TEXT(Recepcion!H28,"#,0.00"))</f>
        <v>0</v>
      </c>
      <c r="K2" s="178">
        <f>+IF(Recepcion!M28&gt;0,"",Recepcion!M28)</f>
        <v>-699.15487400000029</v>
      </c>
      <c r="L2" s="178">
        <f>+IF(Recepcion!K28&gt;0,"",Recepcion!K28)</f>
        <v>-12.711906800000005</v>
      </c>
      <c r="M2" s="176" t="str">
        <f>TEXT(Recepcion!G28,"#,0.00")</f>
        <v>2,760,000.00</v>
      </c>
      <c r="N2" t="str">
        <f>TEXT(Recepcion!H28,"#,0.00")</f>
        <v>-1,271.19</v>
      </c>
      <c r="O2" t="str">
        <f>TEXT((Recepcion!I28),"#,0.00")</f>
        <v>-572.04</v>
      </c>
      <c r="P2" t="str">
        <f>TEXT(Recepcion!J28,"#,0.00")</f>
        <v>-127.12</v>
      </c>
      <c r="Q2" s="117">
        <f t="shared" ref="Q2:Q3" si="1">+P2+O2</f>
        <v>-699.16</v>
      </c>
      <c r="R2" s="136">
        <f t="shared" ref="R2:R3" si="2">(Q2/N2)</f>
        <v>0.55000432665455201</v>
      </c>
      <c r="S2" s="134" t="str">
        <f t="shared" ref="S2:S3" si="3">+IF(R2&lt;0,"Mirar cuadro abajo",TEXT(R2,"0.000%"))</f>
        <v>55.000%</v>
      </c>
      <c r="T2" s="111">
        <f>Recepcion!K28</f>
        <v>-12.711906800000005</v>
      </c>
      <c r="U2" s="96">
        <f t="shared" ref="U2:U3" si="4">(T2/N2)</f>
        <v>1.0000005349318358E-2</v>
      </c>
      <c r="V2" s="118" t="str">
        <f t="shared" ref="V2:V3" si="5">(IF(U2&lt;0,"Mirar cuadro abajo",TEXT(U2,"0.00%")))</f>
        <v>1.00%</v>
      </c>
      <c r="W2" t="str">
        <f t="shared" ref="W2:W3" si="6">TEXT((N2-(Q2+T2)),"#,0.00")</f>
        <v>-559.32</v>
      </c>
      <c r="X2" s="124" t="e">
        <f>IF(E3&lt;&gt;"",VLOOKUP(E2,'Base de Datos'!$Y$3:$Z$22,2,FALSE),"")</f>
        <v>#N/A</v>
      </c>
      <c r="Y2" s="148">
        <f ca="1">+('Base de Datos'!$W$6)+90</f>
        <v>45291</v>
      </c>
      <c r="Z2" s="149" t="s">
        <v>339</v>
      </c>
      <c r="AA2" t="e">
        <f>TEXT(#REF!,"0,000%")</f>
        <v>#REF!</v>
      </c>
      <c r="AB2" t="e">
        <f>TEXT(#REF!,"0,000%")</f>
        <v>#REF!</v>
      </c>
      <c r="AC2" s="148" t="e">
        <f>TEXT(#REF!,"mmmm")</f>
        <v>#REF!</v>
      </c>
    </row>
    <row r="3" spans="1:29" x14ac:dyDescent="0.25">
      <c r="A3" t="s">
        <v>527</v>
      </c>
      <c r="B3" t="s">
        <v>46</v>
      </c>
      <c r="C3">
        <v>2023</v>
      </c>
      <c r="D3" t="s">
        <v>4</v>
      </c>
      <c r="E3" t="s">
        <v>523</v>
      </c>
      <c r="F3" t="s">
        <v>7</v>
      </c>
      <c r="G3" s="116" t="str">
        <f>+IF(Recepcion!H29&lt;0,Recepcion!H29,"")</f>
        <v/>
      </c>
      <c r="H3" s="116" t="str">
        <f t="shared" si="0"/>
        <v>0.00</v>
      </c>
      <c r="I3" s="116" t="str">
        <f>+IF(Recepcion!K29&lt;0,"",TEXT(Recepcion!K29,"#,0.00"))</f>
        <v>0.00</v>
      </c>
      <c r="J3" s="116" t="b">
        <f>+IF(Recepcion!H29&gt;0, TEXT(Recepcion!H29,"#,0.00"))</f>
        <v>0</v>
      </c>
      <c r="K3" s="178">
        <f>+IF(Recepcion!M29&gt;0,"",Recepcion!M29)</f>
        <v>0</v>
      </c>
      <c r="L3" s="178">
        <f>+IF(Recepcion!K29&gt;0,"",Recepcion!K29)</f>
        <v>0</v>
      </c>
      <c r="M3" s="176" t="str">
        <f>TEXT(Recepcion!G29,"#,0.00")</f>
        <v>0.00</v>
      </c>
      <c r="N3" t="str">
        <f>TEXT(Recepcion!H29,"#,0.00")</f>
        <v>0.00</v>
      </c>
      <c r="O3" t="str">
        <f>TEXT((Recepcion!I29),"#,0.00")</f>
        <v>0.00</v>
      </c>
      <c r="P3" t="str">
        <f>TEXT(Recepcion!J29,"#,0.00")</f>
        <v>0.00</v>
      </c>
      <c r="Q3" s="117">
        <f t="shared" si="1"/>
        <v>0</v>
      </c>
      <c r="R3" s="136" t="e">
        <f t="shared" si="2"/>
        <v>#DIV/0!</v>
      </c>
      <c r="S3" s="134" t="e">
        <f t="shared" si="3"/>
        <v>#DIV/0!</v>
      </c>
      <c r="T3" s="111">
        <f>Recepcion!K29</f>
        <v>0</v>
      </c>
      <c r="U3" s="96" t="e">
        <f t="shared" si="4"/>
        <v>#DIV/0!</v>
      </c>
      <c r="V3" s="118" t="e">
        <f t="shared" si="5"/>
        <v>#DIV/0!</v>
      </c>
      <c r="W3" t="str">
        <f t="shared" si="6"/>
        <v>0.00</v>
      </c>
      <c r="X3" s="124" t="e">
        <f>IF(E4&lt;&gt;"",VLOOKUP(E3,'Base de Datos'!$Y$3:$Z$22,2,FALSE),"")</f>
        <v>#N/A</v>
      </c>
      <c r="Y3" s="148">
        <f ca="1">+('Base de Datos'!$W$6)+90</f>
        <v>45291</v>
      </c>
      <c r="Z3" s="149"/>
      <c r="AA3" t="e">
        <f>TEXT(#REF!,"0,000%")</f>
        <v>#REF!</v>
      </c>
      <c r="AB3" t="e">
        <f>TEXT(#REF!,"0,000%")</f>
        <v>#REF!</v>
      </c>
      <c r="AC3" s="148" t="e">
        <f>TEXT(#REF!,"mmmm")</f>
        <v>#REF!</v>
      </c>
    </row>
    <row r="4" spans="1:29" x14ac:dyDescent="0.25">
      <c r="A4" t="s">
        <v>527</v>
      </c>
      <c r="B4" t="s">
        <v>46</v>
      </c>
      <c r="C4">
        <v>2023</v>
      </c>
      <c r="D4" t="s">
        <v>9</v>
      </c>
      <c r="E4" t="s">
        <v>524</v>
      </c>
      <c r="F4" t="s">
        <v>10</v>
      </c>
      <c r="G4" s="116" t="str">
        <f>+IF(Recepcion!H30&lt;0,Recepcion!H30,"")</f>
        <v/>
      </c>
      <c r="H4" s="116" t="str">
        <f t="shared" ref="H4:H5" si="7">+IF((O4+P4)&lt;0,"",TEXT((O4+P4),"#,0.00"))</f>
        <v>0.00</v>
      </c>
      <c r="I4" s="116" t="str">
        <f>+IF(Recepcion!K30&lt;0,"",TEXT(Recepcion!K30,"#,0.00"))</f>
        <v>0.00</v>
      </c>
      <c r="J4" s="116" t="b">
        <f>+IF(Recepcion!H30&gt;0, TEXT(Recepcion!H30,"#,0.00"))</f>
        <v>0</v>
      </c>
      <c r="K4" s="178">
        <f>+IF(Recepcion!M30&gt;0,"",Recepcion!M30)</f>
        <v>0</v>
      </c>
      <c r="L4" s="178">
        <f>+IF(Recepcion!K30&gt;0,"",Recepcion!K30)</f>
        <v>0</v>
      </c>
      <c r="M4" s="176" t="str">
        <f>TEXT(Recepcion!G30,"#,0.00")</f>
        <v>0.00</v>
      </c>
      <c r="N4" t="str">
        <f>TEXT(Recepcion!H30,"#,0.00")</f>
        <v>0.00</v>
      </c>
      <c r="O4" t="str">
        <f>TEXT((Recepcion!I30),"#,0.00")</f>
        <v>0.00</v>
      </c>
      <c r="P4" t="str">
        <f>TEXT(Recepcion!J30,"#,0.00")</f>
        <v>0.00</v>
      </c>
      <c r="Q4" s="117">
        <f t="shared" ref="Q4:Q5" si="8">+P4+O4</f>
        <v>0</v>
      </c>
      <c r="R4" s="136" t="e">
        <f t="shared" ref="R4:R5" si="9">(Q4/N4)</f>
        <v>#DIV/0!</v>
      </c>
      <c r="S4" s="134" t="e">
        <f t="shared" ref="S4:S5" si="10">+IF(R4&lt;0,"Mirar cuadro abajo",TEXT(R4,"0.000%"))</f>
        <v>#DIV/0!</v>
      </c>
      <c r="T4" s="111">
        <f>Recepcion!K30</f>
        <v>0</v>
      </c>
      <c r="U4" s="96" t="e">
        <f t="shared" ref="U4:U5" si="11">(T4/N4)</f>
        <v>#DIV/0!</v>
      </c>
      <c r="V4" s="118" t="e">
        <f t="shared" ref="V4:V5" si="12">(IF(U4&lt;0,"Mirar cuadro abajo",TEXT(U4,"0.00%")))</f>
        <v>#DIV/0!</v>
      </c>
      <c r="W4" t="str">
        <f t="shared" ref="W4:W5" si="13">TEXT((N4-(Q4+T4)),"#,0.00")</f>
        <v>0.00</v>
      </c>
      <c r="X4" s="124" t="e">
        <f>IF(E5&lt;&gt;"",VLOOKUP(E4,'Base de Datos'!$Y$3:$Z$22,2,FALSE),"")</f>
        <v>#N/A</v>
      </c>
      <c r="Y4" s="148">
        <f ca="1">+('Base de Datos'!$W$6)+90</f>
        <v>45291</v>
      </c>
      <c r="Z4" s="149"/>
      <c r="AA4" t="e">
        <f>TEXT(#REF!,"0,000%")</f>
        <v>#REF!</v>
      </c>
      <c r="AB4" t="e">
        <f>TEXT(#REF!,"0,000%")</f>
        <v>#REF!</v>
      </c>
      <c r="AC4" s="148" t="e">
        <f>TEXT(#REF!,"mmmm")</f>
        <v>#REF!</v>
      </c>
    </row>
    <row r="5" spans="1:29" x14ac:dyDescent="0.25">
      <c r="A5" t="s">
        <v>527</v>
      </c>
      <c r="B5" t="s">
        <v>46</v>
      </c>
      <c r="C5">
        <v>2023</v>
      </c>
      <c r="D5" t="s">
        <v>9</v>
      </c>
      <c r="E5" t="s">
        <v>525</v>
      </c>
      <c r="F5" t="s">
        <v>12</v>
      </c>
      <c r="G5" s="116" t="str">
        <f>+IF(Recepcion!H31&lt;0,Recepcion!H31,"")</f>
        <v/>
      </c>
      <c r="H5" s="116" t="str">
        <f t="shared" si="7"/>
        <v>0.00</v>
      </c>
      <c r="I5" s="116" t="str">
        <f>+IF(Recepcion!K31&lt;0,"",TEXT(Recepcion!K31,"#,0.00"))</f>
        <v>0.00</v>
      </c>
      <c r="J5" s="116" t="b">
        <f>+IF(Recepcion!H31&gt;0, TEXT(Recepcion!H31,"#,0.00"))</f>
        <v>0</v>
      </c>
      <c r="K5" s="178">
        <f>+IF(Recepcion!M31&gt;0,"",Recepcion!M31)</f>
        <v>0</v>
      </c>
      <c r="L5" s="178">
        <f>+IF(Recepcion!K31&gt;0,"",Recepcion!K31)</f>
        <v>0</v>
      </c>
      <c r="M5" s="176" t="str">
        <f>TEXT(Recepcion!G31,"#,0.00")</f>
        <v>0.00</v>
      </c>
      <c r="N5" t="str">
        <f>TEXT(Recepcion!H31,"#,0.00")</f>
        <v>0.00</v>
      </c>
      <c r="O5" t="str">
        <f>TEXT((Recepcion!I31),"#,0.00")</f>
        <v>0.00</v>
      </c>
      <c r="P5" t="str">
        <f>TEXT(Recepcion!J31,"#,0.00")</f>
        <v>0.00</v>
      </c>
      <c r="Q5" s="117">
        <f t="shared" si="8"/>
        <v>0</v>
      </c>
      <c r="R5" s="136" t="e">
        <f t="shared" si="9"/>
        <v>#DIV/0!</v>
      </c>
      <c r="S5" s="134" t="e">
        <f t="shared" si="10"/>
        <v>#DIV/0!</v>
      </c>
      <c r="T5" s="111">
        <f>Recepcion!K31</f>
        <v>0</v>
      </c>
      <c r="U5" s="96" t="e">
        <f t="shared" si="11"/>
        <v>#DIV/0!</v>
      </c>
      <c r="V5" s="118" t="e">
        <f t="shared" si="12"/>
        <v>#DIV/0!</v>
      </c>
      <c r="W5" t="str">
        <f t="shared" si="13"/>
        <v>0.00</v>
      </c>
      <c r="X5" s="124" t="e">
        <f>IF(E6&lt;&gt;"",VLOOKUP(E5,'Base de Datos'!$Y$3:$Z$22,2,FALSE),"")</f>
        <v>#N/A</v>
      </c>
      <c r="Y5" s="148">
        <f ca="1">+('Base de Datos'!$W$6)+90</f>
        <v>45291</v>
      </c>
      <c r="Z5" s="149"/>
      <c r="AA5" t="e">
        <f>TEXT(#REF!,"0,000%")</f>
        <v>#REF!</v>
      </c>
      <c r="AB5" t="e">
        <f>TEXT(#REF!,"0,000%")</f>
        <v>#REF!</v>
      </c>
      <c r="AC5" s="148" t="e">
        <f>TEXT(#REF!,"mmmm")</f>
        <v>#REF!</v>
      </c>
    </row>
    <row r="6" spans="1:29" x14ac:dyDescent="0.25">
      <c r="A6" t="s">
        <v>527</v>
      </c>
      <c r="B6" t="s">
        <v>46</v>
      </c>
      <c r="C6">
        <v>2023</v>
      </c>
      <c r="D6" t="s">
        <v>4</v>
      </c>
      <c r="E6" t="s">
        <v>522</v>
      </c>
      <c r="F6" t="s">
        <v>5</v>
      </c>
      <c r="G6" s="116" t="str">
        <f>+IF(Recepcion!H32&lt;0,Recepcion!H32,"")</f>
        <v/>
      </c>
      <c r="H6" s="116" t="str">
        <f t="shared" ref="H6:H7" si="14">+IF((O6+P6)&lt;0,"",TEXT((O6+P6),"#,0.00"))</f>
        <v>0.00</v>
      </c>
      <c r="I6" s="116" t="str">
        <f>+IF(Recepcion!K32&lt;0,"",TEXT(Recepcion!K32,"#,0.00"))</f>
        <v>0.00</v>
      </c>
      <c r="J6" s="116" t="b">
        <f>+IF(Recepcion!H32&gt;0, TEXT(Recepcion!H32,"#,0.00"))</f>
        <v>0</v>
      </c>
      <c r="K6" s="178">
        <f>+IF(Recepcion!M32&gt;0,"",Recepcion!M32)</f>
        <v>0</v>
      </c>
      <c r="L6" s="178">
        <f>+IF(Recepcion!K32&gt;0,"",Recepcion!K32)</f>
        <v>0</v>
      </c>
      <c r="M6" s="176" t="str">
        <f>TEXT(Recepcion!G32,"#,0.00")</f>
        <v>0.00</v>
      </c>
      <c r="N6" t="str">
        <f>TEXT(Recepcion!H32,"#,0.00")</f>
        <v>0.00</v>
      </c>
      <c r="O6" t="str">
        <f>TEXT((Recepcion!I32),"#,0.00")</f>
        <v>0.00</v>
      </c>
      <c r="P6" t="str">
        <f>TEXT(Recepcion!J32,"#,0.00")</f>
        <v>0.00</v>
      </c>
      <c r="Q6" s="117">
        <f t="shared" ref="Q6:Q7" si="15">+P6+O6</f>
        <v>0</v>
      </c>
      <c r="R6" s="136" t="e">
        <f t="shared" ref="R6:R7" si="16">(Q6/N6)</f>
        <v>#DIV/0!</v>
      </c>
      <c r="S6" s="134" t="e">
        <f t="shared" ref="S6:S7" si="17">+IF(R6&lt;0,"Mirar cuadro abajo",TEXT(R6,"0.000%"))</f>
        <v>#DIV/0!</v>
      </c>
      <c r="T6" s="111">
        <f>Recepcion!K32</f>
        <v>0</v>
      </c>
      <c r="U6" s="96" t="e">
        <f t="shared" ref="U6:U7" si="18">(T6/N6)</f>
        <v>#DIV/0!</v>
      </c>
      <c r="V6" s="118" t="e">
        <f t="shared" ref="V6:V7" si="19">(IF(U6&lt;0,"Mirar cuadro abajo",TEXT(U6,"0.00%")))</f>
        <v>#DIV/0!</v>
      </c>
      <c r="W6" t="str">
        <f t="shared" ref="W6:W7" si="20">TEXT((N6-(Q6+T6)),"#,0.00")</f>
        <v>0.00</v>
      </c>
      <c r="X6" s="124" t="str">
        <f>IF(E7&lt;&gt;"",VLOOKUP(E6,'Base de Datos'!$Y$3:$Z$22,2,FALSE),"")</f>
        <v/>
      </c>
      <c r="Y6" s="148">
        <f ca="1">+('Base de Datos'!$W$6)+90</f>
        <v>45291</v>
      </c>
      <c r="Z6" s="149"/>
      <c r="AA6" t="e">
        <f>TEXT(#REF!,"0,000%")</f>
        <v>#REF!</v>
      </c>
      <c r="AB6" t="e">
        <f>TEXT(#REF!,"0,000%")</f>
        <v>#REF!</v>
      </c>
      <c r="AC6" s="148" t="e">
        <f>TEXT(#REF!,"mmmm")</f>
        <v>#REF!</v>
      </c>
    </row>
    <row r="7" spans="1:29" x14ac:dyDescent="0.25">
      <c r="A7" t="s">
        <v>332</v>
      </c>
      <c r="B7" t="s">
        <v>332</v>
      </c>
      <c r="C7" t="s">
        <v>332</v>
      </c>
      <c r="D7" t="s">
        <v>332</v>
      </c>
      <c r="E7" t="s">
        <v>332</v>
      </c>
      <c r="F7" t="s">
        <v>332</v>
      </c>
      <c r="G7" s="116" t="str">
        <f>+IF(Recepcion!H33&lt;0,Recepcion!H33,"")</f>
        <v/>
      </c>
      <c r="H7" s="116" t="str">
        <f t="shared" si="14"/>
        <v>0.00</v>
      </c>
      <c r="I7" s="116" t="str">
        <f>+IF(Recepcion!K33&lt;0,"",TEXT(Recepcion!K33,"#,0.00"))</f>
        <v>0.00</v>
      </c>
      <c r="J7" s="116" t="b">
        <f>+IF(Recepcion!H33&gt;0, TEXT(Recepcion!H33,"#,0.00"))</f>
        <v>0</v>
      </c>
      <c r="K7" s="178">
        <f>+IF(Recepcion!M33&gt;0,"",Recepcion!M33)</f>
        <v>0</v>
      </c>
      <c r="L7" s="178">
        <f>+IF(Recepcion!K33&gt;0,"",Recepcion!K33)</f>
        <v>0</v>
      </c>
      <c r="M7" s="176" t="str">
        <f>TEXT(Recepcion!G33,"#,0.00")</f>
        <v>0.00</v>
      </c>
      <c r="N7" t="str">
        <f>TEXT(Recepcion!H33,"#,0.00")</f>
        <v>0.00</v>
      </c>
      <c r="O7" t="str">
        <f>TEXT((Recepcion!I33),"#,0.00")</f>
        <v>0.00</v>
      </c>
      <c r="P7" t="str">
        <f>TEXT(Recepcion!J33,"#,0.00")</f>
        <v>0.00</v>
      </c>
      <c r="Q7" s="117">
        <f t="shared" si="15"/>
        <v>0</v>
      </c>
      <c r="R7" s="136" t="e">
        <f t="shared" si="16"/>
        <v>#DIV/0!</v>
      </c>
      <c r="S7" s="134" t="e">
        <f t="shared" si="17"/>
        <v>#DIV/0!</v>
      </c>
      <c r="T7" s="111">
        <f>Recepcion!K33</f>
        <v>0</v>
      </c>
      <c r="U7" s="96" t="e">
        <f t="shared" si="18"/>
        <v>#DIV/0!</v>
      </c>
      <c r="V7" s="118" t="e">
        <f t="shared" si="19"/>
        <v>#DIV/0!</v>
      </c>
      <c r="W7" t="str">
        <f t="shared" si="20"/>
        <v>0.00</v>
      </c>
      <c r="X7" s="124" t="e">
        <f>IF(E8&lt;&gt;"",VLOOKUP(E7,'Base de Datos'!$Y$3:$Z$22,2,FALSE),"")</f>
        <v>#N/A</v>
      </c>
      <c r="Y7" s="148">
        <f ca="1">+('Base de Datos'!$W$6)+90</f>
        <v>45291</v>
      </c>
      <c r="Z7" s="149"/>
      <c r="AA7" t="e">
        <f>TEXT(#REF!,"0,000%")</f>
        <v>#REF!</v>
      </c>
      <c r="AB7" t="e">
        <f>TEXT(#REF!,"0,000%")</f>
        <v>#REF!</v>
      </c>
      <c r="AC7" s="148" t="e">
        <f>TEXT(#REF!,"mmmm")</f>
        <v>#REF!</v>
      </c>
    </row>
    <row r="8" spans="1:29" x14ac:dyDescent="0.25">
      <c r="A8" t="s">
        <v>527</v>
      </c>
      <c r="B8" t="s">
        <v>46</v>
      </c>
      <c r="C8">
        <v>2023</v>
      </c>
      <c r="D8" t="s">
        <v>1</v>
      </c>
      <c r="E8" t="s">
        <v>521</v>
      </c>
      <c r="F8" t="s">
        <v>2</v>
      </c>
      <c r="G8" s="116" t="str">
        <f>+IF(Recepcion!H34&lt;0,Recepcion!H34,"")</f>
        <v/>
      </c>
      <c r="H8" s="116" t="str">
        <f t="shared" ref="H8:H9" si="21">+IF((O8+P8)&lt;0,"",TEXT((O8+P8),"#,0.00"))</f>
        <v>0.00</v>
      </c>
      <c r="I8" s="116" t="str">
        <f>+IF(Recepcion!K34&lt;0,"",TEXT(Recepcion!K34,"#,0.00"))</f>
        <v>0.00</v>
      </c>
      <c r="J8" s="116" t="b">
        <f>+IF(Recepcion!H34&gt;0, TEXT(Recepcion!H34,"#,0.00"))</f>
        <v>0</v>
      </c>
      <c r="K8" s="178">
        <f>+IF(Recepcion!M34&gt;0,"",Recepcion!M34)</f>
        <v>0</v>
      </c>
      <c r="L8" s="178">
        <f>+IF(Recepcion!K34&gt;0,"",Recepcion!K34)</f>
        <v>0</v>
      </c>
      <c r="M8" s="176" t="str">
        <f>TEXT(Recepcion!G34,"#,0.00")</f>
        <v>0.00</v>
      </c>
      <c r="N8" t="str">
        <f>TEXT(Recepcion!H34,"#,0.00")</f>
        <v>0.00</v>
      </c>
      <c r="O8" t="str">
        <f>TEXT((Recepcion!I34),"#,0.00")</f>
        <v>0.00</v>
      </c>
      <c r="P8" t="str">
        <f>TEXT(Recepcion!J34,"#,0.00")</f>
        <v>0.00</v>
      </c>
      <c r="Q8" s="117">
        <f t="shared" ref="Q8:Q9" si="22">+P8+O8</f>
        <v>0</v>
      </c>
      <c r="R8" s="136" t="e">
        <f>(Q8/N8)</f>
        <v>#DIV/0!</v>
      </c>
      <c r="S8" s="134" t="e">
        <f t="shared" ref="S8:S9" si="23">+IF(R8&lt;0,"Mirar cuadro abajo",TEXT(R8,"0.000%"))</f>
        <v>#DIV/0!</v>
      </c>
      <c r="T8" s="111">
        <f>Recepcion!K34</f>
        <v>0</v>
      </c>
      <c r="U8" s="96" t="e">
        <f t="shared" ref="U8:U9" si="24">(T8/N8)</f>
        <v>#DIV/0!</v>
      </c>
      <c r="V8" s="118" t="e">
        <f t="shared" ref="V8:V9" si="25">(IF(U8&lt;0,"Mirar cuadro abajo",TEXT(U8,"0.00%")))</f>
        <v>#DIV/0!</v>
      </c>
      <c r="W8" t="str">
        <f t="shared" ref="W8:W9" si="26">TEXT((N8-(Q8+T8)),"#,0.00")</f>
        <v>0.00</v>
      </c>
      <c r="X8" s="124" t="str">
        <f>IF(E9&lt;&gt;"",VLOOKUP(E8,'Base de Datos'!$Y$3:$Z$22,2,FALSE),"")</f>
        <v/>
      </c>
      <c r="Y8" s="148">
        <f ca="1">+('Base de Datos'!$W$6)+90</f>
        <v>45291</v>
      </c>
      <c r="Z8" s="149"/>
      <c r="AA8" t="e">
        <f>TEXT(#REF!,"0,000%")</f>
        <v>#REF!</v>
      </c>
      <c r="AB8" t="e">
        <f>TEXT(#REF!,"0,000%")</f>
        <v>#REF!</v>
      </c>
      <c r="AC8" s="148" t="e">
        <f>TEXT(#REF!,"mmmm")</f>
        <v>#REF!</v>
      </c>
    </row>
    <row r="9" spans="1:29" x14ac:dyDescent="0.25">
      <c r="A9" t="s">
        <v>332</v>
      </c>
      <c r="B9" t="s">
        <v>332</v>
      </c>
      <c r="C9" t="s">
        <v>332</v>
      </c>
      <c r="D9" t="s">
        <v>332</v>
      </c>
      <c r="E9" t="s">
        <v>332</v>
      </c>
      <c r="F9" t="s">
        <v>332</v>
      </c>
      <c r="G9" s="116" t="str">
        <f>+IF(Recepcion!H35&lt;0,Recepcion!H35,"")</f>
        <v/>
      </c>
      <c r="H9" s="116" t="str">
        <f t="shared" si="21"/>
        <v>0.00</v>
      </c>
      <c r="I9" s="116" t="str">
        <f>+IF(Recepcion!K35&lt;0,"",TEXT(Recepcion!K35,"#,0.00"))</f>
        <v>0.00</v>
      </c>
      <c r="J9" s="116" t="b">
        <f>+IF(Recepcion!H35&gt;0, TEXT(Recepcion!H35,"#,0.00"))</f>
        <v>0</v>
      </c>
      <c r="K9" s="178">
        <f>+IF(Recepcion!M35&gt;0,"",Recepcion!M35)</f>
        <v>0</v>
      </c>
      <c r="L9" s="178">
        <f>+IF(Recepcion!K35&gt;0,"",Recepcion!K35)</f>
        <v>0</v>
      </c>
      <c r="M9" s="176" t="str">
        <f>TEXT(Recepcion!G35,"#,0.00")</f>
        <v>0.00</v>
      </c>
      <c r="N9" t="str">
        <f>TEXT(Recepcion!H35,"#,0.00")</f>
        <v>0.00</v>
      </c>
      <c r="O9" t="str">
        <f>TEXT((Recepcion!I35),"#,0.00")</f>
        <v>0.00</v>
      </c>
      <c r="P9" t="str">
        <f>TEXT(Recepcion!J35,"#,0.00")</f>
        <v>0.00</v>
      </c>
      <c r="Q9" s="117">
        <f t="shared" si="22"/>
        <v>0</v>
      </c>
      <c r="R9" s="136" t="e">
        <f t="shared" ref="R9" si="27">(Q9/N9)</f>
        <v>#DIV/0!</v>
      </c>
      <c r="S9" s="134" t="e">
        <f t="shared" si="23"/>
        <v>#DIV/0!</v>
      </c>
      <c r="T9" s="111">
        <f>Recepcion!K35</f>
        <v>0</v>
      </c>
      <c r="U9" s="96" t="e">
        <f t="shared" si="24"/>
        <v>#DIV/0!</v>
      </c>
      <c r="V9" s="118" t="e">
        <f t="shared" si="25"/>
        <v>#DIV/0!</v>
      </c>
      <c r="W9" t="str">
        <f t="shared" si="26"/>
        <v>0.00</v>
      </c>
      <c r="X9" s="124" t="e">
        <f>IF(E10&lt;&gt;"",VLOOKUP(E9,'Base de Datos'!$Y$3:$Z$22,2,FALSE),"")</f>
        <v>#N/A</v>
      </c>
      <c r="Y9" s="148">
        <f ca="1">+('Base de Datos'!$W$6)+90</f>
        <v>45291</v>
      </c>
      <c r="Z9" s="149"/>
      <c r="AA9" t="e">
        <f>TEXT(#REF!,"0,000%")</f>
        <v>#REF!</v>
      </c>
      <c r="AB9" t="e">
        <f>TEXT(#REF!,"0,000%")</f>
        <v>#REF!</v>
      </c>
      <c r="AC9" s="148" t="e">
        <f>TEXT(#REF!,"mmmm")</f>
        <v>#REF!</v>
      </c>
    </row>
    <row r="10" spans="1:29" x14ac:dyDescent="0.25">
      <c r="A10" t="s">
        <v>335</v>
      </c>
      <c r="B10" t="s">
        <v>46</v>
      </c>
      <c r="C10">
        <v>2023</v>
      </c>
      <c r="D10" t="s">
        <v>9</v>
      </c>
      <c r="E10" t="s">
        <v>29</v>
      </c>
      <c r="F10" t="s">
        <v>10</v>
      </c>
      <c r="G10" s="116" t="str">
        <f>+IF(Recepcion!H36&lt;0,Recepcion!H36,"")</f>
        <v/>
      </c>
      <c r="H10" s="116" t="str">
        <f t="shared" ref="H10:H11" si="28">+IF((O10+P10)&lt;0,"",TEXT((O10+P10),"#,0.00"))</f>
        <v>5,049.25</v>
      </c>
      <c r="I10" s="116" t="str">
        <f>+IF(Recepcion!K36&lt;0,"",TEXT(Recepcion!K36,"#,0.00"))</f>
        <v>159.75</v>
      </c>
      <c r="J10" s="116" t="str">
        <f>+IF(Recepcion!H36&gt;0, TEXT(Recepcion!H36,"#,0.00"))</f>
        <v>15,974.63</v>
      </c>
      <c r="K10" s="178" t="str">
        <f>+IF(Recepcion!M36&gt;0,"",Recepcion!M36)</f>
        <v/>
      </c>
      <c r="L10" s="178" t="str">
        <f>+IF(Recepcion!K36&gt;0,"",Recepcion!K36)</f>
        <v/>
      </c>
      <c r="M10" s="176" t="str">
        <f>TEXT(Recepcion!G36,"#,0.00")</f>
        <v>1,411,911.56</v>
      </c>
      <c r="N10" t="str">
        <f>TEXT(Recepcion!H36,"#,0.00")</f>
        <v>15,974.63</v>
      </c>
      <c r="O10" t="str">
        <f>TEXT((Recepcion!I36),"#,0.00")</f>
        <v>3,611.53</v>
      </c>
      <c r="P10" t="str">
        <f>TEXT(Recepcion!J36,"#,0.00")</f>
        <v>1,437.72</v>
      </c>
      <c r="Q10" s="117">
        <f t="shared" ref="Q10:Q11" si="29">+P10+O10</f>
        <v>5049.25</v>
      </c>
      <c r="R10" s="136">
        <f>(Q10/N10)</f>
        <v>0.31607930825314889</v>
      </c>
      <c r="S10" s="134" t="str">
        <f t="shared" ref="S10:S35" si="30">+IF(R10&lt;0,"Mirar cuadro abajo",TEXT(R10,"0.000%"))</f>
        <v>31.608%</v>
      </c>
      <c r="T10" s="111">
        <f>Recepcion!K36</f>
        <v>159.74629947715889</v>
      </c>
      <c r="U10" s="96">
        <f t="shared" ref="U10:U11" si="31">(T10/N10)</f>
        <v>9.9999999672705335E-3</v>
      </c>
      <c r="V10" s="118" t="str">
        <f t="shared" ref="V10:V35" si="32">(IF(U10&lt;0,"Mirar cuadro abajo",TEXT(U10,"0.00%")))</f>
        <v>1.00%</v>
      </c>
      <c r="W10" t="str">
        <f t="shared" ref="W10:W11" si="33">TEXT((N10-(Q10+T10)),"#,0.00")</f>
        <v>10,765.63</v>
      </c>
      <c r="X10" s="124">
        <f>IF(E11&lt;&gt;"",VLOOKUP(E10,'Base de Datos'!$Y$3:$Z$22,2,FALSE),"")</f>
        <v>44644</v>
      </c>
      <c r="Y10" s="148">
        <f ca="1">+('Base de Datos'!$W$6)+90</f>
        <v>45291</v>
      </c>
      <c r="Z10" s="149" t="s">
        <v>339</v>
      </c>
      <c r="AA10" t="e">
        <f>TEXT(#REF!,"0,000%")</f>
        <v>#REF!</v>
      </c>
      <c r="AB10" t="e">
        <f>TEXT(#REF!,"0,000%")</f>
        <v>#REF!</v>
      </c>
      <c r="AC10" s="148" t="e">
        <f>TEXT(#REF!,"mmmm")</f>
        <v>#REF!</v>
      </c>
    </row>
    <row r="11" spans="1:29" x14ac:dyDescent="0.25">
      <c r="A11" t="s">
        <v>335</v>
      </c>
      <c r="B11" t="s">
        <v>46</v>
      </c>
      <c r="C11">
        <v>2023</v>
      </c>
      <c r="D11" t="s">
        <v>9</v>
      </c>
      <c r="E11" t="s">
        <v>30</v>
      </c>
      <c r="F11" t="s">
        <v>12</v>
      </c>
      <c r="G11" s="116" t="str">
        <f>+IF(Recepcion!H37&lt;0,Recepcion!H37,"")</f>
        <v/>
      </c>
      <c r="H11" s="116" t="str">
        <f t="shared" si="28"/>
        <v>0.00</v>
      </c>
      <c r="I11" s="116" t="str">
        <f>+IF(Recepcion!K37&lt;0,"",TEXT(Recepcion!K37,"#,0.00"))</f>
        <v>0.00</v>
      </c>
      <c r="J11" s="116" t="b">
        <f>+IF(Recepcion!H37&gt;0, TEXT(Recepcion!H37,"#,0.00"))</f>
        <v>0</v>
      </c>
      <c r="K11" s="178">
        <f>+IF(Recepcion!M37&gt;0,"",Recepcion!M37)</f>
        <v>0</v>
      </c>
      <c r="L11" s="178">
        <f>+IF(Recepcion!K37&gt;0,"",Recepcion!K37)</f>
        <v>0</v>
      </c>
      <c r="M11" s="176" t="str">
        <f>TEXT(Recepcion!G37,"#,0.00")</f>
        <v>0.00</v>
      </c>
      <c r="N11" t="str">
        <f>TEXT(Recepcion!H37,"#,0.00")</f>
        <v>0.00</v>
      </c>
      <c r="O11" t="str">
        <f>TEXT((Recepcion!I37),"#,0.00")</f>
        <v>0.00</v>
      </c>
      <c r="P11" t="str">
        <f>TEXT(Recepcion!J37,"#,0.00")</f>
        <v>0.00</v>
      </c>
      <c r="Q11" s="117">
        <f t="shared" si="29"/>
        <v>0</v>
      </c>
      <c r="R11" s="136" t="e">
        <f t="shared" ref="R11" si="34">(Q11/N11)</f>
        <v>#DIV/0!</v>
      </c>
      <c r="S11" s="134" t="e">
        <f t="shared" si="30"/>
        <v>#DIV/0!</v>
      </c>
      <c r="T11" s="111">
        <f>Recepcion!K37</f>
        <v>0</v>
      </c>
      <c r="U11" s="96" t="e">
        <f t="shared" si="31"/>
        <v>#DIV/0!</v>
      </c>
      <c r="V11" s="118" t="e">
        <f t="shared" si="32"/>
        <v>#DIV/0!</v>
      </c>
      <c r="W11" t="str">
        <f t="shared" si="33"/>
        <v>0.00</v>
      </c>
      <c r="X11" s="124">
        <f>IF(E12&lt;&gt;"",VLOOKUP(E11,'Base de Datos'!$Y$3:$Z$22,2,FALSE),"")</f>
        <v>44644</v>
      </c>
      <c r="Y11" s="148">
        <f ca="1">+('Base de Datos'!$W$6)+90</f>
        <v>45291</v>
      </c>
      <c r="Z11" s="149"/>
      <c r="AA11" t="e">
        <f>TEXT(#REF!,"0,000%")</f>
        <v>#REF!</v>
      </c>
      <c r="AB11" t="e">
        <f>TEXT(#REF!,"0,000%")</f>
        <v>#REF!</v>
      </c>
      <c r="AC11" s="148" t="e">
        <f>TEXT(#REF!,"mmmm")</f>
        <v>#REF!</v>
      </c>
    </row>
    <row r="12" spans="1:29" x14ac:dyDescent="0.25">
      <c r="A12" t="s">
        <v>335</v>
      </c>
      <c r="B12" t="s">
        <v>46</v>
      </c>
      <c r="C12">
        <v>2023</v>
      </c>
      <c r="D12" t="s">
        <v>9</v>
      </c>
      <c r="E12" t="s">
        <v>29</v>
      </c>
      <c r="F12" t="s">
        <v>10</v>
      </c>
      <c r="G12" s="116" t="str">
        <f>+IF(Recepcion!H38&lt;0,Recepcion!H38,"")</f>
        <v/>
      </c>
      <c r="H12" s="116" t="str">
        <f t="shared" ref="H12:H13" si="35">+IF((O12+P12)&lt;0,"",TEXT((O12+P12),"#,0.00"))</f>
        <v>67,734.30</v>
      </c>
      <c r="I12" s="116" t="str">
        <f>+IF(Recepcion!K38&lt;0,"",TEXT(Recepcion!K38,"#,0.00"))</f>
        <v>5,917.49</v>
      </c>
      <c r="J12" s="116" t="str">
        <f>+IF(Recepcion!H38&gt;0, TEXT(Recepcion!H38,"#,0.00"))</f>
        <v>244,711.13</v>
      </c>
      <c r="K12" s="178" t="str">
        <f>+IF(Recepcion!M38&gt;0,"",Recepcion!M38)</f>
        <v/>
      </c>
      <c r="L12" s="178" t="str">
        <f>+IF(Recepcion!K38&gt;0,"",Recepcion!K38)</f>
        <v/>
      </c>
      <c r="M12" s="176" t="str">
        <f>TEXT(Recepcion!G38,"#,0.00")</f>
        <v>2,242,268.93</v>
      </c>
      <c r="N12" t="str">
        <f>TEXT(Recepcion!H38,"#,0.00")</f>
        <v>244,711.13</v>
      </c>
      <c r="O12" t="str">
        <f>TEXT((Recepcion!I38),"#,0.00")</f>
        <v>45,710.30</v>
      </c>
      <c r="P12" t="str">
        <f>TEXT(Recepcion!J38,"#,0.00")</f>
        <v>22,024.00</v>
      </c>
      <c r="Q12" s="117">
        <f t="shared" ref="Q12:Q13" si="36">+P12+O12</f>
        <v>67734.3</v>
      </c>
      <c r="R12" s="136">
        <f t="shared" ref="R12:R13" si="37">(Q12/N12)</f>
        <v>0.27679288637178046</v>
      </c>
      <c r="S12" s="134" t="str">
        <f t="shared" si="30"/>
        <v>27.679%</v>
      </c>
      <c r="T12" s="111">
        <f>Recepcion!K38</f>
        <v>5917.488708231911</v>
      </c>
      <c r="U12" s="96">
        <f t="shared" ref="U12:U13" si="38">(T12/N12)</f>
        <v>2.4181526636045982E-2</v>
      </c>
      <c r="V12" s="118" t="str">
        <f t="shared" si="32"/>
        <v>2.42%</v>
      </c>
      <c r="W12" t="str">
        <f t="shared" ref="W12:W13" si="39">TEXT((N12-(Q12+T12)),"#,0.00")</f>
        <v>171,059.34</v>
      </c>
      <c r="X12" s="124">
        <f>IF(E13&lt;&gt;"",VLOOKUP(E12,'Base de Datos'!$Y$3:$Z$22,2,FALSE),"")</f>
        <v>44644</v>
      </c>
      <c r="Y12" s="148">
        <f ca="1">+('Base de Datos'!$W$6)+90</f>
        <v>45291</v>
      </c>
      <c r="Z12" s="149" t="s">
        <v>339</v>
      </c>
      <c r="AA12" t="e">
        <f>TEXT(#REF!,"0,000%")</f>
        <v>#REF!</v>
      </c>
      <c r="AB12" t="e">
        <f>TEXT(#REF!,"0,000%")</f>
        <v>#REF!</v>
      </c>
      <c r="AC12" s="148" t="e">
        <f>TEXT(#REF!,"mmmm")</f>
        <v>#REF!</v>
      </c>
    </row>
    <row r="13" spans="1:29" x14ac:dyDescent="0.25">
      <c r="A13" t="s">
        <v>335</v>
      </c>
      <c r="B13" t="s">
        <v>46</v>
      </c>
      <c r="C13">
        <v>2023</v>
      </c>
      <c r="D13" t="s">
        <v>9</v>
      </c>
      <c r="E13" t="s">
        <v>30</v>
      </c>
      <c r="F13" t="s">
        <v>12</v>
      </c>
      <c r="G13" s="116" t="str">
        <f>+IF(Recepcion!H39&lt;0,Recepcion!H39,"")</f>
        <v/>
      </c>
      <c r="H13" s="116" t="str">
        <f t="shared" si="35"/>
        <v>450,024.05</v>
      </c>
      <c r="I13" s="177" t="str">
        <f>+IF(Recepcion!K39&lt;0,"",TEXT(Recepcion!K39,"#,0.00"))</f>
        <v>25,761.03</v>
      </c>
      <c r="J13" s="116" t="str">
        <f>+IF(Recepcion!H39&gt;0, TEXT(Recepcion!H39,"#,0.00"))</f>
        <v>1,644,079.29</v>
      </c>
      <c r="K13" s="178" t="str">
        <f>+IF(Recepcion!M39&gt;0,"",Recepcion!M39)</f>
        <v/>
      </c>
      <c r="L13" s="178" t="str">
        <f>+IF(Recepcion!K39&gt;0,"",Recepcion!K39)</f>
        <v/>
      </c>
      <c r="M13" s="176" t="str">
        <f>TEXT(Recepcion!G39,"#,0.00")</f>
        <v>4,988,732.39</v>
      </c>
      <c r="N13" t="str">
        <f>TEXT(Recepcion!H39,"#,0.00")</f>
        <v>1,644,079.29</v>
      </c>
      <c r="O13" t="str">
        <f>TEXT((Recepcion!I39),"#,0.00")</f>
        <v>302,056.91</v>
      </c>
      <c r="P13" t="str">
        <f>TEXT(Recepcion!J39,"#,0.00")</f>
        <v>147,967.14</v>
      </c>
      <c r="Q13" s="117">
        <f t="shared" si="36"/>
        <v>450024.05</v>
      </c>
      <c r="R13" s="136">
        <f t="shared" si="37"/>
        <v>0.27372405499980479</v>
      </c>
      <c r="S13" s="134" t="str">
        <f t="shared" si="30"/>
        <v>27.372%</v>
      </c>
      <c r="T13" s="111">
        <f>Recepcion!K39</f>
        <v>25761.034037743219</v>
      </c>
      <c r="U13" s="96">
        <f t="shared" si="38"/>
        <v>1.5668973019995414E-2</v>
      </c>
      <c r="V13" s="118" t="str">
        <f t="shared" si="32"/>
        <v>1.57%</v>
      </c>
      <c r="W13" t="str">
        <f t="shared" si="39"/>
        <v>1,168,294.21</v>
      </c>
      <c r="X13" s="124">
        <f>IF(E14&lt;&gt;"",VLOOKUP(E13,'Base de Datos'!$Y$3:$Z$22,2,FALSE),"")</f>
        <v>44644</v>
      </c>
      <c r="Y13" s="148">
        <f ca="1">+('Base de Datos'!$W$6)+90</f>
        <v>45291</v>
      </c>
      <c r="Z13" s="149" t="s">
        <v>339</v>
      </c>
      <c r="AA13" t="e">
        <f>TEXT(#REF!,"0,000%")</f>
        <v>#REF!</v>
      </c>
      <c r="AB13" t="e">
        <f>TEXT(#REF!,"0,000%")</f>
        <v>#REF!</v>
      </c>
      <c r="AC13" s="148" t="e">
        <f>TEXT(#REF!,"mmmm")</f>
        <v>#REF!</v>
      </c>
    </row>
    <row r="14" spans="1:29" x14ac:dyDescent="0.25">
      <c r="A14" t="s">
        <v>335</v>
      </c>
      <c r="B14" t="s">
        <v>46</v>
      </c>
      <c r="C14">
        <v>2023</v>
      </c>
      <c r="D14" t="s">
        <v>4</v>
      </c>
      <c r="E14" t="s">
        <v>27</v>
      </c>
      <c r="F14" t="s">
        <v>5</v>
      </c>
      <c r="G14" s="116" t="str">
        <f>+IF(Recepcion!H40&lt;0,Recepcion!H40,"")</f>
        <v/>
      </c>
      <c r="H14" s="116" t="str">
        <f t="shared" ref="H14:H15" si="40">+IF((O14+P14)&lt;0,"",TEXT((O14+P14),"#,0.00"))</f>
        <v>49,306.90</v>
      </c>
      <c r="I14" s="116" t="str">
        <f>+IF(Recepcion!K40&lt;0,"",TEXT(Recepcion!K40,"#,0.00"))</f>
        <v>1,633.81</v>
      </c>
      <c r="J14" s="116" t="str">
        <f>+IF(Recepcion!H40&gt;0, TEXT(Recepcion!H40,"#,0.00"))</f>
        <v>122,921.57</v>
      </c>
      <c r="K14" s="178" t="str">
        <f>+IF(Recepcion!M40&gt;0,"",Recepcion!M40)</f>
        <v/>
      </c>
      <c r="L14" s="178" t="str">
        <f>+IF(Recepcion!K40&gt;0,"",Recepcion!K40)</f>
        <v/>
      </c>
      <c r="M14" s="176" t="str">
        <f>TEXT(Recepcion!G40,"#,0.00")</f>
        <v>4,750,000.00</v>
      </c>
      <c r="N14" t="str">
        <f>TEXT(Recepcion!H40,"#,0.00")</f>
        <v>122,921.57</v>
      </c>
      <c r="O14" t="str">
        <f>TEXT((Recepcion!I40),"#,0.00")</f>
        <v>38,243.96</v>
      </c>
      <c r="P14" t="str">
        <f>TEXT(Recepcion!J40,"#,0.00")</f>
        <v>11,062.94</v>
      </c>
      <c r="Q14" s="117">
        <f t="shared" ref="Q14:Q15" si="41">+P14+O14</f>
        <v>49306.9</v>
      </c>
      <c r="R14" s="136">
        <f t="shared" ref="R14:R15" si="42">(Q14/N14)</f>
        <v>0.40112487987258866</v>
      </c>
      <c r="S14" s="134" t="str">
        <f t="shared" si="30"/>
        <v>40.112%</v>
      </c>
      <c r="T14" s="111">
        <f>Recepcion!K40</f>
        <v>1633.81</v>
      </c>
      <c r="U14" s="96">
        <f t="shared" ref="U14:U15" si="43">(T14/N14)</f>
        <v>1.3291483341776385E-2</v>
      </c>
      <c r="V14" s="118" t="str">
        <f t="shared" si="32"/>
        <v>1.33%</v>
      </c>
      <c r="W14" t="str">
        <f t="shared" ref="W14:W15" si="44">TEXT((N14-(Q14+T14)),"#,0.00")</f>
        <v>71,980.86</v>
      </c>
      <c r="X14" s="124">
        <f>IF(E15&lt;&gt;"",VLOOKUP(E14,'Base de Datos'!$Y$3:$Z$22,2,FALSE),"")</f>
        <v>44644</v>
      </c>
      <c r="Y14" s="148">
        <f ca="1">+('Base de Datos'!$W$6)+90</f>
        <v>45291</v>
      </c>
      <c r="Z14" s="149" t="s">
        <v>339</v>
      </c>
      <c r="AA14" t="e">
        <f>TEXT(#REF!,"0,000%")</f>
        <v>#REF!</v>
      </c>
      <c r="AB14" t="e">
        <f>TEXT(#REF!,"0,000%")</f>
        <v>#REF!</v>
      </c>
      <c r="AC14" s="148" t="e">
        <f>TEXT(#REF!,"mmmm")</f>
        <v>#REF!</v>
      </c>
    </row>
    <row r="15" spans="1:29" x14ac:dyDescent="0.25">
      <c r="A15" t="s">
        <v>335</v>
      </c>
      <c r="B15" t="s">
        <v>46</v>
      </c>
      <c r="C15">
        <v>2023</v>
      </c>
      <c r="D15" t="s">
        <v>4</v>
      </c>
      <c r="E15" t="s">
        <v>28</v>
      </c>
      <c r="F15" t="s">
        <v>7</v>
      </c>
      <c r="G15" s="116" t="str">
        <f>+IF(Recepcion!H41&lt;0,Recepcion!H41,"")</f>
        <v/>
      </c>
      <c r="H15" s="116" t="str">
        <f t="shared" si="40"/>
        <v>0.00</v>
      </c>
      <c r="I15" s="116" t="str">
        <f>+IF(Recepcion!K41&lt;0,"",TEXT(Recepcion!K41,"#,0.00"))</f>
        <v>0.00</v>
      </c>
      <c r="J15" s="116" t="b">
        <f>+IF(Recepcion!H41&gt;0, TEXT(Recepcion!H41,"#,0.00"))</f>
        <v>0</v>
      </c>
      <c r="K15" s="178">
        <f>+IF(Recepcion!M41&gt;0,"",Recepcion!M41)</f>
        <v>0</v>
      </c>
      <c r="L15" s="178">
        <f>+IF(Recepcion!K41&gt;0,"",Recepcion!K41)</f>
        <v>0</v>
      </c>
      <c r="M15" s="176" t="str">
        <f>TEXT(Recepcion!G41,"#,0.00")</f>
        <v>0.00</v>
      </c>
      <c r="N15" t="str">
        <f>TEXT(Recepcion!H41,"#,0.00")</f>
        <v>0.00</v>
      </c>
      <c r="O15" t="str">
        <f>TEXT((Recepcion!I41),"#,0.00")</f>
        <v>0.00</v>
      </c>
      <c r="P15" t="str">
        <f>TEXT(Recepcion!J41,"#,0.00")</f>
        <v>0.00</v>
      </c>
      <c r="Q15" s="117">
        <f t="shared" si="41"/>
        <v>0</v>
      </c>
      <c r="R15" s="136" t="e">
        <f t="shared" si="42"/>
        <v>#DIV/0!</v>
      </c>
      <c r="S15" s="134" t="e">
        <f t="shared" si="30"/>
        <v>#DIV/0!</v>
      </c>
      <c r="T15" s="111">
        <f>Recepcion!K41</f>
        <v>0</v>
      </c>
      <c r="U15" s="96" t="e">
        <f t="shared" si="43"/>
        <v>#DIV/0!</v>
      </c>
      <c r="V15" s="118" t="e">
        <f t="shared" si="32"/>
        <v>#DIV/0!</v>
      </c>
      <c r="W15" t="str">
        <f t="shared" si="44"/>
        <v>0.00</v>
      </c>
      <c r="X15" s="124">
        <f>IF(E16&lt;&gt;"",VLOOKUP(E15,'Base de Datos'!$Y$3:$Z$22,2,FALSE),"")</f>
        <v>44644</v>
      </c>
      <c r="Y15" s="148">
        <f ca="1">+('Base de Datos'!$W$6)+90</f>
        <v>45291</v>
      </c>
      <c r="Z15" s="149"/>
      <c r="AA15" t="e">
        <f>TEXT(#REF!,"0,000%")</f>
        <v>#REF!</v>
      </c>
      <c r="AB15" t="e">
        <f>TEXT(#REF!,"0,000%")</f>
        <v>#REF!</v>
      </c>
      <c r="AC15" s="148" t="e">
        <f>TEXT(#REF!,"mmmm")</f>
        <v>#REF!</v>
      </c>
    </row>
    <row r="16" spans="1:29" x14ac:dyDescent="0.25">
      <c r="A16" t="s">
        <v>334</v>
      </c>
      <c r="B16" t="s">
        <v>46</v>
      </c>
      <c r="C16">
        <v>2023</v>
      </c>
      <c r="D16" t="s">
        <v>24</v>
      </c>
      <c r="E16" t="s">
        <v>23</v>
      </c>
      <c r="F16" t="s">
        <v>25</v>
      </c>
      <c r="G16" s="116" t="str">
        <f>+IF(Recepcion!H42&lt;0,Recepcion!H42,"")</f>
        <v/>
      </c>
      <c r="H16" s="116" t="str">
        <f t="shared" ref="H16:H17" si="45">+IF((O16+P16)&lt;0,"",TEXT((O16+P16),"#,0.00"))</f>
        <v>489.94</v>
      </c>
      <c r="I16" s="116" t="str">
        <f>+IF(Recepcion!K42&lt;0,"",TEXT(Recepcion!K42,"#,0.00"))</f>
        <v>57.16</v>
      </c>
      <c r="J16" s="116" t="str">
        <f>+IF(Recepcion!H42&gt;0, TEXT(Recepcion!H42,"#,0.00"))</f>
        <v>1,633.15</v>
      </c>
      <c r="K16" s="178" t="str">
        <f>+IF(Recepcion!M42&gt;0,"",Recepcion!M42)</f>
        <v/>
      </c>
      <c r="L16" s="178" t="str">
        <f>+IF(Recepcion!K42&gt;0,"",Recepcion!K42)</f>
        <v/>
      </c>
      <c r="M16" s="176" t="str">
        <f>TEXT(Recepcion!G42,"#,0.00")</f>
        <v>1,526,014.00</v>
      </c>
      <c r="N16" t="str">
        <f>TEXT(Recepcion!H42,"#,0.00")</f>
        <v>1,633.15</v>
      </c>
      <c r="O16" t="str">
        <f>TEXT((Recepcion!I42),"#,0.00")</f>
        <v>326.63</v>
      </c>
      <c r="P16" t="str">
        <f>TEXT(Recepcion!J42,"#,0.00")</f>
        <v>163.31</v>
      </c>
      <c r="Q16" s="117">
        <f t="shared" ref="Q16:Q17" si="46">+P16+O16</f>
        <v>489.94</v>
      </c>
      <c r="R16" s="136">
        <f t="shared" ref="R16:R17" si="47">(Q16/N16)</f>
        <v>0.29999693843186476</v>
      </c>
      <c r="S16" s="134" t="str">
        <f t="shared" si="30"/>
        <v>30.000%</v>
      </c>
      <c r="T16" s="111">
        <f>Recepcion!K42</f>
        <v>57.16</v>
      </c>
      <c r="U16" s="96">
        <f t="shared" ref="U16:U17" si="48">(T16/N16)</f>
        <v>3.4999846921593233E-2</v>
      </c>
      <c r="V16" s="118" t="str">
        <f t="shared" si="32"/>
        <v>3.50%</v>
      </c>
      <c r="W16" t="str">
        <f t="shared" ref="W16:W17" si="49">TEXT((N16-(Q16+T16)),"#,0.00")</f>
        <v>1,086.05</v>
      </c>
      <c r="X16" s="124" t="str">
        <f>IF(E17&lt;&gt;"",VLOOKUP(E16,'Base de Datos'!$Y$3:$Z$22,2,FALSE),"")</f>
        <v/>
      </c>
      <c r="Y16" s="148">
        <f ca="1">+('Base de Datos'!$W$6)+90</f>
        <v>45291</v>
      </c>
      <c r="Z16" s="149" t="s">
        <v>339</v>
      </c>
      <c r="AA16" t="e">
        <f>TEXT(#REF!,"0,000%")</f>
        <v>#REF!</v>
      </c>
      <c r="AB16" t="e">
        <f>TEXT(#REF!,"0,000%")</f>
        <v>#REF!</v>
      </c>
      <c r="AC16" s="148" t="e">
        <f>TEXT(#REF!,"mmmm")</f>
        <v>#REF!</v>
      </c>
    </row>
    <row r="17" spans="1:29" x14ac:dyDescent="0.25">
      <c r="A17" t="s">
        <v>332</v>
      </c>
      <c r="B17" t="s">
        <v>332</v>
      </c>
      <c r="C17" t="s">
        <v>332</v>
      </c>
      <c r="D17" t="s">
        <v>332</v>
      </c>
      <c r="E17" t="s">
        <v>332</v>
      </c>
      <c r="F17" t="s">
        <v>332</v>
      </c>
      <c r="G17" s="116" t="str">
        <f>+IF(Recepcion!H43&lt;0,Recepcion!H43,"")</f>
        <v/>
      </c>
      <c r="H17" s="116" t="str">
        <f t="shared" si="45"/>
        <v>0.00</v>
      </c>
      <c r="I17" s="116" t="str">
        <f>+IF(Recepcion!K43&lt;0,"",TEXT(Recepcion!K43,"#,0.00"))</f>
        <v>0.00</v>
      </c>
      <c r="J17" s="116" t="b">
        <f>+IF(Recepcion!H43&gt;0, TEXT(Recepcion!H43,"#,0.00"))</f>
        <v>0</v>
      </c>
      <c r="K17" s="178">
        <f>+IF(Recepcion!M43&gt;0,"",Recepcion!M43)</f>
        <v>0</v>
      </c>
      <c r="L17" s="178">
        <f>+IF(Recepcion!K43&gt;0,"",Recepcion!K43)</f>
        <v>0</v>
      </c>
      <c r="M17" s="176" t="str">
        <f>TEXT(Recepcion!G43,"#,0.00")</f>
        <v>0.00</v>
      </c>
      <c r="N17" t="str">
        <f>TEXT(Recepcion!H43,"#,0.00")</f>
        <v>0.00</v>
      </c>
      <c r="O17" t="str">
        <f>TEXT((Recepcion!I43),"#,0.00")</f>
        <v>0.00</v>
      </c>
      <c r="P17" t="str">
        <f>TEXT(Recepcion!J43,"#,0.00")</f>
        <v>0.00</v>
      </c>
      <c r="Q17" s="117">
        <f t="shared" si="46"/>
        <v>0</v>
      </c>
      <c r="R17" s="136" t="e">
        <f t="shared" si="47"/>
        <v>#DIV/0!</v>
      </c>
      <c r="S17" s="134" t="e">
        <f t="shared" si="30"/>
        <v>#DIV/0!</v>
      </c>
      <c r="T17" s="111">
        <f>Recepcion!K43</f>
        <v>0</v>
      </c>
      <c r="U17" s="96" t="e">
        <f t="shared" si="48"/>
        <v>#DIV/0!</v>
      </c>
      <c r="V17" s="118" t="e">
        <f t="shared" si="32"/>
        <v>#DIV/0!</v>
      </c>
      <c r="W17" t="str">
        <f t="shared" si="49"/>
        <v>0.00</v>
      </c>
      <c r="X17" s="124" t="e">
        <f>IF(E18&lt;&gt;"",VLOOKUP(E17,'Base de Datos'!$Y$3:$Z$22,2,FALSE),"")</f>
        <v>#N/A</v>
      </c>
      <c r="Y17" s="148">
        <f ca="1">+('Base de Datos'!$W$6)+90</f>
        <v>45291</v>
      </c>
      <c r="Z17" s="149"/>
      <c r="AA17" t="e">
        <f>TEXT(#REF!,"0,000%")</f>
        <v>#REF!</v>
      </c>
      <c r="AB17" t="e">
        <f>TEXT(#REF!,"0,000%")</f>
        <v>#REF!</v>
      </c>
      <c r="AC17" s="148" t="e">
        <f>TEXT(#REF!,"mmmm")</f>
        <v>#REF!</v>
      </c>
    </row>
    <row r="18" spans="1:29" x14ac:dyDescent="0.25">
      <c r="A18" t="s">
        <v>334</v>
      </c>
      <c r="B18" t="s">
        <v>46</v>
      </c>
      <c r="C18">
        <v>2023</v>
      </c>
      <c r="D18" t="s">
        <v>1</v>
      </c>
      <c r="E18" t="s">
        <v>18</v>
      </c>
      <c r="F18" t="s">
        <v>2</v>
      </c>
      <c r="G18" s="116" t="str">
        <f>+IF(Recepcion!H44&lt;0,Recepcion!H44,"")</f>
        <v/>
      </c>
      <c r="H18" s="116" t="str">
        <f t="shared" ref="H18:H19" si="50">+IF((O18+P18)&lt;0,"",TEXT((O18+P18),"#,0.00"))</f>
        <v>143.73</v>
      </c>
      <c r="I18" s="116" t="str">
        <f>+IF(Recepcion!K44&lt;0,"",TEXT(Recepcion!K44,"#,0.00"))</f>
        <v>4.14</v>
      </c>
      <c r="J18" s="116" t="str">
        <f>+IF(Recepcion!H44&gt;0, TEXT(Recepcion!H44,"#,0.00"))</f>
        <v>414.07</v>
      </c>
      <c r="K18" s="178" t="str">
        <f>+IF(Recepcion!M44&gt;0,"",Recepcion!M44)</f>
        <v/>
      </c>
      <c r="L18" s="178" t="str">
        <f>+IF(Recepcion!K44&gt;0,"",Recepcion!K44)</f>
        <v/>
      </c>
      <c r="M18" s="176" t="str">
        <f>TEXT(Recepcion!G44,"#,0.00")</f>
        <v>750,000.00</v>
      </c>
      <c r="N18" t="str">
        <f>TEXT(Recepcion!H44,"#,0.00")</f>
        <v>414.07</v>
      </c>
      <c r="O18" t="str">
        <f>TEXT((Recepcion!I44),"#,0.00")</f>
        <v>106.46</v>
      </c>
      <c r="P18" t="str">
        <f>TEXT(Recepcion!J44,"#,0.00")</f>
        <v>37.27</v>
      </c>
      <c r="Q18" s="117">
        <f t="shared" ref="Q18:Q19" si="51">+P18+O18</f>
        <v>143.72999999999999</v>
      </c>
      <c r="R18" s="136">
        <f t="shared" ref="R18:R19" si="52">(Q18/N18)</f>
        <v>0.34711522206390222</v>
      </c>
      <c r="S18" s="134" t="str">
        <f t="shared" si="30"/>
        <v>34.712%</v>
      </c>
      <c r="T18" s="111">
        <f>Recepcion!K44</f>
        <v>4.1407135928896324</v>
      </c>
      <c r="U18" s="96">
        <f t="shared" ref="U18:U19" si="53">(T18/N18)</f>
        <v>1.0000032827516199E-2</v>
      </c>
      <c r="V18" s="118" t="str">
        <f t="shared" si="32"/>
        <v>1.00%</v>
      </c>
      <c r="W18" t="str">
        <f t="shared" ref="W18:W19" si="54">TEXT((N18-(Q18+T18)),"#,0.00")</f>
        <v>266.20</v>
      </c>
      <c r="X18" s="124" t="str">
        <f>IF(E19&lt;&gt;"",VLOOKUP(E18,'Base de Datos'!$Y$3:$Z$22,2,FALSE),"")</f>
        <v/>
      </c>
      <c r="Y18" s="148">
        <f ca="1">+('Base de Datos'!$W$6)+90</f>
        <v>45291</v>
      </c>
      <c r="Z18" s="149" t="s">
        <v>339</v>
      </c>
      <c r="AA18" t="e">
        <f>TEXT(#REF!,"0,000%")</f>
        <v>#REF!</v>
      </c>
      <c r="AB18" t="e">
        <f>TEXT(#REF!,"0,000%")</f>
        <v>#REF!</v>
      </c>
      <c r="AC18" s="148" t="e">
        <f>TEXT(#REF!,"mmmm")</f>
        <v>#REF!</v>
      </c>
    </row>
    <row r="19" spans="1:29" x14ac:dyDescent="0.25">
      <c r="A19" t="s">
        <v>332</v>
      </c>
      <c r="B19" t="s">
        <v>332</v>
      </c>
      <c r="C19" t="s">
        <v>332</v>
      </c>
      <c r="D19" t="s">
        <v>332</v>
      </c>
      <c r="E19" t="s">
        <v>332</v>
      </c>
      <c r="F19" t="s">
        <v>332</v>
      </c>
      <c r="G19" s="116" t="str">
        <f>+IF(Recepcion!H45&lt;0,Recepcion!H45,"")</f>
        <v/>
      </c>
      <c r="H19" s="116" t="str">
        <f t="shared" si="50"/>
        <v>0.00</v>
      </c>
      <c r="I19" s="116" t="str">
        <f>+IF(Recepcion!K45&lt;0,"",TEXT(Recepcion!K45,"#,0.00"))</f>
        <v>0.00</v>
      </c>
      <c r="J19" s="116" t="b">
        <f>+IF(Recepcion!H45&gt;0, TEXT(Recepcion!H45,"#,0.00"))</f>
        <v>0</v>
      </c>
      <c r="K19" s="178">
        <f>+IF(Recepcion!M45&gt;0,"",Recepcion!M45)</f>
        <v>0</v>
      </c>
      <c r="L19" s="178">
        <f>+IF(Recepcion!K45&gt;0,"",Recepcion!K45)</f>
        <v>0</v>
      </c>
      <c r="M19" s="176" t="str">
        <f>TEXT(Recepcion!G45,"#,0.00")</f>
        <v>0.00</v>
      </c>
      <c r="N19" t="str">
        <f>TEXT(Recepcion!H45,"#,0.00")</f>
        <v>0.00</v>
      </c>
      <c r="O19" t="str">
        <f>TEXT((Recepcion!I45),"#,0.00")</f>
        <v>0.00</v>
      </c>
      <c r="P19" t="str">
        <f>TEXT(Recepcion!J45,"#,0.00")</f>
        <v>0.00</v>
      </c>
      <c r="Q19" s="117">
        <f t="shared" si="51"/>
        <v>0</v>
      </c>
      <c r="R19" s="136" t="e">
        <f t="shared" si="52"/>
        <v>#DIV/0!</v>
      </c>
      <c r="S19" s="134" t="e">
        <f t="shared" si="30"/>
        <v>#DIV/0!</v>
      </c>
      <c r="T19" s="111">
        <f>Recepcion!K45</f>
        <v>0</v>
      </c>
      <c r="U19" s="96" t="e">
        <f t="shared" si="53"/>
        <v>#DIV/0!</v>
      </c>
      <c r="V19" s="118" t="e">
        <f t="shared" si="32"/>
        <v>#DIV/0!</v>
      </c>
      <c r="W19" t="str">
        <f t="shared" si="54"/>
        <v>0.00</v>
      </c>
      <c r="X19" s="124" t="e">
        <f>IF(E20&lt;&gt;"",VLOOKUP(E19,'Base de Datos'!$Y$3:$Z$22,2,FALSE),"")</f>
        <v>#N/A</v>
      </c>
      <c r="Y19" s="148">
        <f ca="1">+('Base de Datos'!$W$6)+90</f>
        <v>45291</v>
      </c>
      <c r="Z19" s="149"/>
      <c r="AA19" t="e">
        <f>TEXT(#REF!,"0,000%")</f>
        <v>#REF!</v>
      </c>
      <c r="AB19" t="e">
        <f>TEXT(#REF!,"0,000%")</f>
        <v>#REF!</v>
      </c>
      <c r="AC19" s="148" t="e">
        <f>TEXT(#REF!,"mmmm")</f>
        <v>#REF!</v>
      </c>
    </row>
    <row r="20" spans="1:29" x14ac:dyDescent="0.25">
      <c r="A20" t="s">
        <v>334</v>
      </c>
      <c r="B20" t="s">
        <v>46</v>
      </c>
      <c r="C20">
        <v>2023</v>
      </c>
      <c r="D20" t="s">
        <v>9</v>
      </c>
      <c r="E20" t="s">
        <v>21</v>
      </c>
      <c r="F20" t="s">
        <v>10</v>
      </c>
      <c r="G20" s="116" t="str">
        <f>+IF(Recepcion!H46&lt;0,Recepcion!H46,"")</f>
        <v/>
      </c>
      <c r="H20" s="116" t="str">
        <f t="shared" ref="H20:H21" si="55">+IF((O20+P20)&lt;0,"",TEXT((O20+P20),"#,0.00"))</f>
        <v>0.00</v>
      </c>
      <c r="I20" s="116" t="str">
        <f>+IF(Recepcion!K46&lt;0,"",TEXT(Recepcion!K46,"#,0.00"))</f>
        <v>0.00</v>
      </c>
      <c r="J20" s="116" t="b">
        <f>+IF(Recepcion!H46&gt;0, TEXT(Recepcion!H46,"#,0.00"))</f>
        <v>0</v>
      </c>
      <c r="K20" s="178">
        <f>+IF(Recepcion!M46&gt;0,"",Recepcion!M46)</f>
        <v>0</v>
      </c>
      <c r="L20" s="178">
        <f>+IF(Recepcion!K46&gt;0,"",Recepcion!K46)</f>
        <v>0</v>
      </c>
      <c r="M20" s="176" t="str">
        <f>TEXT(Recepcion!G46,"#,0.00")</f>
        <v>4,414,798.60</v>
      </c>
      <c r="N20" t="str">
        <f>TEXT(Recepcion!H46,"#,0.00")</f>
        <v>0.00</v>
      </c>
      <c r="O20" t="str">
        <f>TEXT((Recepcion!I46),"#,0.00")</f>
        <v>0.00</v>
      </c>
      <c r="P20" t="str">
        <f>TEXT(Recepcion!J46,"#,0.00")</f>
        <v>0.00</v>
      </c>
      <c r="Q20" s="117">
        <f t="shared" ref="Q20:Q21" si="56">+P20+O20</f>
        <v>0</v>
      </c>
      <c r="R20" s="136" t="e">
        <f t="shared" ref="R20:R21" si="57">(Q20/N20)</f>
        <v>#DIV/0!</v>
      </c>
      <c r="S20" s="134" t="e">
        <f t="shared" si="30"/>
        <v>#DIV/0!</v>
      </c>
      <c r="T20" s="111">
        <f>Recepcion!K46</f>
        <v>0</v>
      </c>
      <c r="U20" s="96" t="e">
        <f t="shared" ref="U20:U21" si="58">(T20/N20)</f>
        <v>#DIV/0!</v>
      </c>
      <c r="V20" s="118" t="e">
        <f t="shared" si="32"/>
        <v>#DIV/0!</v>
      </c>
      <c r="W20" t="str">
        <f t="shared" ref="W20:W21" si="59">TEXT((N20-(Q20+T20)),"#,0.00")</f>
        <v>0.00</v>
      </c>
      <c r="X20" s="124">
        <f>IF(E21&lt;&gt;"",VLOOKUP(E20,'Base de Datos'!$Y$3:$Z$22,2,FALSE),"")</f>
        <v>44561</v>
      </c>
      <c r="Y20" s="148">
        <f ca="1">+('Base de Datos'!$W$6)+90</f>
        <v>45291</v>
      </c>
      <c r="Z20" s="149"/>
      <c r="AA20" t="e">
        <f>TEXT(#REF!,"0,000%")</f>
        <v>#REF!</v>
      </c>
      <c r="AB20" t="e">
        <f>TEXT(#REF!,"0,000%")</f>
        <v>#REF!</v>
      </c>
      <c r="AC20" s="148" t="e">
        <f>TEXT(#REF!,"mmmm")</f>
        <v>#REF!</v>
      </c>
    </row>
    <row r="21" spans="1:29" x14ac:dyDescent="0.25">
      <c r="A21" t="s">
        <v>334</v>
      </c>
      <c r="B21" t="s">
        <v>46</v>
      </c>
      <c r="C21">
        <v>2023</v>
      </c>
      <c r="D21" t="s">
        <v>9</v>
      </c>
      <c r="E21" t="s">
        <v>22</v>
      </c>
      <c r="F21" t="s">
        <v>12</v>
      </c>
      <c r="G21" s="116">
        <f>+IF(Recepcion!H47&lt;0,Recepcion!H47,"")</f>
        <v>-230409.35059074254</v>
      </c>
      <c r="H21" s="116" t="str">
        <f t="shared" si="55"/>
        <v/>
      </c>
      <c r="I21" s="116" t="str">
        <f>+IF(Recepcion!K47&lt;0,"",TEXT(Recepcion!K47,"#,0.00"))</f>
        <v/>
      </c>
      <c r="J21" s="116" t="b">
        <f>+IF(Recepcion!H47&gt;0, TEXT(Recepcion!H47,"#,0.00"))</f>
        <v>0</v>
      </c>
      <c r="K21" s="178">
        <f>+IF(Recepcion!M47&gt;0,"",Recepcion!M47)</f>
        <v>-67134.401356821443</v>
      </c>
      <c r="L21" s="178">
        <f>+IF(Recepcion!K47&gt;0,"",Recepcion!K47)</f>
        <v>-3660.8432406601687</v>
      </c>
      <c r="M21" s="176" t="str">
        <f>TEXT(Recepcion!G47,"#,0.00")</f>
        <v>4,638,100.22</v>
      </c>
      <c r="N21" t="str">
        <f>TEXT(Recepcion!H47,"#,0.00")</f>
        <v>-230,409.35</v>
      </c>
      <c r="O21" t="str">
        <f>TEXT((Recepcion!I47),"#,0.00")</f>
        <v>-46,397.56</v>
      </c>
      <c r="P21" t="str">
        <f>TEXT(Recepcion!J47,"#,0.00")</f>
        <v>-20,736.84</v>
      </c>
      <c r="Q21" s="117">
        <f t="shared" si="56"/>
        <v>-67134.399999999994</v>
      </c>
      <c r="R21" s="136">
        <f t="shared" si="57"/>
        <v>0.29137012017958469</v>
      </c>
      <c r="S21" s="134" t="str">
        <f t="shared" si="30"/>
        <v>29.137%</v>
      </c>
      <c r="T21" s="111">
        <f>Recepcion!K47</f>
        <v>-3660.8432406601687</v>
      </c>
      <c r="U21" s="96">
        <f t="shared" si="58"/>
        <v>1.5888431787426025E-2</v>
      </c>
      <c r="V21" s="118" t="str">
        <f t="shared" si="32"/>
        <v>1.59%</v>
      </c>
      <c r="W21" t="str">
        <f t="shared" si="59"/>
        <v>-159,614.11</v>
      </c>
      <c r="X21" s="124">
        <f>IF(E22&lt;&gt;"",VLOOKUP(E21,'Base de Datos'!$Y$3:$Z$22,2,FALSE),"")</f>
        <v>44561</v>
      </c>
      <c r="Y21" s="148">
        <f ca="1">+('Base de Datos'!$W$6)+90</f>
        <v>45291</v>
      </c>
      <c r="Z21" s="149" t="s">
        <v>339</v>
      </c>
      <c r="AA21" t="e">
        <f>TEXT(#REF!,"0,000%")</f>
        <v>#REF!</v>
      </c>
      <c r="AB21" t="e">
        <f>TEXT(#REF!,"0,000%")</f>
        <v>#REF!</v>
      </c>
      <c r="AC21" s="148" t="e">
        <f>TEXT(#REF!,"mmmm")</f>
        <v>#REF!</v>
      </c>
    </row>
    <row r="22" spans="1:29" x14ac:dyDescent="0.25">
      <c r="A22" t="s">
        <v>334</v>
      </c>
      <c r="B22" t="s">
        <v>46</v>
      </c>
      <c r="C22">
        <v>2023</v>
      </c>
      <c r="D22" t="s">
        <v>4</v>
      </c>
      <c r="E22" t="s">
        <v>19</v>
      </c>
      <c r="F22" t="s">
        <v>5</v>
      </c>
      <c r="G22" s="116" t="str">
        <f>+IF(Recepcion!H48&lt;0,Recepcion!H48,"")</f>
        <v/>
      </c>
      <c r="H22" s="116" t="str">
        <f t="shared" ref="H22:H23" si="60">+IF((O22+P22)&lt;0,"",TEXT((O22+P22),"#,0.00"))</f>
        <v>0.00</v>
      </c>
      <c r="I22" s="116" t="str">
        <f>+IF(Recepcion!K48&lt;0,"",TEXT(Recepcion!K48,"#,0.00"))</f>
        <v>0.00</v>
      </c>
      <c r="J22" s="116" t="b">
        <f>+IF(Recepcion!H48&gt;0, TEXT(Recepcion!H48,"#,0.00"))</f>
        <v>0</v>
      </c>
      <c r="K22" s="178">
        <f>+IF(Recepcion!M48&gt;0,"",Recepcion!M48)</f>
        <v>0</v>
      </c>
      <c r="L22" s="178">
        <f>+IF(Recepcion!K48&gt;0,"",Recepcion!K48)</f>
        <v>0</v>
      </c>
      <c r="M22" s="176" t="str">
        <f>TEXT(Recepcion!G48,"#,0.00")</f>
        <v>0.00</v>
      </c>
      <c r="N22" t="str">
        <f>TEXT(Recepcion!H48,"#,0.00")</f>
        <v>0.00</v>
      </c>
      <c r="O22" t="str">
        <f>TEXT((Recepcion!I48),"#,0.00")</f>
        <v>0.00</v>
      </c>
      <c r="P22" t="str">
        <f>TEXT(Recepcion!J48,"#,0.00")</f>
        <v>0.00</v>
      </c>
      <c r="Q22" s="117">
        <f t="shared" ref="Q22:Q23" si="61">+P22+O22</f>
        <v>0</v>
      </c>
      <c r="R22" s="136" t="e">
        <f t="shared" ref="R22:R23" si="62">(Q22/N22)</f>
        <v>#DIV/0!</v>
      </c>
      <c r="S22" s="134" t="e">
        <f t="shared" si="30"/>
        <v>#DIV/0!</v>
      </c>
      <c r="T22" s="111">
        <f>Recepcion!K48</f>
        <v>0</v>
      </c>
      <c r="U22" s="96" t="e">
        <f t="shared" ref="U22:U23" si="63">(T22/N22)</f>
        <v>#DIV/0!</v>
      </c>
      <c r="V22" s="118" t="e">
        <f t="shared" si="32"/>
        <v>#DIV/0!</v>
      </c>
      <c r="W22" t="str">
        <f t="shared" ref="W22:W23" si="64">TEXT((N22-(Q22+T22)),"#,0.00")</f>
        <v>0.00</v>
      </c>
      <c r="X22" s="124">
        <f>IF(E23&lt;&gt;"",VLOOKUP(E22,'Base de Datos'!$Y$3:$Z$22,2,FALSE),"")</f>
        <v>44561</v>
      </c>
      <c r="Y22" s="148">
        <f ca="1">+('Base de Datos'!$W$6)+90</f>
        <v>45291</v>
      </c>
      <c r="Z22" s="149"/>
      <c r="AA22" t="e">
        <f>TEXT(#REF!,"0,000%")</f>
        <v>#REF!</v>
      </c>
      <c r="AB22" t="e">
        <f>TEXT(#REF!,"0,000%")</f>
        <v>#REF!</v>
      </c>
      <c r="AC22" s="148" t="e">
        <f>TEXT(#REF!,"mmmm")</f>
        <v>#REF!</v>
      </c>
    </row>
    <row r="23" spans="1:29" x14ac:dyDescent="0.25">
      <c r="A23" t="s">
        <v>334</v>
      </c>
      <c r="B23" t="s">
        <v>46</v>
      </c>
      <c r="C23">
        <v>2023</v>
      </c>
      <c r="D23" t="s">
        <v>4</v>
      </c>
      <c r="E23" t="s">
        <v>20</v>
      </c>
      <c r="F23" t="s">
        <v>7</v>
      </c>
      <c r="G23" s="116" t="str">
        <f>+IF(Recepcion!H49&lt;0,Recepcion!H49,"")</f>
        <v/>
      </c>
      <c r="H23" s="116" t="str">
        <f t="shared" si="60"/>
        <v>0.00</v>
      </c>
      <c r="I23" s="116" t="str">
        <f>+IF(Recepcion!K49&lt;0,"",TEXT(Recepcion!K49,"#,0.00"))</f>
        <v>0.00</v>
      </c>
      <c r="J23" s="116" t="b">
        <f>+IF(Recepcion!H49&gt;0, TEXT(Recepcion!H49,"#,0.00"))</f>
        <v>0</v>
      </c>
      <c r="K23" s="178">
        <f>+IF(Recepcion!M49&gt;0,"",Recepcion!M49)</f>
        <v>0</v>
      </c>
      <c r="L23" s="178">
        <f>+IF(Recepcion!K49&gt;0,"",Recepcion!K49)</f>
        <v>0</v>
      </c>
      <c r="M23" s="176" t="str">
        <f>TEXT(Recepcion!G49,"#,0.00")</f>
        <v>0.00</v>
      </c>
      <c r="N23" t="str">
        <f>TEXT(Recepcion!H49,"#,0.00")</f>
        <v>0.00</v>
      </c>
      <c r="O23" t="str">
        <f>TEXT((Recepcion!I49),"#,0.00")</f>
        <v>0.00</v>
      </c>
      <c r="P23" t="str">
        <f>TEXT(Recepcion!J49,"#,0.00")</f>
        <v>0.00</v>
      </c>
      <c r="Q23" s="117">
        <f t="shared" si="61"/>
        <v>0</v>
      </c>
      <c r="R23" s="136" t="e">
        <f t="shared" si="62"/>
        <v>#DIV/0!</v>
      </c>
      <c r="S23" s="134" t="e">
        <f t="shared" si="30"/>
        <v>#DIV/0!</v>
      </c>
      <c r="T23" s="111">
        <f>Recepcion!K49</f>
        <v>0</v>
      </c>
      <c r="U23" s="96" t="e">
        <f t="shared" si="63"/>
        <v>#DIV/0!</v>
      </c>
      <c r="V23" s="118" t="e">
        <f t="shared" si="32"/>
        <v>#DIV/0!</v>
      </c>
      <c r="W23" t="str">
        <f t="shared" si="64"/>
        <v>0.00</v>
      </c>
      <c r="X23" s="124">
        <f>IF(E24&lt;&gt;"",VLOOKUP(E23,'Base de Datos'!$Y$3:$Z$22,2,FALSE),"")</f>
        <v>44561</v>
      </c>
      <c r="Y23" s="148">
        <f ca="1">+('Base de Datos'!$W$6)+90</f>
        <v>45291</v>
      </c>
      <c r="Z23" s="149"/>
      <c r="AA23" t="e">
        <f>TEXT(#REF!,"0,000%")</f>
        <v>#REF!</v>
      </c>
      <c r="AB23" t="e">
        <f>TEXT(#REF!,"0,000%")</f>
        <v>#REF!</v>
      </c>
      <c r="AC23" s="148" t="e">
        <f>TEXT(#REF!,"mmmm")</f>
        <v>#REF!</v>
      </c>
    </row>
    <row r="24" spans="1:29" x14ac:dyDescent="0.25">
      <c r="A24" t="s">
        <v>333</v>
      </c>
      <c r="B24" t="s">
        <v>46</v>
      </c>
      <c r="C24">
        <v>2023</v>
      </c>
      <c r="D24" t="s">
        <v>1</v>
      </c>
      <c r="E24" t="s">
        <v>13</v>
      </c>
      <c r="F24" t="s">
        <v>2</v>
      </c>
      <c r="G24" s="116" t="str">
        <f>+IF(Recepcion!H50&lt;0,Recepcion!H50,"")</f>
        <v/>
      </c>
      <c r="H24" s="116" t="str">
        <f t="shared" ref="H24:H25" si="65">+IF((O24+P24)&lt;0,"",TEXT((O24+P24),"#,0.00"))</f>
        <v>0.00</v>
      </c>
      <c r="I24" s="116" t="str">
        <f>+IF(Recepcion!K50&lt;0,"",TEXT(Recepcion!K50,"#,0.00"))</f>
        <v>0.00</v>
      </c>
      <c r="J24" s="116" t="b">
        <f>+IF(Recepcion!H50&gt;0, TEXT(Recepcion!H50,"#,0.00"))</f>
        <v>0</v>
      </c>
      <c r="K24" s="178">
        <f>+IF(Recepcion!M50&gt;0,"",Recepcion!M50)</f>
        <v>0</v>
      </c>
      <c r="L24" s="178">
        <f>+IF(Recepcion!K50&gt;0,"",Recepcion!K50)</f>
        <v>0</v>
      </c>
      <c r="M24" s="176" t="str">
        <f>TEXT(Recepcion!G50,"#,0.00")</f>
        <v>0.00</v>
      </c>
      <c r="N24" t="str">
        <f>TEXT(Recepcion!H50,"#,0.00")</f>
        <v>0.00</v>
      </c>
      <c r="O24" t="str">
        <f>TEXT((Recepcion!I50),"#,0.00")</f>
        <v>0.00</v>
      </c>
      <c r="P24" t="str">
        <f>TEXT(Recepcion!J50,"#,0.00")</f>
        <v>0.00</v>
      </c>
      <c r="Q24" s="117">
        <f t="shared" ref="Q24:Q25" si="66">+P24+O24</f>
        <v>0</v>
      </c>
      <c r="R24" s="136" t="e">
        <f t="shared" ref="R24:R25" si="67">(Q24/N24)</f>
        <v>#DIV/0!</v>
      </c>
      <c r="S24" s="134" t="e">
        <f t="shared" si="30"/>
        <v>#DIV/0!</v>
      </c>
      <c r="T24" s="111">
        <f>Recepcion!K50</f>
        <v>0</v>
      </c>
      <c r="U24" s="96" t="e">
        <f t="shared" ref="U24:U25" si="68">(T24/N24)</f>
        <v>#DIV/0!</v>
      </c>
      <c r="V24" s="118" t="e">
        <f t="shared" si="32"/>
        <v>#DIV/0!</v>
      </c>
      <c r="W24" t="str">
        <f t="shared" ref="W24:W25" si="69">TEXT((N24-(Q24+T24)),"#,0.00")</f>
        <v>0.00</v>
      </c>
      <c r="X24" s="124" t="str">
        <f>IF(E25&lt;&gt;"",VLOOKUP(E24,'Base de Datos'!$Y$3:$Z$22,2,FALSE),"")</f>
        <v/>
      </c>
      <c r="Y24" s="148">
        <f ca="1">+('Base de Datos'!$W$6)+90</f>
        <v>45291</v>
      </c>
      <c r="Z24" s="149"/>
      <c r="AA24" t="e">
        <f>TEXT(#REF!,"0,000%")</f>
        <v>#REF!</v>
      </c>
      <c r="AB24" t="e">
        <f>TEXT(#REF!,"0,000%")</f>
        <v>#REF!</v>
      </c>
      <c r="AC24" s="148" t="e">
        <f>TEXT(#REF!,"mmmm")</f>
        <v>#REF!</v>
      </c>
    </row>
    <row r="25" spans="1:29" x14ac:dyDescent="0.25">
      <c r="A25" t="s">
        <v>332</v>
      </c>
      <c r="B25" t="s">
        <v>332</v>
      </c>
      <c r="C25" t="s">
        <v>332</v>
      </c>
      <c r="D25" t="s">
        <v>332</v>
      </c>
      <c r="E25" t="s">
        <v>332</v>
      </c>
      <c r="F25" t="s">
        <v>332</v>
      </c>
      <c r="G25" s="116" t="str">
        <f>+IF(Recepcion!H51&lt;0,Recepcion!H51,"")</f>
        <v/>
      </c>
      <c r="H25" s="116" t="str">
        <f t="shared" si="65"/>
        <v>0.00</v>
      </c>
      <c r="I25" s="116" t="str">
        <f>+IF(Recepcion!K51&lt;0,"",TEXT(Recepcion!K51,"#,0.00"))</f>
        <v>0.00</v>
      </c>
      <c r="J25" s="116" t="b">
        <f>+IF(Recepcion!H51&gt;0, TEXT(Recepcion!H51,"#,0.00"))</f>
        <v>0</v>
      </c>
      <c r="K25" s="178">
        <f>+IF(Recepcion!M51&gt;0,"",Recepcion!M51)</f>
        <v>0</v>
      </c>
      <c r="L25" s="178">
        <f>+IF(Recepcion!K51&gt;0,"",Recepcion!K51)</f>
        <v>0</v>
      </c>
      <c r="M25" s="176" t="str">
        <f>TEXT(Recepcion!G51,"#,0.00")</f>
        <v>0.00</v>
      </c>
      <c r="N25" t="str">
        <f>TEXT(Recepcion!H51,"#,0.00")</f>
        <v>0.00</v>
      </c>
      <c r="O25" t="str">
        <f>TEXT((Recepcion!I51),"#,0.00")</f>
        <v>0.00</v>
      </c>
      <c r="P25" t="str">
        <f>TEXT(Recepcion!J51,"#,0.00")</f>
        <v>0.00</v>
      </c>
      <c r="Q25" s="117">
        <f t="shared" si="66"/>
        <v>0</v>
      </c>
      <c r="R25" s="136" t="e">
        <f t="shared" si="67"/>
        <v>#DIV/0!</v>
      </c>
      <c r="S25" s="134" t="e">
        <f t="shared" si="30"/>
        <v>#DIV/0!</v>
      </c>
      <c r="T25" s="111">
        <f>Recepcion!K51</f>
        <v>0</v>
      </c>
      <c r="U25" s="96" t="e">
        <f t="shared" si="68"/>
        <v>#DIV/0!</v>
      </c>
      <c r="V25" s="118" t="e">
        <f t="shared" si="32"/>
        <v>#DIV/0!</v>
      </c>
      <c r="W25" t="str">
        <f t="shared" si="69"/>
        <v>0.00</v>
      </c>
      <c r="X25" s="124" t="e">
        <f>IF(E26&lt;&gt;"",VLOOKUP(E25,'Base de Datos'!$Y$3:$Z$22,2,FALSE),"")</f>
        <v>#N/A</v>
      </c>
      <c r="Y25" s="148">
        <f ca="1">+('Base de Datos'!$W$6)+90</f>
        <v>45291</v>
      </c>
      <c r="Z25" s="149"/>
      <c r="AA25" t="e">
        <f>TEXT(#REF!,"0,000%")</f>
        <v>#REF!</v>
      </c>
      <c r="AB25" t="e">
        <f>TEXT(#REF!,"0,000%")</f>
        <v>#REF!</v>
      </c>
      <c r="AC25" s="148" t="e">
        <f>TEXT(#REF!,"mmmm")</f>
        <v>#REF!</v>
      </c>
    </row>
    <row r="26" spans="1:29" x14ac:dyDescent="0.25">
      <c r="A26" t="s">
        <v>333</v>
      </c>
      <c r="B26" t="s">
        <v>46</v>
      </c>
      <c r="C26">
        <v>2023</v>
      </c>
      <c r="D26" t="s">
        <v>9</v>
      </c>
      <c r="E26" t="s">
        <v>16</v>
      </c>
      <c r="F26" t="s">
        <v>10</v>
      </c>
      <c r="G26" s="116" t="str">
        <f>+IF(Recepcion!H52&lt;0,Recepcion!H52,"")</f>
        <v/>
      </c>
      <c r="H26" s="116" t="str">
        <f t="shared" ref="H26:H27" si="70">+IF((O26+P26)&lt;0,"",TEXT((O26+P26),"#,0.00"))</f>
        <v>0.00</v>
      </c>
      <c r="I26" s="116" t="str">
        <f>+IF(Recepcion!K52&lt;0,"",TEXT(Recepcion!K52,"#,0.00"))</f>
        <v>0.00</v>
      </c>
      <c r="J26" s="116" t="b">
        <f>+IF(Recepcion!H52&gt;0, TEXT(Recepcion!H52,"#,0.00"))</f>
        <v>0</v>
      </c>
      <c r="K26" s="178">
        <f>+IF(Recepcion!M52&gt;0,"",Recepcion!M52)</f>
        <v>0</v>
      </c>
      <c r="L26" s="178">
        <f>+IF(Recepcion!K52&gt;0,"",Recepcion!K52)</f>
        <v>0</v>
      </c>
      <c r="M26" s="176" t="str">
        <f>TEXT(Recepcion!G52,"#,0.00")</f>
        <v>0.00</v>
      </c>
      <c r="N26" t="str">
        <f>TEXT(Recepcion!H52,"#,0.00")</f>
        <v>0.00</v>
      </c>
      <c r="O26" t="str">
        <f>TEXT((Recepcion!I52),"#,0.00")</f>
        <v>0.00</v>
      </c>
      <c r="P26" t="str">
        <f>TEXT(Recepcion!J52,"#,0.00")</f>
        <v>0.00</v>
      </c>
      <c r="Q26" s="117">
        <f t="shared" ref="Q26:Q27" si="71">+P26+O26</f>
        <v>0</v>
      </c>
      <c r="R26" s="136" t="e">
        <f t="shared" ref="R26:R27" si="72">(Q26/N26)</f>
        <v>#DIV/0!</v>
      </c>
      <c r="S26" s="134" t="e">
        <f t="shared" si="30"/>
        <v>#DIV/0!</v>
      </c>
      <c r="T26" s="111">
        <f>Recepcion!K52</f>
        <v>0</v>
      </c>
      <c r="U26" s="96" t="e">
        <f t="shared" ref="U26:U27" si="73">(T26/N26)</f>
        <v>#DIV/0!</v>
      </c>
      <c r="V26" s="118" t="e">
        <f t="shared" si="32"/>
        <v>#DIV/0!</v>
      </c>
      <c r="W26" t="str">
        <f t="shared" ref="W26:W27" si="74">TEXT((N26-(Q26+T26)),"#,0.00")</f>
        <v>0.00</v>
      </c>
      <c r="X26" s="124">
        <f>IF(E27&lt;&gt;"",VLOOKUP(E26,'Base de Datos'!$Y$3:$Z$22,2,FALSE),"")</f>
        <v>44196</v>
      </c>
      <c r="Y26" s="148">
        <f ca="1">+('Base de Datos'!$W$6)+90</f>
        <v>45291</v>
      </c>
      <c r="Z26" s="149"/>
      <c r="AA26" t="e">
        <f>TEXT(#REF!,"0,000%")</f>
        <v>#REF!</v>
      </c>
      <c r="AB26" t="e">
        <f>TEXT(#REF!,"0,000%")</f>
        <v>#REF!</v>
      </c>
      <c r="AC26" s="148" t="e">
        <f>TEXT(#REF!,"mmmm")</f>
        <v>#REF!</v>
      </c>
    </row>
    <row r="27" spans="1:29" x14ac:dyDescent="0.25">
      <c r="A27" t="s">
        <v>333</v>
      </c>
      <c r="B27" t="s">
        <v>46</v>
      </c>
      <c r="C27">
        <v>2023</v>
      </c>
      <c r="D27" t="s">
        <v>9</v>
      </c>
      <c r="E27" t="s">
        <v>17</v>
      </c>
      <c r="F27" t="s">
        <v>12</v>
      </c>
      <c r="G27" s="116" t="str">
        <f>+IF(Recepcion!H53&lt;0,Recepcion!H53,"")</f>
        <v/>
      </c>
      <c r="H27" s="116" t="str">
        <f t="shared" si="70"/>
        <v>1.71</v>
      </c>
      <c r="I27" s="116" t="str">
        <f>+IF(Recepcion!K53&lt;0,"",TEXT(Recepcion!K53,"#,0.00"))</f>
        <v>0.63</v>
      </c>
      <c r="J27" s="116" t="str">
        <f>+IF(Recepcion!H53&gt;0, TEXT(Recepcion!H53,"#,0.00"))</f>
        <v>11.42</v>
      </c>
      <c r="K27" s="178" t="str">
        <f>+IF(Recepcion!M53&gt;0,"",Recepcion!M53)</f>
        <v/>
      </c>
      <c r="L27" s="178" t="str">
        <f>+IF(Recepcion!K53&gt;0,"",Recepcion!K53)</f>
        <v/>
      </c>
      <c r="M27" s="176" t="str">
        <f>TEXT(Recepcion!G53,"#,0.00")</f>
        <v>3,409,098.00</v>
      </c>
      <c r="N27" t="str">
        <f>TEXT(Recepcion!H53,"#,0.00")</f>
        <v>11.42</v>
      </c>
      <c r="O27" t="str">
        <f>TEXT((Recepcion!I53),"#,0.00")</f>
        <v>0.57</v>
      </c>
      <c r="P27" t="str">
        <f>TEXT(Recepcion!J53,"#,0.00")</f>
        <v>1.14</v>
      </c>
      <c r="Q27" s="117">
        <f t="shared" si="71"/>
        <v>1.71</v>
      </c>
      <c r="R27" s="136">
        <f t="shared" si="72"/>
        <v>0.14973730297723292</v>
      </c>
      <c r="S27" s="134" t="str">
        <f t="shared" si="30"/>
        <v>14.974%</v>
      </c>
      <c r="T27" s="111">
        <f>Recepcion!K53</f>
        <v>0.63</v>
      </c>
      <c r="U27" s="96">
        <f t="shared" si="73"/>
        <v>5.5166374781085818E-2</v>
      </c>
      <c r="V27" s="118" t="str">
        <f t="shared" si="32"/>
        <v>5.52%</v>
      </c>
      <c r="W27" t="str">
        <f t="shared" si="74"/>
        <v>9.08</v>
      </c>
      <c r="X27" s="124">
        <f>IF(E28&lt;&gt;"",VLOOKUP(E27,'Base de Datos'!$Y$3:$Z$22,2,FALSE),"")</f>
        <v>44196</v>
      </c>
      <c r="Y27" s="148">
        <f ca="1">+('Base de Datos'!$W$6)+90</f>
        <v>45291</v>
      </c>
      <c r="Z27" s="149" t="s">
        <v>339</v>
      </c>
      <c r="AA27" t="e">
        <f>TEXT(#REF!,"0,000%")</f>
        <v>#REF!</v>
      </c>
      <c r="AB27" t="e">
        <f>TEXT(#REF!,"0,000%")</f>
        <v>#REF!</v>
      </c>
      <c r="AC27" s="148" t="e">
        <f>TEXT(#REF!,"mmmm")</f>
        <v>#REF!</v>
      </c>
    </row>
    <row r="28" spans="1:29" x14ac:dyDescent="0.25">
      <c r="A28" t="s">
        <v>333</v>
      </c>
      <c r="B28" t="s">
        <v>46</v>
      </c>
      <c r="C28">
        <v>2023</v>
      </c>
      <c r="D28" t="s">
        <v>4</v>
      </c>
      <c r="E28" t="s">
        <v>14</v>
      </c>
      <c r="F28" t="s">
        <v>5</v>
      </c>
      <c r="G28" s="116" t="str">
        <f>+IF(Recepcion!H54&lt;0,Recepcion!H54,"")</f>
        <v/>
      </c>
      <c r="H28" s="116" t="str">
        <f t="shared" ref="H28:H29" si="75">+IF((O28+P28)&lt;0,"",TEXT((O28+P28),"#,0.00"))</f>
        <v>0.00</v>
      </c>
      <c r="I28" s="116" t="str">
        <f>+IF(Recepcion!K54&lt;0,"",TEXT(Recepcion!K54,"#,0.00"))</f>
        <v>0.00</v>
      </c>
      <c r="J28" s="116" t="b">
        <f>+IF(Recepcion!H54&gt;0, TEXT(Recepcion!H54,"#,0.00"))</f>
        <v>0</v>
      </c>
      <c r="K28" s="178">
        <f>+IF(Recepcion!M54&gt;0,"",Recepcion!M54)</f>
        <v>0</v>
      </c>
      <c r="L28" s="178">
        <f>+IF(Recepcion!K54&gt;0,"",Recepcion!K54)</f>
        <v>0</v>
      </c>
      <c r="M28" s="176" t="str">
        <f>TEXT(Recepcion!G54,"#,0.00")</f>
        <v>0.00</v>
      </c>
      <c r="N28" t="str">
        <f>TEXT(Recepcion!H54,"#,0.00")</f>
        <v>0.00</v>
      </c>
      <c r="O28" t="str">
        <f>TEXT((Recepcion!I54),"#,0.00")</f>
        <v>0.00</v>
      </c>
      <c r="P28" t="str">
        <f>TEXT(Recepcion!J54,"#,0.00")</f>
        <v>0.00</v>
      </c>
      <c r="Q28" s="117">
        <f t="shared" ref="Q28:Q29" si="76">+P28+O28</f>
        <v>0</v>
      </c>
      <c r="R28" s="136" t="e">
        <f t="shared" ref="R28:R29" si="77">(Q28/N28)</f>
        <v>#DIV/0!</v>
      </c>
      <c r="S28" s="134" t="e">
        <f t="shared" si="30"/>
        <v>#DIV/0!</v>
      </c>
      <c r="T28" s="111">
        <f>Recepcion!K54</f>
        <v>0</v>
      </c>
      <c r="U28" s="96" t="e">
        <f t="shared" ref="U28:U29" si="78">(T28/N28)</f>
        <v>#DIV/0!</v>
      </c>
      <c r="V28" s="118" t="e">
        <f t="shared" si="32"/>
        <v>#DIV/0!</v>
      </c>
      <c r="W28" t="str">
        <f t="shared" ref="W28:W29" si="79">TEXT((N28-(Q28+T28)),"#,0.00")</f>
        <v>0.00</v>
      </c>
      <c r="X28" s="124">
        <f>IF(E29&lt;&gt;"",VLOOKUP(E28,'Base de Datos'!$Y$3:$Z$22,2,FALSE),"")</f>
        <v>44196</v>
      </c>
      <c r="Y28" s="148">
        <f ca="1">+('Base de Datos'!$W$6)+90</f>
        <v>45291</v>
      </c>
      <c r="Z28" s="149"/>
      <c r="AA28" t="e">
        <f>TEXT(#REF!,"0,000%")</f>
        <v>#REF!</v>
      </c>
      <c r="AB28" t="e">
        <f>TEXT(#REF!,"0,000%")</f>
        <v>#REF!</v>
      </c>
      <c r="AC28" s="148" t="e">
        <f>TEXT(#REF!,"mmmm")</f>
        <v>#REF!</v>
      </c>
    </row>
    <row r="29" spans="1:29" x14ac:dyDescent="0.25">
      <c r="A29" t="s">
        <v>333</v>
      </c>
      <c r="B29" t="s">
        <v>46</v>
      </c>
      <c r="C29">
        <v>2023</v>
      </c>
      <c r="D29" t="s">
        <v>4</v>
      </c>
      <c r="E29" t="s">
        <v>15</v>
      </c>
      <c r="F29" t="s">
        <v>7</v>
      </c>
      <c r="G29" s="116" t="str">
        <f>+IF(Recepcion!H55&lt;0,Recepcion!H55,"")</f>
        <v/>
      </c>
      <c r="H29" s="116" t="str">
        <f t="shared" si="75"/>
        <v>0.00</v>
      </c>
      <c r="I29" s="116" t="str">
        <f>+IF(Recepcion!K55&lt;0,"",TEXT(Recepcion!K55,"#,0.00"))</f>
        <v>0.00</v>
      </c>
      <c r="J29" s="116" t="b">
        <f>+IF(Recepcion!H55&gt;0, TEXT(Recepcion!H55,"#,0.00"))</f>
        <v>0</v>
      </c>
      <c r="K29" s="178">
        <f>+IF(Recepcion!M55&gt;0,"",Recepcion!M55)</f>
        <v>0</v>
      </c>
      <c r="L29" s="178">
        <f>+IF(Recepcion!K55&gt;0,"",Recepcion!K55)</f>
        <v>0</v>
      </c>
      <c r="M29" s="176" t="str">
        <f>TEXT(Recepcion!G55,"#,0.00")</f>
        <v>0.00</v>
      </c>
      <c r="N29" t="str">
        <f>TEXT(Recepcion!H55,"#,0.00")</f>
        <v>0.00</v>
      </c>
      <c r="O29" t="str">
        <f>TEXT((Recepcion!I55),"#,0.00")</f>
        <v>0.00</v>
      </c>
      <c r="P29" t="str">
        <f>TEXT(Recepcion!J55,"#,0.00")</f>
        <v>0.00</v>
      </c>
      <c r="Q29" s="117">
        <f t="shared" si="76"/>
        <v>0</v>
      </c>
      <c r="R29" s="136" t="e">
        <f t="shared" si="77"/>
        <v>#DIV/0!</v>
      </c>
      <c r="S29" s="134" t="e">
        <f t="shared" si="30"/>
        <v>#DIV/0!</v>
      </c>
      <c r="T29" s="111">
        <f>Recepcion!K55</f>
        <v>0</v>
      </c>
      <c r="U29" s="96" t="e">
        <f t="shared" si="78"/>
        <v>#DIV/0!</v>
      </c>
      <c r="V29" s="118" t="e">
        <f t="shared" si="32"/>
        <v>#DIV/0!</v>
      </c>
      <c r="W29" t="str">
        <f t="shared" si="79"/>
        <v>0.00</v>
      </c>
      <c r="X29" s="124">
        <f>IF(E30&lt;&gt;"",VLOOKUP(E29,'Base de Datos'!$Y$3:$Z$22,2,FALSE),"")</f>
        <v>44196</v>
      </c>
      <c r="Y29" s="148">
        <f ca="1">+('Base de Datos'!$W$6)+90</f>
        <v>45291</v>
      </c>
      <c r="Z29" s="149"/>
      <c r="AA29" t="e">
        <f>TEXT(#REF!,"0,000%")</f>
        <v>#REF!</v>
      </c>
      <c r="AB29" t="e">
        <f>TEXT(#REF!,"0,000%")</f>
        <v>#REF!</v>
      </c>
      <c r="AC29" s="148" t="e">
        <f>TEXT(#REF!,"mmmm")</f>
        <v>#REF!</v>
      </c>
    </row>
    <row r="30" spans="1:29" x14ac:dyDescent="0.25">
      <c r="A30" t="s">
        <v>331</v>
      </c>
      <c r="B30" t="s">
        <v>46</v>
      </c>
      <c r="C30">
        <v>2023</v>
      </c>
      <c r="D30" t="s">
        <v>1</v>
      </c>
      <c r="E30" t="s">
        <v>0</v>
      </c>
      <c r="F30" t="s">
        <v>2</v>
      </c>
      <c r="G30" s="116" t="str">
        <f>+IF(Recepcion!H56&lt;0,Recepcion!H56,"")</f>
        <v/>
      </c>
      <c r="H30" s="116" t="str">
        <f t="shared" ref="H30:H31" si="80">+IF((O30+P30)&lt;0,"",TEXT((O30+P30),"#,0.00"))</f>
        <v>98.21</v>
      </c>
      <c r="I30" s="116" t="str">
        <f>+IF(Recepcion!K56&lt;0,"",TEXT(Recepcion!K56,"#,0.00"))</f>
        <v>7.60</v>
      </c>
      <c r="J30" s="116" t="str">
        <f>+IF(Recepcion!H56&gt;0, TEXT(Recepcion!H56,"#,0.00"))</f>
        <v>329.46</v>
      </c>
      <c r="K30" s="178" t="str">
        <f>+IF(Recepcion!M56&gt;0,"",Recepcion!M56)</f>
        <v/>
      </c>
      <c r="L30" s="178" t="str">
        <f>+IF(Recepcion!K56&gt;0,"",Recepcion!K56)</f>
        <v/>
      </c>
      <c r="M30" s="176" t="str">
        <f>TEXT(Recepcion!G56,"#,0.00")</f>
        <v>2,784,019.82</v>
      </c>
      <c r="N30" t="str">
        <f>TEXT(Recepcion!H56,"#,0.00")</f>
        <v>329.46</v>
      </c>
      <c r="O30" t="str">
        <f>TEXT((Recepcion!I56),"#,0.00")</f>
        <v>57.03</v>
      </c>
      <c r="P30" t="str">
        <f>TEXT(Recepcion!J56,"#,0.00")</f>
        <v>41.18</v>
      </c>
      <c r="Q30" s="117">
        <f t="shared" ref="Q30:Q31" si="81">+P30+O30</f>
        <v>98.210000000000008</v>
      </c>
      <c r="R30" s="136">
        <f t="shared" ref="R30:R31" si="82">(Q30/N30)</f>
        <v>0.29809385054331333</v>
      </c>
      <c r="S30" s="134" t="str">
        <f t="shared" si="30"/>
        <v>29.809%</v>
      </c>
      <c r="T30" s="111">
        <f>Recepcion!K56</f>
        <v>7.6002250170139618</v>
      </c>
      <c r="U30" s="96">
        <f t="shared" ref="U30:U31" si="83">(T30/N30)</f>
        <v>2.30687337370666E-2</v>
      </c>
      <c r="V30" s="118" t="str">
        <f t="shared" si="32"/>
        <v>2.31%</v>
      </c>
      <c r="W30" t="str">
        <f t="shared" ref="W30:W31" si="84">TEXT((N30-(Q30+T30)),"#,0.00")</f>
        <v>223.65</v>
      </c>
      <c r="X30" s="124" t="str">
        <f>IF(E31&lt;&gt;"",VLOOKUP(E30,'Base de Datos'!$Y$3:$Z$22,2,FALSE),"")</f>
        <v/>
      </c>
      <c r="Y30" s="148">
        <f ca="1">+('Base de Datos'!$W$6)+90</f>
        <v>45291</v>
      </c>
      <c r="Z30" s="149" t="s">
        <v>339</v>
      </c>
      <c r="AA30" t="e">
        <f>TEXT(#REF!,"0,000%")</f>
        <v>#REF!</v>
      </c>
      <c r="AB30" t="e">
        <f>TEXT(#REF!,"0,000%")</f>
        <v>#REF!</v>
      </c>
      <c r="AC30" s="148" t="e">
        <f>TEXT(#REF!,"mmmm")</f>
        <v>#REF!</v>
      </c>
    </row>
    <row r="31" spans="1:29" x14ac:dyDescent="0.25">
      <c r="A31" t="s">
        <v>332</v>
      </c>
      <c r="B31" t="s">
        <v>332</v>
      </c>
      <c r="C31" t="s">
        <v>332</v>
      </c>
      <c r="D31" t="s">
        <v>332</v>
      </c>
      <c r="E31" t="s">
        <v>332</v>
      </c>
      <c r="F31" t="s">
        <v>332</v>
      </c>
      <c r="G31" s="116" t="str">
        <f>+IF(Recepcion!H57&lt;0,Recepcion!H57,"")</f>
        <v/>
      </c>
      <c r="H31" s="116" t="str">
        <f t="shared" si="80"/>
        <v>0.00</v>
      </c>
      <c r="I31" s="116" t="str">
        <f>+IF(Recepcion!K57&lt;0,"",TEXT(Recepcion!K57,"#,0.00"))</f>
        <v>0.00</v>
      </c>
      <c r="J31" s="116" t="b">
        <f>+IF(Recepcion!H57&gt;0, TEXT(Recepcion!H57,"#,0.00"))</f>
        <v>0</v>
      </c>
      <c r="K31" s="178">
        <f>+IF(Recepcion!M57&gt;0,"",Recepcion!M57)</f>
        <v>0</v>
      </c>
      <c r="L31" s="178">
        <f>+IF(Recepcion!K57&gt;0,"",Recepcion!K57)</f>
        <v>0</v>
      </c>
      <c r="M31" s="176" t="str">
        <f>TEXT(Recepcion!G57,"#,0.00")</f>
        <v>0.00</v>
      </c>
      <c r="N31" t="str">
        <f>TEXT(Recepcion!H57,"#,0.00")</f>
        <v>0.00</v>
      </c>
      <c r="O31" t="str">
        <f>TEXT((Recepcion!I57),"#,0.00")</f>
        <v>0.00</v>
      </c>
      <c r="P31" t="str">
        <f>TEXT(Recepcion!J57,"#,0.00")</f>
        <v>0.00</v>
      </c>
      <c r="Q31" s="117">
        <f t="shared" si="81"/>
        <v>0</v>
      </c>
      <c r="R31" s="136" t="e">
        <f t="shared" si="82"/>
        <v>#DIV/0!</v>
      </c>
      <c r="S31" s="134" t="e">
        <f t="shared" si="30"/>
        <v>#DIV/0!</v>
      </c>
      <c r="T31" s="111">
        <f>Recepcion!K57</f>
        <v>0</v>
      </c>
      <c r="U31" s="96" t="e">
        <f t="shared" si="83"/>
        <v>#DIV/0!</v>
      </c>
      <c r="V31" s="118" t="e">
        <f t="shared" si="32"/>
        <v>#DIV/0!</v>
      </c>
      <c r="W31" t="str">
        <f t="shared" si="84"/>
        <v>0.00</v>
      </c>
      <c r="X31" s="124" t="e">
        <f>IF(E32&lt;&gt;"",VLOOKUP(E31,'Base de Datos'!$Y$3:$Z$22,2,FALSE),"")</f>
        <v>#N/A</v>
      </c>
      <c r="Y31" s="148">
        <f ca="1">+('Base de Datos'!$W$6)+90</f>
        <v>45291</v>
      </c>
      <c r="Z31" s="149"/>
      <c r="AA31" t="e">
        <f>TEXT(#REF!,"0,000%")</f>
        <v>#REF!</v>
      </c>
      <c r="AB31" t="e">
        <f>TEXT(#REF!,"0,000%")</f>
        <v>#REF!</v>
      </c>
      <c r="AC31" s="148" t="e">
        <f>TEXT(#REF!,"mmmm")</f>
        <v>#REF!</v>
      </c>
    </row>
    <row r="32" spans="1:29" x14ac:dyDescent="0.25">
      <c r="A32" t="s">
        <v>331</v>
      </c>
      <c r="B32" t="s">
        <v>46</v>
      </c>
      <c r="C32">
        <v>2023</v>
      </c>
      <c r="D32" t="s">
        <v>9</v>
      </c>
      <c r="E32" t="s">
        <v>8</v>
      </c>
      <c r="F32" t="s">
        <v>10</v>
      </c>
      <c r="G32" s="116" t="str">
        <f>+IF(Recepcion!H58&lt;0,Recepcion!H58,"")</f>
        <v/>
      </c>
      <c r="H32" s="116" t="str">
        <f t="shared" ref="H32:H33" si="85">+IF((O32+P32)&lt;0,"",TEXT((O32+P32),"#,0.00"))</f>
        <v>0.00</v>
      </c>
      <c r="I32" s="116" t="str">
        <f>+IF(Recepcion!K58&lt;0,"",TEXT(Recepcion!K58,"#,0.00"))</f>
        <v>0.00</v>
      </c>
      <c r="J32" s="116" t="b">
        <f>+IF(Recepcion!H58&gt;0, TEXT(Recepcion!H58,"#,0.00"))</f>
        <v>0</v>
      </c>
      <c r="K32" s="178">
        <f>+IF(Recepcion!M58&gt;0,"",Recepcion!M58)</f>
        <v>0</v>
      </c>
      <c r="L32" s="178">
        <f>+IF(Recepcion!K58&gt;0,"",Recepcion!K58)</f>
        <v>0</v>
      </c>
      <c r="M32" s="176" t="str">
        <f>TEXT(Recepcion!G58,"#,0.00")</f>
        <v>0.00</v>
      </c>
      <c r="N32" t="str">
        <f>TEXT(Recepcion!H58,"#,0.00")</f>
        <v>0.00</v>
      </c>
      <c r="O32" t="str">
        <f>TEXT((Recepcion!I58),"#,0.00")</f>
        <v>0.00</v>
      </c>
      <c r="P32" t="str">
        <f>TEXT(Recepcion!J58,"#,0.00")</f>
        <v>0.00</v>
      </c>
      <c r="Q32" s="117">
        <f t="shared" ref="Q32:Q33" si="86">+P32+O32</f>
        <v>0</v>
      </c>
      <c r="R32" s="136" t="e">
        <f t="shared" ref="R32:R33" si="87">(Q32/N32)</f>
        <v>#DIV/0!</v>
      </c>
      <c r="S32" s="134" t="e">
        <f t="shared" si="30"/>
        <v>#DIV/0!</v>
      </c>
      <c r="T32" s="111">
        <f>Recepcion!K58</f>
        <v>0</v>
      </c>
      <c r="U32" s="96" t="e">
        <f t="shared" ref="U32:U33" si="88">(T32/N32)</f>
        <v>#DIV/0!</v>
      </c>
      <c r="V32" s="118" t="e">
        <f t="shared" si="32"/>
        <v>#DIV/0!</v>
      </c>
      <c r="W32" t="str">
        <f t="shared" ref="W32:W33" si="89">TEXT((N32-(Q32+T32)),"#,0.00")</f>
        <v>0.00</v>
      </c>
      <c r="X32" s="124">
        <f>IF(E33&lt;&gt;"",VLOOKUP(E32,'Base de Datos'!$Y$3:$Z$22,2,FALSE),"")</f>
        <v>43830</v>
      </c>
      <c r="Y32" s="148">
        <f ca="1">+('Base de Datos'!$W$6)+90</f>
        <v>45291</v>
      </c>
      <c r="Z32" s="149"/>
      <c r="AA32" t="e">
        <f>TEXT(#REF!,"0,000%")</f>
        <v>#REF!</v>
      </c>
      <c r="AB32" t="e">
        <f>TEXT(#REF!,"0,000%")</f>
        <v>#REF!</v>
      </c>
      <c r="AC32" s="148" t="e">
        <f>TEXT(#REF!,"mmmm")</f>
        <v>#REF!</v>
      </c>
    </row>
    <row r="33" spans="1:29" x14ac:dyDescent="0.25">
      <c r="A33" t="s">
        <v>331</v>
      </c>
      <c r="B33" t="s">
        <v>46</v>
      </c>
      <c r="C33">
        <v>2023</v>
      </c>
      <c r="D33" t="s">
        <v>9</v>
      </c>
      <c r="E33" t="s">
        <v>11</v>
      </c>
      <c r="F33" t="s">
        <v>12</v>
      </c>
      <c r="G33" s="116" t="str">
        <f>+IF(Recepcion!H59&lt;0,Recepcion!H59,"")</f>
        <v/>
      </c>
      <c r="H33" s="116" t="str">
        <f t="shared" si="85"/>
        <v>0.00</v>
      </c>
      <c r="I33" s="116" t="str">
        <f>+IF(Recepcion!K59&lt;0,"",TEXT(Recepcion!K59,"#,0.00"))</f>
        <v>0.00</v>
      </c>
      <c r="J33" s="116" t="b">
        <f>+IF(Recepcion!H59&gt;0, TEXT(Recepcion!H59,"#,0.00"))</f>
        <v>0</v>
      </c>
      <c r="K33" s="178">
        <f>+IF(Recepcion!M59&gt;0,"",Recepcion!M59)</f>
        <v>0</v>
      </c>
      <c r="L33" s="178">
        <f>+IF(Recepcion!K59&gt;0,"",Recepcion!K59)</f>
        <v>0</v>
      </c>
      <c r="M33" s="176" t="str">
        <f>TEXT(Recepcion!G59,"#,0.00")</f>
        <v>0.00</v>
      </c>
      <c r="N33" t="str">
        <f>TEXT(Recepcion!H59,"#,0.00")</f>
        <v>0.00</v>
      </c>
      <c r="O33" t="str">
        <f>TEXT((Recepcion!I59),"#,0.00")</f>
        <v>0.00</v>
      </c>
      <c r="P33" t="str">
        <f>TEXT(Recepcion!J59,"#,0.00")</f>
        <v>0.00</v>
      </c>
      <c r="Q33" s="117">
        <f t="shared" si="86"/>
        <v>0</v>
      </c>
      <c r="R33" s="136" t="e">
        <f t="shared" si="87"/>
        <v>#DIV/0!</v>
      </c>
      <c r="S33" s="134" t="e">
        <f t="shared" si="30"/>
        <v>#DIV/0!</v>
      </c>
      <c r="T33" s="111">
        <f>Recepcion!K59</f>
        <v>0</v>
      </c>
      <c r="U33" s="96" t="e">
        <f t="shared" si="88"/>
        <v>#DIV/0!</v>
      </c>
      <c r="V33" s="118" t="e">
        <f t="shared" si="32"/>
        <v>#DIV/0!</v>
      </c>
      <c r="W33" t="str">
        <f t="shared" si="89"/>
        <v>0.00</v>
      </c>
      <c r="X33" s="124">
        <f>IF(E34&lt;&gt;"",VLOOKUP(E33,'Base de Datos'!$Y$3:$Z$22,2,FALSE),"")</f>
        <v>43830</v>
      </c>
      <c r="Y33" s="148">
        <f ca="1">+('Base de Datos'!$W$6)+90</f>
        <v>45291</v>
      </c>
      <c r="Z33" s="149"/>
      <c r="AA33" t="e">
        <f>TEXT(#REF!,"0,000%")</f>
        <v>#REF!</v>
      </c>
      <c r="AB33" t="e">
        <f>TEXT(#REF!,"0,000%")</f>
        <v>#REF!</v>
      </c>
      <c r="AC33" s="148" t="e">
        <f>TEXT(#REF!,"mmmm")</f>
        <v>#REF!</v>
      </c>
    </row>
    <row r="34" spans="1:29" x14ac:dyDescent="0.25">
      <c r="A34" t="s">
        <v>331</v>
      </c>
      <c r="B34" t="s">
        <v>46</v>
      </c>
      <c r="C34">
        <v>2023</v>
      </c>
      <c r="D34" t="s">
        <v>4</v>
      </c>
      <c r="E34" t="s">
        <v>3</v>
      </c>
      <c r="F34" t="s">
        <v>5</v>
      </c>
      <c r="G34" s="116" t="str">
        <f>+IF(Recepcion!H60&lt;0,Recepcion!H60,"")</f>
        <v/>
      </c>
      <c r="H34" s="116" t="str">
        <f t="shared" ref="H34:H35" si="90">+IF((O34+P34)&lt;0,"",TEXT((O34+P34),"#,0.00"))</f>
        <v>0.00</v>
      </c>
      <c r="I34" s="116" t="str">
        <f>+IF(Recepcion!K60&lt;0,"",TEXT(Recepcion!K60,"#,0.00"))</f>
        <v>0.00</v>
      </c>
      <c r="J34" s="116" t="b">
        <f>+IF(Recepcion!H60&gt;0, TEXT(Recepcion!H60,"#,0.00"))</f>
        <v>0</v>
      </c>
      <c r="K34" s="178">
        <f>+IF(Recepcion!M60&gt;0,"",Recepcion!M60)</f>
        <v>0</v>
      </c>
      <c r="L34" s="178">
        <f>+IF(Recepcion!K60&gt;0,"",Recepcion!K60)</f>
        <v>0</v>
      </c>
      <c r="M34" s="176" t="str">
        <f>TEXT(Recepcion!G60,"#,0.00")</f>
        <v>0.00</v>
      </c>
      <c r="N34" t="str">
        <f>TEXT(Recepcion!H60,"#,0.00")</f>
        <v>0.00</v>
      </c>
      <c r="O34" t="str">
        <f>TEXT((Recepcion!I60),"#,0.00")</f>
        <v>0.00</v>
      </c>
      <c r="P34" t="str">
        <f>TEXT(Recepcion!J60,"#,0.00")</f>
        <v>0.00</v>
      </c>
      <c r="Q34" s="117">
        <f t="shared" ref="Q34:Q35" si="91">+P34+O34</f>
        <v>0</v>
      </c>
      <c r="R34" s="136" t="e">
        <f t="shared" ref="R34:R35" si="92">(Q34/N34)</f>
        <v>#DIV/0!</v>
      </c>
      <c r="S34" s="134" t="e">
        <f t="shared" si="30"/>
        <v>#DIV/0!</v>
      </c>
      <c r="T34" s="111">
        <f>Recepcion!K60</f>
        <v>0</v>
      </c>
      <c r="U34" s="96" t="e">
        <f t="shared" ref="U34:U35" si="93">(T34/N34)</f>
        <v>#DIV/0!</v>
      </c>
      <c r="V34" s="118" t="e">
        <f t="shared" si="32"/>
        <v>#DIV/0!</v>
      </c>
      <c r="W34" t="str">
        <f t="shared" ref="W34:W35" si="94">TEXT((N34-(Q34+T34)),"#,0.00")</f>
        <v>0.00</v>
      </c>
      <c r="X34" s="124">
        <f>IF(E35&lt;&gt;"",VLOOKUP(E34,'Base de Datos'!$Y$3:$Z$22,2,FALSE),"")</f>
        <v>43830</v>
      </c>
      <c r="Y34" s="148">
        <f ca="1">+('Base de Datos'!$W$6)+90</f>
        <v>45291</v>
      </c>
      <c r="Z34" s="149"/>
      <c r="AA34" t="e">
        <f>TEXT(#REF!,"0,000%")</f>
        <v>#REF!</v>
      </c>
      <c r="AB34" t="e">
        <f>TEXT(#REF!,"0,000%")</f>
        <v>#REF!</v>
      </c>
      <c r="AC34" s="148" t="e">
        <f>TEXT(#REF!,"mmmm")</f>
        <v>#REF!</v>
      </c>
    </row>
    <row r="35" spans="1:29" x14ac:dyDescent="0.25">
      <c r="A35" t="s">
        <v>331</v>
      </c>
      <c r="B35" t="s">
        <v>46</v>
      </c>
      <c r="C35">
        <v>2023</v>
      </c>
      <c r="D35" t="s">
        <v>4</v>
      </c>
      <c r="E35" t="s">
        <v>6</v>
      </c>
      <c r="F35" t="s">
        <v>7</v>
      </c>
      <c r="G35" s="116" t="str">
        <f>+IF(Recepcion!H61&lt;0,Recepcion!H61,"")</f>
        <v/>
      </c>
      <c r="H35" s="116" t="str">
        <f t="shared" si="90"/>
        <v>0.00</v>
      </c>
      <c r="I35" s="116" t="str">
        <f>+IF(Recepcion!K61&lt;0,"",TEXT(Recepcion!K61,"#,0.00"))</f>
        <v>0.00</v>
      </c>
      <c r="J35" s="116" t="b">
        <f>+IF(Recepcion!H61&gt;0, TEXT(Recepcion!H61,"#,0.00"))</f>
        <v>0</v>
      </c>
      <c r="K35" s="178">
        <f>+IF(Recepcion!M61&gt;0,"",Recepcion!M61)</f>
        <v>0</v>
      </c>
      <c r="L35" s="178">
        <f>+IF(Recepcion!K61&gt;0,"",Recepcion!K61)</f>
        <v>0</v>
      </c>
      <c r="M35" s="176" t="str">
        <f>TEXT(Recepcion!G61,"#,0.00")</f>
        <v>0.00</v>
      </c>
      <c r="N35" t="str">
        <f>TEXT(Recepcion!H61,"#,0.00")</f>
        <v>0.00</v>
      </c>
      <c r="O35" t="str">
        <f>TEXT((Recepcion!I61),"#,0.00")</f>
        <v>0.00</v>
      </c>
      <c r="P35" t="str">
        <f>TEXT(Recepcion!J61,"#,0.00")</f>
        <v>0.00</v>
      </c>
      <c r="Q35" s="117">
        <f t="shared" si="91"/>
        <v>0</v>
      </c>
      <c r="R35" s="136" t="e">
        <f t="shared" si="92"/>
        <v>#DIV/0!</v>
      </c>
      <c r="S35" s="134" t="e">
        <f t="shared" si="30"/>
        <v>#DIV/0!</v>
      </c>
      <c r="T35" s="111">
        <f>Recepcion!K61</f>
        <v>0</v>
      </c>
      <c r="U35" s="96" t="e">
        <f t="shared" si="93"/>
        <v>#DIV/0!</v>
      </c>
      <c r="V35" s="118" t="e">
        <f t="shared" si="32"/>
        <v>#DIV/0!</v>
      </c>
      <c r="W35" t="str">
        <f t="shared" si="94"/>
        <v>0.00</v>
      </c>
      <c r="X35" s="124">
        <f>IF(E36&lt;&gt;"",VLOOKUP(E35,'Base de Datos'!$Y$3:$Z$22,2,FALSE),"")</f>
        <v>43830</v>
      </c>
      <c r="Y35" s="148">
        <f ca="1">+('Base de Datos'!$W$6)+90</f>
        <v>45291</v>
      </c>
      <c r="Z35" s="149"/>
      <c r="AA35" t="e">
        <f>TEXT(#REF!,"0,000%")</f>
        <v>#REF!</v>
      </c>
      <c r="AB35" t="e">
        <f>TEXT(#REF!,"0,000%")</f>
        <v>#REF!</v>
      </c>
      <c r="AC35" s="148" t="e">
        <f>TEXT(#REF!,"mmmm")</f>
        <v>#REF!</v>
      </c>
    </row>
    <row r="36" spans="1:29" x14ac:dyDescent="0.25">
      <c r="A36" s="125" t="s">
        <v>329</v>
      </c>
      <c r="B36" t="s">
        <v>49</v>
      </c>
      <c r="C36">
        <v>2022</v>
      </c>
      <c r="D36" t="s">
        <v>4</v>
      </c>
      <c r="E36" t="s">
        <v>19</v>
      </c>
      <c r="F36" t="s">
        <v>60</v>
      </c>
      <c r="G36" s="116">
        <f>+IF(Recepcion!H62&lt;0,Recepcion!H62,"")</f>
        <v>-8027.5</v>
      </c>
      <c r="H36" s="116" t="str">
        <f>+IF((O36+P36)&lt;0,"",TEXT((O36+P36),"#,0.00"))</f>
        <v/>
      </c>
      <c r="I36" s="116" t="str">
        <f>+IF(Recepcion!K62&lt;0,"",TEXT(Recepcion!K62,"#,0.00"))</f>
        <v/>
      </c>
      <c r="J36" s="116" t="b">
        <f>+IF(Recepcion!H62&gt;0, TEXT(Recepcion!H62,"#,0.00"))</f>
        <v>0</v>
      </c>
      <c r="K36" s="178">
        <f>+IF(Recepcion!M62&gt;0,"",Recepcion!M62)</f>
        <v>-2007.07725</v>
      </c>
      <c r="L36" s="178">
        <f>+IF(Recepcion!K62&gt;0,"",Recepcion!K62)</f>
        <v>-202.94</v>
      </c>
      <c r="M36" s="176" t="str">
        <f>TEXT(Recepcion!G62,"#,0.00")</f>
        <v>3,704,074.96</v>
      </c>
      <c r="N36" t="str">
        <f>TEXT(Recepcion!H62,"#,0.00")</f>
        <v>-8,027.50</v>
      </c>
      <c r="O36" t="str">
        <f>TEXT((Recepcion!I62),"#,0.00")</f>
        <v>-1,204.33</v>
      </c>
      <c r="P36" t="str">
        <f>TEXT(Recepcion!J62,"#,0.00")</f>
        <v>-802.75</v>
      </c>
      <c r="Q36" s="117">
        <f>+P36+O36</f>
        <v>-2007.08</v>
      </c>
      <c r="R36" s="136">
        <f>(Q36/N36)</f>
        <v>0.2500255372158206</v>
      </c>
      <c r="S36" s="134" t="str">
        <f>+IF(R36&lt;0,"Mirar cuadro abajo",TEXT(R36,"0.000%"))</f>
        <v>25.003%</v>
      </c>
      <c r="T36" s="111">
        <f>Recepcion!K62</f>
        <v>-202.94</v>
      </c>
      <c r="U36" s="96">
        <f>(T36/N36)</f>
        <v>2.5280597944565556E-2</v>
      </c>
      <c r="V36" s="118" t="str">
        <f>(IF(U36&lt;0,"Mirar cuadro abajo",TEXT(U36,"0.00%")))</f>
        <v>2.53%</v>
      </c>
      <c r="W36" t="str">
        <f>TEXT((N36-(Q36+T36)),"#,0.00")</f>
        <v>-5,817.48</v>
      </c>
      <c r="X36" s="124">
        <f>IF(E37&lt;&gt;"",VLOOKUP(E36,'Base de Datos'!$Y$3:$Z$22,2,FALSE),"")</f>
        <v>44561</v>
      </c>
      <c r="Y36" s="148">
        <f ca="1">+('Base de Datos'!$W$6)+90</f>
        <v>45291</v>
      </c>
      <c r="Z36" s="149"/>
      <c r="AA36" t="e">
        <f>TEXT(#REF!,"0,000%")</f>
        <v>#REF!</v>
      </c>
      <c r="AB36" t="e">
        <f>TEXT(#REF!,"0,000%")</f>
        <v>#REF!</v>
      </c>
      <c r="AC36" s="148" t="e">
        <f>TEXT(#REF!,"mmmm")</f>
        <v>#REF!</v>
      </c>
    </row>
    <row r="37" spans="1:29" x14ac:dyDescent="0.25">
      <c r="A37" s="125" t="s">
        <v>329</v>
      </c>
      <c r="B37" t="s">
        <v>49</v>
      </c>
      <c r="C37">
        <v>2022</v>
      </c>
      <c r="D37" t="s">
        <v>4</v>
      </c>
      <c r="E37" t="s">
        <v>20</v>
      </c>
      <c r="F37" t="s">
        <v>59</v>
      </c>
      <c r="G37" s="116" t="str">
        <f>+IF(Recepcion!H63&lt;0,Recepcion!H63,"")</f>
        <v/>
      </c>
      <c r="H37" s="116" t="str">
        <f>+IF((O37+P37)&lt;0,"",TEXT((O37+P37),"#,0.0"))</f>
        <v>2,898.7</v>
      </c>
      <c r="I37" s="116" t="str">
        <f>+IF(Recepcion!K63&lt;0,"",TEXT(Recepcion!K63,"#,0.0"))</f>
        <v>58.3</v>
      </c>
      <c r="J37" s="116" t="str">
        <f>+IF(Recepcion!H63&gt;0,TEXT(Recepcion!H63,"#,0.0"))</f>
        <v>9,826.8</v>
      </c>
      <c r="K37" s="178" t="str">
        <f>+IF(Recepcion!M63&gt;0,"",Recepcion!M63)</f>
        <v/>
      </c>
      <c r="L37" s="178" t="str">
        <f>+IF(Recepcion!K63&gt;0,"",Recepcion!K63)</f>
        <v/>
      </c>
      <c r="M37" s="176" t="str">
        <f>TEXT(Recepcion!G63,"#,0.0")</f>
        <v>4,906,606.1</v>
      </c>
      <c r="N37" t="str">
        <f>TEXT(Recepcion!H63,"#,0.0")</f>
        <v>9,826.8</v>
      </c>
      <c r="O37" t="str">
        <f>TEXT(Recepcion!I63,"#,0.0")</f>
        <v>1,916.0</v>
      </c>
      <c r="P37" t="str">
        <f>TEXT(Recepcion!J63,"#,0.0")</f>
        <v>982.7</v>
      </c>
      <c r="Q37" s="117">
        <f>+P37+O37</f>
        <v>2898.7</v>
      </c>
      <c r="R37" s="136">
        <f>(Q37/N37)</f>
        <v>0.29497903691944477</v>
      </c>
      <c r="S37" s="134" t="str">
        <f>+IF(R37&lt;0,"Mirar cuadro abajo",TEXT(R37,"0.000%"))</f>
        <v>29.498%</v>
      </c>
      <c r="T37" s="111">
        <f>Recepcion!K63</f>
        <v>58.330000000000091</v>
      </c>
      <c r="U37" s="96">
        <f>(T37/N37)</f>
        <v>5.9358081979891822E-3</v>
      </c>
      <c r="V37" s="118" t="str">
        <f>(IF(U37&lt;0,"Mirar cuadro abajo",TEXT(U37,"0.00%")))</f>
        <v>0.59%</v>
      </c>
      <c r="W37" t="str">
        <f>TEXT((N37-(Q37+T37)),"#,0.0")</f>
        <v>6,869.8</v>
      </c>
      <c r="X37" s="124">
        <f>+VLOOKUP(E37,'Base de Datos'!$Y$3:$Z$22,2,FALSE)</f>
        <v>44561</v>
      </c>
      <c r="Y37" s="148">
        <f ca="1">+('Base de Datos'!$W$6)+90</f>
        <v>45291</v>
      </c>
      <c r="Z37" s="149"/>
      <c r="AA37" t="e">
        <f>TEXT(#REF!,"0,000%")</f>
        <v>#REF!</v>
      </c>
      <c r="AB37" t="e">
        <f>TEXT(#REF!,"0,000%")</f>
        <v>#REF!</v>
      </c>
      <c r="AC37" s="148" t="e">
        <f>TEXT(#REF!,"mmmm")</f>
        <v>#REF!</v>
      </c>
    </row>
    <row r="38" spans="1:29" x14ac:dyDescent="0.25">
      <c r="A38" s="125"/>
      <c r="Z38" s="149"/>
    </row>
    <row r="39" spans="1:29" x14ac:dyDescent="0.25">
      <c r="Z39" s="149"/>
    </row>
    <row r="40" spans="1:29" x14ac:dyDescent="0.25">
      <c r="Z40" s="149"/>
    </row>
    <row r="41" spans="1:29" x14ac:dyDescent="0.25">
      <c r="Z41" s="149"/>
    </row>
    <row r="42" spans="1:29" x14ac:dyDescent="0.25">
      <c r="Z42" s="149"/>
    </row>
    <row r="43" spans="1:29" x14ac:dyDescent="0.25">
      <c r="Z43" s="149"/>
    </row>
    <row r="44" spans="1:29" x14ac:dyDescent="0.25">
      <c r="Z44" s="149"/>
    </row>
    <row r="45" spans="1:29" x14ac:dyDescent="0.25">
      <c r="T45" s="135"/>
      <c r="Z45" s="149"/>
    </row>
    <row r="46" spans="1:29" x14ac:dyDescent="0.25">
      <c r="Z46" s="149"/>
    </row>
    <row r="47" spans="1:29" x14ac:dyDescent="0.25">
      <c r="Z47" s="149"/>
    </row>
    <row r="48" spans="1:29" x14ac:dyDescent="0.25">
      <c r="Z48" s="149"/>
    </row>
    <row r="49" spans="26:26" x14ac:dyDescent="0.25">
      <c r="Z49" s="149"/>
    </row>
    <row r="50" spans="26:26" x14ac:dyDescent="0.25">
      <c r="Z50" s="149"/>
    </row>
    <row r="51" spans="26:26" x14ac:dyDescent="0.25">
      <c r="Z51" s="149"/>
    </row>
    <row r="52" spans="26:26" x14ac:dyDescent="0.25">
      <c r="Z52" s="149"/>
    </row>
    <row r="53" spans="26:26" x14ac:dyDescent="0.25">
      <c r="Z53" s="149"/>
    </row>
    <row r="54" spans="26:26" x14ac:dyDescent="0.25">
      <c r="Z54" s="149"/>
    </row>
    <row r="55" spans="26:26" x14ac:dyDescent="0.25">
      <c r="Z55" s="149"/>
    </row>
    <row r="56" spans="26:26" x14ac:dyDescent="0.25">
      <c r="Z56" s="149"/>
    </row>
    <row r="57" spans="26:26" x14ac:dyDescent="0.25">
      <c r="Z57" s="149"/>
    </row>
    <row r="58" spans="26:26" x14ac:dyDescent="0.25">
      <c r="Z58" s="149"/>
    </row>
    <row r="59" spans="26:26" x14ac:dyDescent="0.25">
      <c r="Z59" s="149"/>
    </row>
    <row r="60" spans="26:26" x14ac:dyDescent="0.25">
      <c r="Z60" s="149"/>
    </row>
    <row r="61" spans="26:26" x14ac:dyDescent="0.25">
      <c r="Z61" s="149"/>
    </row>
    <row r="62" spans="26:26" ht="15.95" customHeight="1" x14ac:dyDescent="0.25">
      <c r="Z62" s="149"/>
    </row>
    <row r="63" spans="26:26" x14ac:dyDescent="0.25">
      <c r="Z63" s="149"/>
    </row>
    <row r="71" spans="27:27" x14ac:dyDescent="0.25">
      <c r="AA71" s="135"/>
    </row>
  </sheetData>
  <autoFilter ref="A1:AB64" xr:uid="{00000000-0009-0000-0000-000002000000}"/>
  <phoneticPr fontId="35" type="noConversion"/>
  <hyperlinks>
    <hyperlink ref="Z10" r:id="rId1" xr:uid="{00000000-0004-0000-0200-000000000000}"/>
    <hyperlink ref="Z13" r:id="rId2" xr:uid="{00000000-0004-0000-0200-000001000000}"/>
    <hyperlink ref="Z12" r:id="rId3" xr:uid="{00000000-0004-0000-0200-000002000000}"/>
    <hyperlink ref="Z14" r:id="rId4" xr:uid="{00000000-0004-0000-0200-000003000000}"/>
    <hyperlink ref="Z16" r:id="rId5" xr:uid="{00000000-0004-0000-0200-000004000000}"/>
    <hyperlink ref="Z18" r:id="rId6" xr:uid="{00000000-0004-0000-0200-000005000000}"/>
    <hyperlink ref="Z21" r:id="rId7" xr:uid="{00000000-0004-0000-0200-000006000000}"/>
    <hyperlink ref="Z27" r:id="rId8" xr:uid="{00000000-0004-0000-0200-000007000000}"/>
    <hyperlink ref="Z30" r:id="rId9" xr:uid="{00000000-0004-0000-0200-000008000000}"/>
    <hyperlink ref="Z2" r:id="rId10" xr:uid="{00000000-0004-0000-0200-000009000000}"/>
  </hyperlinks>
  <pageMargins left="0.7" right="0.7" top="0.75" bottom="0.75" header="0.3" footer="0.3"/>
  <pageSetup orientation="portrait"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G57"/>
  <sheetViews>
    <sheetView workbookViewId="0">
      <selection activeCell="F1" sqref="F1"/>
    </sheetView>
  </sheetViews>
  <sheetFormatPr defaultRowHeight="15" x14ac:dyDescent="0.25"/>
  <cols>
    <col min="1" max="1" width="12.28515625" style="2" customWidth="1"/>
    <col min="2" max="2" width="20.140625" style="2" customWidth="1"/>
    <col min="3" max="3" width="8.7109375" style="2"/>
    <col min="6" max="6" width="30.28515625" bestFit="1" customWidth="1"/>
    <col min="7" max="7" width="12.85546875" bestFit="1" customWidth="1"/>
  </cols>
  <sheetData>
    <row r="1" spans="1:7" x14ac:dyDescent="0.25">
      <c r="A1" s="150" t="s">
        <v>385</v>
      </c>
      <c r="B1" s="151" t="s">
        <v>340</v>
      </c>
      <c r="C1" s="152" t="s">
        <v>341</v>
      </c>
      <c r="D1" s="152" t="s">
        <v>342</v>
      </c>
    </row>
    <row r="2" spans="1:7" ht="29.1" customHeight="1" x14ac:dyDescent="0.25">
      <c r="A2" s="153"/>
      <c r="B2" s="154" t="s">
        <v>386</v>
      </c>
      <c r="C2" s="155" t="s">
        <v>387</v>
      </c>
      <c r="D2" s="156" t="s">
        <v>388</v>
      </c>
      <c r="F2" t="s">
        <v>508</v>
      </c>
      <c r="G2">
        <f>LEN(F2)</f>
        <v>15</v>
      </c>
    </row>
    <row r="3" spans="1:7" ht="29.1" customHeight="1" x14ac:dyDescent="0.25">
      <c r="A3" s="153"/>
      <c r="B3" s="154" t="s">
        <v>389</v>
      </c>
      <c r="C3" s="155" t="s">
        <v>390</v>
      </c>
      <c r="D3" s="156" t="s">
        <v>391</v>
      </c>
    </row>
    <row r="4" spans="1:7" ht="18" customHeight="1" x14ac:dyDescent="0.25">
      <c r="A4" s="153"/>
      <c r="B4" s="154" t="s">
        <v>343</v>
      </c>
      <c r="C4" s="155" t="s">
        <v>371</v>
      </c>
      <c r="D4" s="156" t="s">
        <v>344</v>
      </c>
      <c r="F4" s="168" t="s">
        <v>509</v>
      </c>
      <c r="G4" s="168" t="s">
        <v>510</v>
      </c>
    </row>
    <row r="5" spans="1:7" ht="29.1" customHeight="1" x14ac:dyDescent="0.25">
      <c r="A5" s="153"/>
      <c r="B5" s="154" t="s">
        <v>392</v>
      </c>
      <c r="C5" s="155" t="s">
        <v>393</v>
      </c>
      <c r="D5" s="156" t="s">
        <v>394</v>
      </c>
      <c r="F5" s="166" t="s">
        <v>511</v>
      </c>
      <c r="G5" s="167">
        <v>-1</v>
      </c>
    </row>
    <row r="6" spans="1:7" ht="29.1" customHeight="1" x14ac:dyDescent="0.25">
      <c r="A6" s="153"/>
      <c r="B6" s="154" t="s">
        <v>395</v>
      </c>
      <c r="C6" s="155" t="s">
        <v>396</v>
      </c>
      <c r="D6" s="156" t="s">
        <v>397</v>
      </c>
      <c r="F6" s="166" t="s">
        <v>512</v>
      </c>
      <c r="G6" s="167">
        <v>-2</v>
      </c>
    </row>
    <row r="7" spans="1:7" ht="29.1" customHeight="1" x14ac:dyDescent="0.25">
      <c r="A7" s="153"/>
      <c r="B7" s="154" t="s">
        <v>398</v>
      </c>
      <c r="C7" s="155" t="s">
        <v>399</v>
      </c>
      <c r="D7" s="156" t="s">
        <v>400</v>
      </c>
      <c r="F7" s="166" t="s">
        <v>513</v>
      </c>
      <c r="G7" s="167">
        <v>-3</v>
      </c>
    </row>
    <row r="8" spans="1:7" ht="29.1" customHeight="1" x14ac:dyDescent="0.25">
      <c r="A8" s="162"/>
      <c r="B8" s="163" t="s">
        <v>401</v>
      </c>
      <c r="C8" s="164" t="s">
        <v>402</v>
      </c>
      <c r="D8" s="165" t="s">
        <v>403</v>
      </c>
    </row>
    <row r="9" spans="1:7" ht="29.1" customHeight="1" x14ac:dyDescent="0.25">
      <c r="A9" s="153"/>
      <c r="B9" s="154" t="s">
        <v>404</v>
      </c>
      <c r="C9" s="155" t="s">
        <v>405</v>
      </c>
      <c r="D9" s="156" t="s">
        <v>406</v>
      </c>
    </row>
    <row r="10" spans="1:7" ht="29.1" customHeight="1" x14ac:dyDescent="0.25">
      <c r="A10" s="153"/>
      <c r="B10" s="154" t="s">
        <v>345</v>
      </c>
      <c r="C10" s="155" t="s">
        <v>372</v>
      </c>
      <c r="D10" s="156" t="s">
        <v>346</v>
      </c>
    </row>
    <row r="11" spans="1:7" ht="29.1" customHeight="1" x14ac:dyDescent="0.25">
      <c r="A11" s="153"/>
      <c r="B11" s="154" t="s">
        <v>407</v>
      </c>
      <c r="C11" s="155" t="s">
        <v>408</v>
      </c>
      <c r="D11" s="156" t="s">
        <v>409</v>
      </c>
    </row>
    <row r="12" spans="1:7" ht="29.1" customHeight="1" x14ac:dyDescent="0.25">
      <c r="A12" s="153"/>
      <c r="B12" s="154" t="s">
        <v>347</v>
      </c>
      <c r="C12" s="155" t="s">
        <v>373</v>
      </c>
      <c r="D12" s="156" t="s">
        <v>348</v>
      </c>
    </row>
    <row r="13" spans="1:7" ht="29.1" customHeight="1" x14ac:dyDescent="0.25">
      <c r="A13" s="153"/>
      <c r="B13" s="154" t="s">
        <v>410</v>
      </c>
      <c r="C13" s="155" t="s">
        <v>411</v>
      </c>
      <c r="D13" s="156" t="s">
        <v>412</v>
      </c>
    </row>
    <row r="14" spans="1:7" ht="29.1" customHeight="1" x14ac:dyDescent="0.25">
      <c r="A14" s="157"/>
      <c r="B14" s="158" t="s">
        <v>349</v>
      </c>
      <c r="C14" s="159" t="s">
        <v>374</v>
      </c>
      <c r="D14" s="160" t="s">
        <v>350</v>
      </c>
    </row>
    <row r="15" spans="1:7" s="2" customFormat="1" ht="42.6" customHeight="1" x14ac:dyDescent="0.25">
      <c r="A15" s="153"/>
      <c r="B15" s="154" t="s">
        <v>351</v>
      </c>
      <c r="C15" s="155" t="s">
        <v>375</v>
      </c>
      <c r="D15" s="156" t="s">
        <v>352</v>
      </c>
    </row>
    <row r="16" spans="1:7" s="2" customFormat="1" ht="42.6" customHeight="1" x14ac:dyDescent="0.25">
      <c r="A16" s="153"/>
      <c r="B16" s="154" t="s">
        <v>413</v>
      </c>
      <c r="C16" s="155" t="s">
        <v>414</v>
      </c>
      <c r="D16" s="156" t="s">
        <v>415</v>
      </c>
    </row>
    <row r="17" spans="1:4" s="2" customFormat="1" ht="42.6" customHeight="1" x14ac:dyDescent="0.25">
      <c r="A17" s="153"/>
      <c r="B17" s="154" t="s">
        <v>416</v>
      </c>
      <c r="C17" s="155" t="s">
        <v>417</v>
      </c>
      <c r="D17" s="156" t="s">
        <v>418</v>
      </c>
    </row>
    <row r="18" spans="1:4" s="2" customFormat="1" ht="42.6" customHeight="1" x14ac:dyDescent="0.25">
      <c r="A18" s="153"/>
      <c r="B18" s="154" t="s">
        <v>419</v>
      </c>
      <c r="C18" s="155" t="s">
        <v>420</v>
      </c>
      <c r="D18" s="156" t="s">
        <v>421</v>
      </c>
    </row>
    <row r="19" spans="1:4" s="2" customFormat="1" ht="42.6" customHeight="1" x14ac:dyDescent="0.25">
      <c r="A19" s="153"/>
      <c r="B19" s="154" t="s">
        <v>422</v>
      </c>
      <c r="C19" s="155" t="s">
        <v>423</v>
      </c>
      <c r="D19" s="156" t="s">
        <v>424</v>
      </c>
    </row>
    <row r="20" spans="1:4" s="2" customFormat="1" ht="42.6" customHeight="1" x14ac:dyDescent="0.25">
      <c r="A20" s="153"/>
      <c r="B20" s="154" t="s">
        <v>353</v>
      </c>
      <c r="C20" s="155" t="s">
        <v>376</v>
      </c>
      <c r="D20" s="156" t="s">
        <v>354</v>
      </c>
    </row>
    <row r="21" spans="1:4" s="2" customFormat="1" ht="42.6" customHeight="1" x14ac:dyDescent="0.25">
      <c r="A21" s="153"/>
      <c r="B21" s="154" t="s">
        <v>425</v>
      </c>
      <c r="C21" s="155" t="s">
        <v>426</v>
      </c>
      <c r="D21" s="156" t="s">
        <v>427</v>
      </c>
    </row>
    <row r="22" spans="1:4" s="2" customFormat="1" ht="42.6" customHeight="1" x14ac:dyDescent="0.25">
      <c r="A22" s="153"/>
      <c r="B22" s="154" t="s">
        <v>428</v>
      </c>
      <c r="C22" s="155" t="s">
        <v>429</v>
      </c>
      <c r="D22" s="156" t="s">
        <v>430</v>
      </c>
    </row>
    <row r="23" spans="1:4" s="2" customFormat="1" ht="42.6" customHeight="1" x14ac:dyDescent="0.25">
      <c r="A23" s="153"/>
      <c r="B23" s="154" t="s">
        <v>431</v>
      </c>
      <c r="C23" s="155" t="s">
        <v>432</v>
      </c>
      <c r="D23" s="156" t="s">
        <v>433</v>
      </c>
    </row>
    <row r="24" spans="1:4" s="2" customFormat="1" ht="42.6" customHeight="1" x14ac:dyDescent="0.25">
      <c r="A24" s="153"/>
      <c r="B24" s="154" t="s">
        <v>434</v>
      </c>
      <c r="C24" s="155" t="s">
        <v>435</v>
      </c>
      <c r="D24" s="156" t="s">
        <v>436</v>
      </c>
    </row>
    <row r="25" spans="1:4" s="2" customFormat="1" ht="42.6" customHeight="1" x14ac:dyDescent="0.25">
      <c r="A25" s="153"/>
      <c r="B25" s="154" t="s">
        <v>437</v>
      </c>
      <c r="C25" s="155" t="s">
        <v>438</v>
      </c>
      <c r="D25" s="156" t="s">
        <v>439</v>
      </c>
    </row>
    <row r="26" spans="1:4" s="2" customFormat="1" ht="42.6" customHeight="1" x14ac:dyDescent="0.25">
      <c r="A26" s="153"/>
      <c r="B26" s="154" t="s">
        <v>440</v>
      </c>
      <c r="C26" s="155" t="s">
        <v>441</v>
      </c>
      <c r="D26" s="156" t="s">
        <v>442</v>
      </c>
    </row>
    <row r="27" spans="1:4" s="2" customFormat="1" ht="42.6" customHeight="1" x14ac:dyDescent="0.25">
      <c r="A27" s="153"/>
      <c r="B27" s="154" t="s">
        <v>355</v>
      </c>
      <c r="C27" s="155" t="s">
        <v>377</v>
      </c>
      <c r="D27" s="156" t="s">
        <v>356</v>
      </c>
    </row>
    <row r="28" spans="1:4" s="2" customFormat="1" ht="42.6" customHeight="1" x14ac:dyDescent="0.25">
      <c r="A28" s="153"/>
      <c r="B28" s="154" t="s">
        <v>357</v>
      </c>
      <c r="C28" s="155" t="s">
        <v>378</v>
      </c>
      <c r="D28" s="156" t="s">
        <v>358</v>
      </c>
    </row>
    <row r="29" spans="1:4" s="2" customFormat="1" ht="42.6" customHeight="1" x14ac:dyDescent="0.25">
      <c r="A29" s="153"/>
      <c r="B29" s="154" t="s">
        <v>443</v>
      </c>
      <c r="C29" s="155" t="s">
        <v>444</v>
      </c>
      <c r="D29" s="156" t="s">
        <v>445</v>
      </c>
    </row>
    <row r="30" spans="1:4" s="2" customFormat="1" ht="42.6" customHeight="1" x14ac:dyDescent="0.25">
      <c r="A30" s="153"/>
      <c r="B30" s="154" t="s">
        <v>446</v>
      </c>
      <c r="C30" s="155" t="s">
        <v>447</v>
      </c>
      <c r="D30" s="156" t="s">
        <v>448</v>
      </c>
    </row>
    <row r="31" spans="1:4" s="2" customFormat="1" ht="42.6" customHeight="1" x14ac:dyDescent="0.25">
      <c r="A31" s="153"/>
      <c r="B31" s="154" t="s">
        <v>449</v>
      </c>
      <c r="C31" s="155" t="s">
        <v>450</v>
      </c>
      <c r="D31" s="156" t="s">
        <v>451</v>
      </c>
    </row>
    <row r="32" spans="1:4" s="2" customFormat="1" ht="42.6" customHeight="1" x14ac:dyDescent="0.25">
      <c r="A32" s="153"/>
      <c r="B32" s="154" t="s">
        <v>359</v>
      </c>
      <c r="C32" s="155" t="s">
        <v>379</v>
      </c>
      <c r="D32" s="156" t="s">
        <v>360</v>
      </c>
    </row>
    <row r="33" spans="1:4" s="2" customFormat="1" ht="42.6" customHeight="1" x14ac:dyDescent="0.25">
      <c r="A33" s="153"/>
      <c r="B33" s="154" t="s">
        <v>452</v>
      </c>
      <c r="C33" s="155" t="s">
        <v>453</v>
      </c>
      <c r="D33" s="156" t="s">
        <v>454</v>
      </c>
    </row>
    <row r="34" spans="1:4" s="2" customFormat="1" ht="42.6" customHeight="1" x14ac:dyDescent="0.25">
      <c r="A34" s="153"/>
      <c r="B34" s="154" t="s">
        <v>455</v>
      </c>
      <c r="C34" s="155" t="s">
        <v>456</v>
      </c>
      <c r="D34" s="156" t="s">
        <v>457</v>
      </c>
    </row>
    <row r="35" spans="1:4" s="2" customFormat="1" ht="42.6" customHeight="1" x14ac:dyDescent="0.25">
      <c r="A35" s="153"/>
      <c r="B35" s="154" t="s">
        <v>458</v>
      </c>
      <c r="C35" s="155" t="s">
        <v>459</v>
      </c>
      <c r="D35" s="156" t="s">
        <v>460</v>
      </c>
    </row>
    <row r="36" spans="1:4" s="2" customFormat="1" ht="42.6" customHeight="1" x14ac:dyDescent="0.25">
      <c r="A36" s="153"/>
      <c r="B36" s="154" t="s">
        <v>461</v>
      </c>
      <c r="C36" s="155" t="s">
        <v>462</v>
      </c>
      <c r="D36" s="156" t="s">
        <v>463</v>
      </c>
    </row>
    <row r="37" spans="1:4" s="2" customFormat="1" ht="42.6" customHeight="1" x14ac:dyDescent="0.25">
      <c r="A37" s="153"/>
      <c r="B37" s="154" t="s">
        <v>464</v>
      </c>
      <c r="C37" s="155" t="s">
        <v>465</v>
      </c>
      <c r="D37" s="156" t="s">
        <v>466</v>
      </c>
    </row>
    <row r="38" spans="1:4" s="2" customFormat="1" ht="42.6" customHeight="1" x14ac:dyDescent="0.25">
      <c r="A38" s="153"/>
      <c r="B38" s="154" t="s">
        <v>467</v>
      </c>
      <c r="C38" s="155" t="s">
        <v>468</v>
      </c>
      <c r="D38" s="156" t="s">
        <v>469</v>
      </c>
    </row>
    <row r="39" spans="1:4" s="2" customFormat="1" ht="42.6" customHeight="1" x14ac:dyDescent="0.25">
      <c r="A39" s="153"/>
      <c r="B39" s="154" t="s">
        <v>470</v>
      </c>
      <c r="C39" s="155" t="s">
        <v>471</v>
      </c>
      <c r="D39" s="156" t="s">
        <v>472</v>
      </c>
    </row>
    <row r="40" spans="1:4" s="2" customFormat="1" ht="42.6" customHeight="1" x14ac:dyDescent="0.25">
      <c r="A40" s="153"/>
      <c r="B40" s="154" t="s">
        <v>473</v>
      </c>
      <c r="C40" s="155" t="s">
        <v>474</v>
      </c>
      <c r="D40" s="156" t="s">
        <v>475</v>
      </c>
    </row>
    <row r="41" spans="1:4" s="2" customFormat="1" ht="42.6" customHeight="1" x14ac:dyDescent="0.25">
      <c r="A41" s="153"/>
      <c r="B41" s="154" t="s">
        <v>476</v>
      </c>
      <c r="C41" s="155" t="s">
        <v>477</v>
      </c>
      <c r="D41" s="156" t="s">
        <v>478</v>
      </c>
    </row>
    <row r="42" spans="1:4" s="2" customFormat="1" ht="42.6" customHeight="1" x14ac:dyDescent="0.25">
      <c r="A42" s="153"/>
      <c r="B42" s="154" t="s">
        <v>361</v>
      </c>
      <c r="C42" s="155" t="s">
        <v>380</v>
      </c>
      <c r="D42" s="156" t="s">
        <v>362</v>
      </c>
    </row>
    <row r="43" spans="1:4" s="2" customFormat="1" ht="42.6" customHeight="1" x14ac:dyDescent="0.25">
      <c r="A43" s="153"/>
      <c r="B43" s="154" t="s">
        <v>363</v>
      </c>
      <c r="C43" s="155" t="s">
        <v>381</v>
      </c>
      <c r="D43" s="156" t="s">
        <v>364</v>
      </c>
    </row>
    <row r="44" spans="1:4" s="2" customFormat="1" ht="42.6" customHeight="1" x14ac:dyDescent="0.25">
      <c r="A44" s="153"/>
      <c r="B44" s="154" t="s">
        <v>479</v>
      </c>
      <c r="C44" s="155" t="s">
        <v>480</v>
      </c>
      <c r="D44" s="156" t="s">
        <v>214</v>
      </c>
    </row>
    <row r="45" spans="1:4" s="2" customFormat="1" ht="42.6" customHeight="1" x14ac:dyDescent="0.25">
      <c r="A45" s="153"/>
      <c r="B45" s="154" t="s">
        <v>481</v>
      </c>
      <c r="C45" s="155" t="s">
        <v>482</v>
      </c>
      <c r="D45" s="156" t="s">
        <v>483</v>
      </c>
    </row>
    <row r="46" spans="1:4" s="2" customFormat="1" ht="42.6" customHeight="1" x14ac:dyDescent="0.25">
      <c r="A46" s="153"/>
      <c r="B46" s="154" t="s">
        <v>484</v>
      </c>
      <c r="C46" s="155" t="s">
        <v>485</v>
      </c>
      <c r="D46" s="156" t="s">
        <v>486</v>
      </c>
    </row>
    <row r="47" spans="1:4" s="2" customFormat="1" ht="42.6" customHeight="1" x14ac:dyDescent="0.25">
      <c r="A47" s="153"/>
      <c r="B47" s="154" t="s">
        <v>487</v>
      </c>
      <c r="C47" s="155" t="s">
        <v>488</v>
      </c>
      <c r="D47" s="156" t="s">
        <v>489</v>
      </c>
    </row>
    <row r="48" spans="1:4" s="2" customFormat="1" ht="42.6" customHeight="1" x14ac:dyDescent="0.25">
      <c r="A48" s="153"/>
      <c r="B48" s="154" t="s">
        <v>490</v>
      </c>
      <c r="C48" s="155" t="s">
        <v>491</v>
      </c>
      <c r="D48" s="156" t="s">
        <v>492</v>
      </c>
    </row>
    <row r="49" spans="1:4" s="2" customFormat="1" ht="42.6" customHeight="1" x14ac:dyDescent="0.25">
      <c r="A49" s="153"/>
      <c r="B49" s="154" t="s">
        <v>493</v>
      </c>
      <c r="C49" s="155" t="s">
        <v>494</v>
      </c>
      <c r="D49" s="156" t="s">
        <v>495</v>
      </c>
    </row>
    <row r="50" spans="1:4" s="2" customFormat="1" ht="42.6" customHeight="1" x14ac:dyDescent="0.25">
      <c r="A50" s="153"/>
      <c r="B50" s="154" t="s">
        <v>496</v>
      </c>
      <c r="C50" s="155" t="s">
        <v>497</v>
      </c>
      <c r="D50" s="156" t="s">
        <v>498</v>
      </c>
    </row>
    <row r="51" spans="1:4" s="2" customFormat="1" ht="42.6" customHeight="1" x14ac:dyDescent="0.25">
      <c r="A51" s="153"/>
      <c r="B51" s="154" t="s">
        <v>499</v>
      </c>
      <c r="C51" s="155" t="s">
        <v>500</v>
      </c>
      <c r="D51" s="156" t="s">
        <v>501</v>
      </c>
    </row>
    <row r="52" spans="1:4" s="2" customFormat="1" ht="42.6" customHeight="1" x14ac:dyDescent="0.25">
      <c r="A52" s="153"/>
      <c r="B52" s="154" t="s">
        <v>502</v>
      </c>
      <c r="C52" s="155" t="s">
        <v>503</v>
      </c>
      <c r="D52" s="156" t="s">
        <v>504</v>
      </c>
    </row>
    <row r="53" spans="1:4" s="2" customFormat="1" ht="42.6" customHeight="1" x14ac:dyDescent="0.25">
      <c r="A53" s="153"/>
      <c r="B53" s="154" t="s">
        <v>365</v>
      </c>
      <c r="C53" s="155" t="s">
        <v>382</v>
      </c>
      <c r="D53" s="156" t="s">
        <v>366</v>
      </c>
    </row>
    <row r="54" spans="1:4" s="2" customFormat="1" ht="42.6" customHeight="1" x14ac:dyDescent="0.25">
      <c r="A54" s="153"/>
      <c r="B54" s="154" t="s">
        <v>505</v>
      </c>
      <c r="C54" s="155" t="s">
        <v>506</v>
      </c>
      <c r="D54" s="156" t="s">
        <v>507</v>
      </c>
    </row>
    <row r="55" spans="1:4" s="2" customFormat="1" ht="42.6" customHeight="1" x14ac:dyDescent="0.25">
      <c r="A55" s="153"/>
      <c r="B55" s="154" t="s">
        <v>367</v>
      </c>
      <c r="C55" s="155" t="s">
        <v>383</v>
      </c>
      <c r="D55" s="156" t="s">
        <v>368</v>
      </c>
    </row>
    <row r="56" spans="1:4" s="2" customFormat="1" ht="42.6" customHeight="1" x14ac:dyDescent="0.25">
      <c r="A56" s="153"/>
      <c r="B56" s="154" t="s">
        <v>369</v>
      </c>
      <c r="C56" s="155" t="s">
        <v>384</v>
      </c>
      <c r="D56" s="156" t="s">
        <v>370</v>
      </c>
    </row>
    <row r="57" spans="1:4" x14ac:dyDescent="0.25">
      <c r="A57" s="161"/>
      <c r="B57" s="161"/>
      <c r="C57" s="161"/>
    </row>
  </sheetData>
  <sortState xmlns:xlrd2="http://schemas.microsoft.com/office/spreadsheetml/2017/richdata2" ref="A2:D58">
    <sortCondition ref="B1:B58"/>
  </sortState>
  <hyperlinks>
    <hyperlink ref="C4" r:id="rId1" tooltip="ISO 3166-1 Código alfa-2" display="https://en.wikipedia.org/wiki/ISO_3166-2:AR" xr:uid="{00000000-0004-0000-0300-000000000000}"/>
    <hyperlink ref="C10" r:id="rId2" tooltip="ISO 3166-1 Código alfa-2" display="https://en.wikipedia.org/wiki/ISO_3166-2:BO" xr:uid="{00000000-0004-0000-0300-000001000000}"/>
    <hyperlink ref="C12" r:id="rId3" tooltip="ISO 3166-1 Código alfa-2" display="https://en.wikipedia.org/wiki/ISO_3166-2:BR" xr:uid="{00000000-0004-0000-0300-000002000000}"/>
    <hyperlink ref="C14" r:id="rId4" tooltip="ISO 3166-1 Código alfa-2" display="https://en.wikipedia.org/wiki/ISO_3166-2:CL" xr:uid="{00000000-0004-0000-0300-000003000000}"/>
    <hyperlink ref="C15" r:id="rId5" tooltip="ISO 3166-1 Código alfa-2" display="https://en.wikipedia.org/wiki/ISO_3166-2:CO" xr:uid="{00000000-0004-0000-0300-000004000000}"/>
    <hyperlink ref="C20" r:id="rId6" tooltip="ISO 3166-1 Código alfa-2" display="https://en.wikipedia.org/wiki/ISO_3166-2:EC" xr:uid="{00000000-0004-0000-0300-000005000000}"/>
    <hyperlink ref="C27" r:id="rId7" tooltip="ISO 3166-1 Código alfa-2" display="https://en.wikipedia.org/wiki/ISO_3166-2:GF" xr:uid="{00000000-0004-0000-0300-000006000000}"/>
    <hyperlink ref="C28" r:id="rId8" tooltip="ISO 3166-1 Código alfa-2" display="https://en.wikipedia.org/wiki/ISO_3166-2:GY" xr:uid="{00000000-0004-0000-0300-000007000000}"/>
    <hyperlink ref="C32" r:id="rId9" tooltip="ISO 3166-1 Código alfa-2" display="https://en.wikipedia.org/wiki/ISO_3166-2:FK" xr:uid="{00000000-0004-0000-0300-000008000000}"/>
    <hyperlink ref="C42" r:id="rId10" tooltip="ISO 3166-1 Código alfa-2" display="https://en.wikipedia.org/wiki/ISO_3166-2:PY" xr:uid="{00000000-0004-0000-0300-000009000000}"/>
    <hyperlink ref="C43" r:id="rId11" tooltip="ISO 3166-1 Código alfa-2" display="https://en.wikipedia.org/wiki/ISO_3166-2:PE" xr:uid="{00000000-0004-0000-0300-00000A000000}"/>
    <hyperlink ref="C53" r:id="rId12" tooltip="ISO 3166-1 Código alfa-2" display="https://en.wikipedia.org/wiki/ISO_3166-2:SR" xr:uid="{00000000-0004-0000-0300-00000B000000}"/>
    <hyperlink ref="C55" r:id="rId13" tooltip="ISO 3166-1 Código alfa-2" display="https://en.wikipedia.org/wiki/ISO_3166-2:UY" xr:uid="{00000000-0004-0000-0300-00000C000000}"/>
    <hyperlink ref="C56" r:id="rId14" tooltip="ISO 3166-1 Código alfa-2" display="https://en.wikipedia.org/wiki/ISO_3166-2:VE" xr:uid="{00000000-0004-0000-0300-00000D000000}"/>
    <hyperlink ref="C2" r:id="rId15" tooltip="ISO 3166-1 Código alfa-2" display="https://en.wikipedia.org/wiki/ISO_3166-2:AI" xr:uid="{00000000-0004-0000-0300-00000E000000}"/>
    <hyperlink ref="C3" r:id="rId16" tooltip="ISO 3166-1 Código alfa-2" display="https://en.wikipedia.org/wiki/ISO_3166-2:AG" xr:uid="{00000000-0004-0000-0300-00000F000000}"/>
    <hyperlink ref="C5" r:id="rId17" tooltip="ISO 3166-1 Código alfa-2" display="https://en.wikipedia.org/wiki/ISO_3166-2:AW" xr:uid="{00000000-0004-0000-0300-000010000000}"/>
    <hyperlink ref="C6" r:id="rId18" tooltip="ISO 3166-1 Código alfa-2" display="https://en.wikipedia.org/wiki/ISO_3166-2:BS" xr:uid="{00000000-0004-0000-0300-000011000000}"/>
    <hyperlink ref="C7" r:id="rId19" tooltip="ISO 3166-1 Código alfa-2" display="https://en.wikipedia.org/wiki/ISO_3166-2:BB" xr:uid="{00000000-0004-0000-0300-000012000000}"/>
    <hyperlink ref="C8" r:id="rId20" tooltip="ISO 3166-1 Código alfa-2" display="https://en.wikipedia.org/wiki/ISO_3166-2:BZ" xr:uid="{00000000-0004-0000-0300-000013000000}"/>
    <hyperlink ref="C9" r:id="rId21" tooltip="ISO 3166-1 Código alfa-2" display="https://en.wikipedia.org/wiki/ISO_3166-2:BM" xr:uid="{00000000-0004-0000-0300-000014000000}"/>
    <hyperlink ref="C11" r:id="rId22" tooltip="ISO 3166-1 Código alfa-2" display="https://en.wikipedia.org/wiki/ISO_3166-2:BQ" xr:uid="{00000000-0004-0000-0300-000015000000}"/>
    <hyperlink ref="C13" r:id="rId23" tooltip="ISO 3166-1 Código alfa-2" display="https://en.wikipedia.org/wiki/ISO_3166-2:CA" xr:uid="{00000000-0004-0000-0300-000016000000}"/>
    <hyperlink ref="C16" r:id="rId24" tooltip="ISO 3166-1 Código alfa-2" display="https://en.wikipedia.org/wiki/ISO_3166-2:CR" xr:uid="{00000000-0004-0000-0300-000017000000}"/>
    <hyperlink ref="C17" r:id="rId25" tooltip="ISO 3166-1 Código alfa-2" display="https://en.wikipedia.org/wiki/ISO_3166-2:CU" xr:uid="{00000000-0004-0000-0300-000018000000}"/>
    <hyperlink ref="C18" r:id="rId26" tooltip="ISO 3166-1 Código alfa-2" display="https://en.wikipedia.org/wiki/ISO_3166-2:CW" xr:uid="{00000000-0004-0000-0300-000019000000}"/>
    <hyperlink ref="C19" r:id="rId27" tooltip="ISO 3166-1 Código alfa-2" display="https://en.wikipedia.org/wiki/ISO_3166-2:DM" xr:uid="{00000000-0004-0000-0300-00001A000000}"/>
    <hyperlink ref="C21" r:id="rId28" tooltip="ISO 3166-1 Código alfa-2" display="https://en.wikipedia.org/wiki/ISO_3166-2:SV" xr:uid="{00000000-0004-0000-0300-00001B000000}"/>
    <hyperlink ref="C22" r:id="rId29" tooltip="ISO 3166-1 Código alfa-2" display="https://en.wikipedia.org/wiki/ISO_3166-2:US" xr:uid="{00000000-0004-0000-0300-00001C000000}"/>
    <hyperlink ref="C23" r:id="rId30" tooltip="ISO 3166-1 Código alfa-2" display="https://en.wikipedia.org/wiki/ISO_3166-2:GD" xr:uid="{00000000-0004-0000-0300-00001D000000}"/>
    <hyperlink ref="C24" r:id="rId31" tooltip="ISO 3166-1 Código alfa-2" display="https://en.wikipedia.org/wiki/ISO_3166-2:GL" xr:uid="{00000000-0004-0000-0300-00001E000000}"/>
    <hyperlink ref="C25" r:id="rId32" tooltip="ISO 3166-1 Código alfa-2" display="https://en.wikipedia.org/wiki/ISO_3166-2:GP" xr:uid="{00000000-0004-0000-0300-00001F000000}"/>
    <hyperlink ref="C26" r:id="rId33" tooltip="ISO 3166-1 Código alfa-2" display="https://en.wikipedia.org/wiki/ISO_3166-2:GT" xr:uid="{00000000-0004-0000-0300-000020000000}"/>
    <hyperlink ref="C29" r:id="rId34" tooltip="ISO 3166-1 Código alfa-2" display="https://en.wikipedia.org/wiki/ISO_3166-2:HT" xr:uid="{00000000-0004-0000-0300-000021000000}"/>
    <hyperlink ref="C30" r:id="rId35" tooltip="ISO 3166-1 Código alfa-2" display="https://en.wikipedia.org/wiki/ISO_3166-2:HN" xr:uid="{00000000-0004-0000-0300-000022000000}"/>
    <hyperlink ref="C31" r:id="rId36" tooltip="ISO 3166-1 Código alfa-2" display="https://en.wikipedia.org/wiki/ISO_3166-2:KY" xr:uid="{00000000-0004-0000-0300-000023000000}"/>
    <hyperlink ref="C33" r:id="rId37" tooltip="ISO 3166-1 Código alfa-2" display="https://en.wikipedia.org/wiki/ISO_3166-2:TC" xr:uid="{00000000-0004-0000-0300-000024000000}"/>
    <hyperlink ref="C34" r:id="rId38" tooltip="ISO 3166-1 Código alfa-2" display="https://en.wikipedia.org/wiki/ISO_3166-2:VG" xr:uid="{00000000-0004-0000-0300-000025000000}"/>
    <hyperlink ref="C35" r:id="rId39" tooltip="ISO 3166-1 Código alfa-2" display="https://en.wikipedia.org/wiki/ISO_3166-2:VI" xr:uid="{00000000-0004-0000-0300-000026000000}"/>
    <hyperlink ref="C36" r:id="rId40" tooltip="ISO 3166-1 Código alfa-2" display="https://en.wikipedia.org/wiki/ISO_3166-2:JM" xr:uid="{00000000-0004-0000-0300-000027000000}"/>
    <hyperlink ref="C37" r:id="rId41" tooltip="ISO 3166-1 Código alfa-2" display="https://en.wikipedia.org/wiki/ISO_3166-2:MQ" xr:uid="{00000000-0004-0000-0300-000028000000}"/>
    <hyperlink ref="C38" r:id="rId42" tooltip="ISO 3166-1 Código alfa-2" display="https://en.wikipedia.org/wiki/ISO_3166-2:MX" xr:uid="{00000000-0004-0000-0300-000029000000}"/>
    <hyperlink ref="C39" r:id="rId43" tooltip="ISO 3166-1 Código alfa-2" display="https://en.wikipedia.org/wiki/ISO_3166-2:MS" xr:uid="{00000000-0004-0000-0300-00002A000000}"/>
    <hyperlink ref="C40" r:id="rId44" tooltip="ISO 3166-1 Código alfa-2" display="https://en.wikipedia.org/wiki/ISO_3166-2:NI" xr:uid="{00000000-0004-0000-0300-00002B000000}"/>
    <hyperlink ref="C41" r:id="rId45" tooltip="ISO 3166-1 Código alfa-2" display="https://en.wikipedia.org/wiki/ISO_3166-2:PA" xr:uid="{00000000-0004-0000-0300-00002C000000}"/>
    <hyperlink ref="C44" r:id="rId46" tooltip="ISO 3166-1 Código alfa-2" display="https://en.wikipedia.org/wiki/ISO_3166-2:PR" xr:uid="{00000000-0004-0000-0300-00002D000000}"/>
    <hyperlink ref="C45" r:id="rId47" tooltip="ISO 3166-1 Código alfa-2" display="https://en.wikipedia.org/wiki/ISO_3166-2:DO" xr:uid="{00000000-0004-0000-0300-00002E000000}"/>
    <hyperlink ref="C46" r:id="rId48" tooltip="ISO 3166-1 Código alfa-2" display="https://en.wikipedia.org/wiki/ISO_3166-2:BL" xr:uid="{00000000-0004-0000-0300-00002F000000}"/>
    <hyperlink ref="C47" r:id="rId49" tooltip="ISO 3166-1 Código alfa-2" display="https://en.wikipedia.org/wiki/ISO_3166-2:KN" xr:uid="{00000000-0004-0000-0300-000030000000}"/>
    <hyperlink ref="C48" r:id="rId50" tooltip="ISO 3166-1 Código alfa-2" display="https://en.wikipedia.org/wiki/ISO_3166-2:MF" xr:uid="{00000000-0004-0000-0300-000031000000}"/>
    <hyperlink ref="C49" r:id="rId51" tooltip="ISO 3166-1 Código alfa-2" display="https://en.wikipedia.org/wiki/ISO_3166-2:PM" xr:uid="{00000000-0004-0000-0300-000032000000}"/>
    <hyperlink ref="C50" r:id="rId52" tooltip="ISO 3166-1 Código alfa-2" display="https://en.wikipedia.org/wiki/ISO_3166-2:VC" xr:uid="{00000000-0004-0000-0300-000033000000}"/>
    <hyperlink ref="C51" r:id="rId53" tooltip="ISO 3166-1 Código alfa-2" display="https://en.wikipedia.org/wiki/ISO_3166-2:LC" xr:uid="{00000000-0004-0000-0300-000034000000}"/>
    <hyperlink ref="C52" r:id="rId54" tooltip="ISO 3166-1 Código alfa-2" display="https://en.wikipedia.org/wiki/ISO_3166-2:SX" xr:uid="{00000000-0004-0000-0300-000035000000}"/>
    <hyperlink ref="C54" r:id="rId55" tooltip="ISO 3166-1 Código alfa-2" display="https://en.wikipedia.org/wiki/ISO_3166-2:TT" xr:uid="{00000000-0004-0000-0300-000036000000}"/>
  </hyperlinks>
  <pageMargins left="0.7" right="0.7" top="0.75" bottom="0.75" header="0.3" footer="0.3"/>
  <pageSetup orientation="portrait" r:id="rId56"/>
  <drawing r:id="rId5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30"/>
  <sheetViews>
    <sheetView showGridLines="0" topLeftCell="A26" workbookViewId="0">
      <selection activeCell="B46" sqref="B46"/>
    </sheetView>
  </sheetViews>
  <sheetFormatPr defaultRowHeight="15" x14ac:dyDescent="0.25"/>
  <cols>
    <col min="1" max="1" width="18.7109375" customWidth="1"/>
    <col min="2" max="2" width="20.7109375" customWidth="1"/>
    <col min="3" max="3" width="33.5703125" customWidth="1"/>
    <col min="4" max="4" width="42.42578125" customWidth="1"/>
  </cols>
  <sheetData>
    <row r="1" spans="1:4" x14ac:dyDescent="0.25">
      <c r="A1" s="93" t="s">
        <v>288</v>
      </c>
    </row>
    <row r="2" spans="1:4" x14ac:dyDescent="0.25">
      <c r="A2" s="133" t="s">
        <v>289</v>
      </c>
    </row>
    <row r="4" spans="1:4" ht="15.75" thickBot="1" x14ac:dyDescent="0.3"/>
    <row r="5" spans="1:4" ht="15.75" thickBot="1" x14ac:dyDescent="0.3">
      <c r="A5" s="126" t="s">
        <v>272</v>
      </c>
      <c r="B5" s="127" t="s">
        <v>273</v>
      </c>
      <c r="C5" s="127" t="s">
        <v>274</v>
      </c>
      <c r="D5" s="127" t="s">
        <v>273</v>
      </c>
    </row>
    <row r="6" spans="1:4" ht="15.75" thickBot="1" x14ac:dyDescent="0.3">
      <c r="A6" s="128" t="s">
        <v>275</v>
      </c>
      <c r="B6" s="129" t="s">
        <v>276</v>
      </c>
      <c r="C6" s="129" t="s">
        <v>277</v>
      </c>
      <c r="D6" s="129" t="s">
        <v>278</v>
      </c>
    </row>
    <row r="7" spans="1:4" ht="24.75" thickBot="1" x14ac:dyDescent="0.3">
      <c r="A7" s="128" t="s">
        <v>267</v>
      </c>
      <c r="B7" s="130">
        <v>44561</v>
      </c>
      <c r="C7" s="129" t="s">
        <v>163</v>
      </c>
      <c r="D7" s="129" t="s">
        <v>279</v>
      </c>
    </row>
    <row r="8" spans="1:4" ht="15.75" thickBot="1" x14ac:dyDescent="0.3">
      <c r="A8" s="128" t="s">
        <v>280</v>
      </c>
      <c r="B8" s="130">
        <v>44734</v>
      </c>
      <c r="C8" s="129" t="s">
        <v>281</v>
      </c>
      <c r="D8" s="129">
        <v>54403.76</v>
      </c>
    </row>
    <row r="9" spans="1:4" ht="24.75" thickBot="1" x14ac:dyDescent="0.3">
      <c r="A9" s="128" t="s">
        <v>282</v>
      </c>
      <c r="B9" s="129">
        <v>0.28000000000000003</v>
      </c>
      <c r="C9" s="129" t="s">
        <v>283</v>
      </c>
      <c r="D9" s="129"/>
    </row>
    <row r="10" spans="1:4" ht="15.75" thickBot="1" x14ac:dyDescent="0.3">
      <c r="A10" s="128" t="s">
        <v>284</v>
      </c>
      <c r="B10" s="129">
        <v>2294600</v>
      </c>
      <c r="C10" s="208" t="s">
        <v>285</v>
      </c>
      <c r="D10" s="208" t="s">
        <v>286</v>
      </c>
    </row>
    <row r="11" spans="1:4" ht="15.75" thickBot="1" x14ac:dyDescent="0.3">
      <c r="A11" s="128" t="s">
        <v>287</v>
      </c>
      <c r="B11" s="132">
        <v>9.9500000000000005E-3</v>
      </c>
      <c r="C11" s="209"/>
      <c r="D11" s="209"/>
    </row>
    <row r="13" spans="1:4" x14ac:dyDescent="0.25">
      <c r="A13">
        <v>2</v>
      </c>
      <c r="B13" t="s">
        <v>297</v>
      </c>
    </row>
    <row r="15" spans="1:4" x14ac:dyDescent="0.25">
      <c r="A15" t="s">
        <v>78</v>
      </c>
      <c r="B15">
        <v>2</v>
      </c>
    </row>
    <row r="16" spans="1:4" x14ac:dyDescent="0.25">
      <c r="A16" t="s">
        <v>83</v>
      </c>
      <c r="B16">
        <v>1</v>
      </c>
    </row>
    <row r="17" spans="1:2" x14ac:dyDescent="0.25">
      <c r="A17" t="s">
        <v>290</v>
      </c>
      <c r="B17" s="124">
        <v>44561</v>
      </c>
    </row>
    <row r="19" spans="1:2" x14ac:dyDescent="0.25">
      <c r="A19" t="s">
        <v>291</v>
      </c>
      <c r="B19" t="s">
        <v>292</v>
      </c>
    </row>
    <row r="21" spans="1:2" x14ac:dyDescent="0.25">
      <c r="A21" t="s">
        <v>129</v>
      </c>
    </row>
    <row r="22" spans="1:2" x14ac:dyDescent="0.25">
      <c r="A22" t="s">
        <v>293</v>
      </c>
      <c r="B22">
        <v>2294600</v>
      </c>
    </row>
    <row r="24" spans="1:2" x14ac:dyDescent="0.25">
      <c r="A24" t="s">
        <v>294</v>
      </c>
      <c r="B24">
        <v>54403.76</v>
      </c>
    </row>
    <row r="26" spans="1:2" x14ac:dyDescent="0.25">
      <c r="A26" t="s">
        <v>136</v>
      </c>
      <c r="B26">
        <v>0.28000000000000003</v>
      </c>
    </row>
    <row r="28" spans="1:2" x14ac:dyDescent="0.25">
      <c r="A28" t="s">
        <v>295</v>
      </c>
      <c r="B28" s="131">
        <v>9.9500000000000005E-3</v>
      </c>
    </row>
    <row r="30" spans="1:2" x14ac:dyDescent="0.25">
      <c r="A30" t="s">
        <v>296</v>
      </c>
      <c r="B30" s="124">
        <v>44734</v>
      </c>
    </row>
  </sheetData>
  <mergeCells count="2">
    <mergeCell ref="C10:C11"/>
    <mergeCell ref="D10:D1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P63"/>
  <sheetViews>
    <sheetView topLeftCell="K1" zoomScaleNormal="100" workbookViewId="0">
      <selection activeCell="T14" sqref="T14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18.85546875" bestFit="1" customWidth="1"/>
    <col min="5" max="5" width="17" bestFit="1" customWidth="1"/>
    <col min="6" max="6" width="18.7109375" bestFit="1" customWidth="1"/>
    <col min="7" max="7" width="29.42578125" bestFit="1" customWidth="1"/>
    <col min="8" max="8" width="29.85546875" bestFit="1" customWidth="1"/>
    <col min="9" max="9" width="31.140625" customWidth="1"/>
    <col min="10" max="10" width="21.85546875" customWidth="1"/>
    <col min="11" max="11" width="19.5703125" bestFit="1" customWidth="1"/>
    <col min="12" max="12" width="24.140625" bestFit="1" customWidth="1"/>
    <col min="13" max="13" width="21.85546875" style="115" customWidth="1"/>
    <col min="14" max="14" width="21.85546875" style="119" customWidth="1"/>
    <col min="15" max="15" width="17" style="119" bestFit="1" customWidth="1"/>
    <col min="16" max="16" width="15.7109375" bestFit="1" customWidth="1"/>
    <col min="17" max="17" width="25" bestFit="1" customWidth="1"/>
    <col min="18" max="18" width="13.5703125" bestFit="1" customWidth="1"/>
    <col min="19" max="19" width="10.42578125" bestFit="1" customWidth="1"/>
    <col min="20" max="20" width="13.140625" bestFit="1" customWidth="1"/>
  </cols>
  <sheetData>
    <row r="1" spans="1:16" ht="19.5" customHeight="1" x14ac:dyDescent="0.25">
      <c r="A1" t="s">
        <v>255</v>
      </c>
      <c r="B1" t="s">
        <v>256</v>
      </c>
      <c r="C1" t="s">
        <v>257</v>
      </c>
      <c r="D1" t="s">
        <v>129</v>
      </c>
      <c r="E1" t="s">
        <v>74</v>
      </c>
      <c r="F1" t="s">
        <v>73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  <c r="L1" t="s">
        <v>43</v>
      </c>
      <c r="M1" s="115" t="s">
        <v>235</v>
      </c>
      <c r="N1" s="119" t="s">
        <v>236</v>
      </c>
      <c r="O1" s="119" t="s">
        <v>237</v>
      </c>
      <c r="P1" t="s">
        <v>263</v>
      </c>
    </row>
    <row r="2" spans="1:16" ht="19.5" customHeight="1" x14ac:dyDescent="0.25">
      <c r="A2" t="s">
        <v>527</v>
      </c>
      <c r="B2" t="s">
        <v>46</v>
      </c>
      <c r="C2">
        <v>2023</v>
      </c>
      <c r="D2" t="s">
        <v>4</v>
      </c>
      <c r="E2" t="s">
        <v>522</v>
      </c>
      <c r="F2" t="s">
        <v>5</v>
      </c>
      <c r="G2">
        <v>1375000</v>
      </c>
      <c r="H2">
        <v>8868.75</v>
      </c>
      <c r="I2">
        <v>2217.1875</v>
      </c>
      <c r="J2">
        <v>798.1875</v>
      </c>
      <c r="K2">
        <v>0</v>
      </c>
      <c r="L2">
        <v>5853.375</v>
      </c>
      <c r="M2" s="117">
        <f t="shared" ref="M2:M3" si="0">+J2+I2</f>
        <v>3015.375</v>
      </c>
      <c r="N2" s="120">
        <f t="shared" ref="N2:N3" si="1">+M2/H2</f>
        <v>0.34</v>
      </c>
      <c r="O2" s="121">
        <f t="shared" ref="O2:O3" si="2">+K2/H2</f>
        <v>0</v>
      </c>
    </row>
    <row r="3" spans="1:16" ht="19.5" customHeight="1" x14ac:dyDescent="0.25">
      <c r="A3" t="s">
        <v>527</v>
      </c>
      <c r="B3" t="s">
        <v>46</v>
      </c>
      <c r="C3">
        <v>2023</v>
      </c>
      <c r="D3" t="s">
        <v>4</v>
      </c>
      <c r="E3" t="s">
        <v>523</v>
      </c>
      <c r="F3" t="s">
        <v>7</v>
      </c>
      <c r="M3" s="117">
        <f t="shared" si="0"/>
        <v>0</v>
      </c>
      <c r="N3" s="120" t="e">
        <f t="shared" si="1"/>
        <v>#DIV/0!</v>
      </c>
      <c r="O3" s="121" t="e">
        <f t="shared" si="2"/>
        <v>#DIV/0!</v>
      </c>
    </row>
    <row r="4" spans="1:16" ht="19.5" customHeight="1" x14ac:dyDescent="0.25">
      <c r="A4" t="s">
        <v>527</v>
      </c>
      <c r="B4" t="s">
        <v>46</v>
      </c>
      <c r="C4">
        <v>2023</v>
      </c>
      <c r="D4" t="s">
        <v>9</v>
      </c>
      <c r="E4" t="s">
        <v>524</v>
      </c>
      <c r="F4" t="s">
        <v>10</v>
      </c>
      <c r="G4">
        <v>2425616.3473543571</v>
      </c>
      <c r="H4">
        <v>5429.742178414047</v>
      </c>
      <c r="I4">
        <v>814.46132676210709</v>
      </c>
      <c r="J4">
        <v>488.6767960572642</v>
      </c>
      <c r="K4">
        <v>125.72013850892752</v>
      </c>
      <c r="L4">
        <v>4000.8839170857482</v>
      </c>
      <c r="M4" s="117">
        <f t="shared" ref="M4:M5" si="3">+J4+I4</f>
        <v>1303.1381228193713</v>
      </c>
      <c r="N4" s="120">
        <f t="shared" ref="N4:N5" si="4">+M4/H4</f>
        <v>0.24000000000000002</v>
      </c>
      <c r="O4" s="121">
        <f t="shared" ref="O4:O5" si="5">+K4/H4</f>
        <v>2.3153979393115243E-2</v>
      </c>
    </row>
    <row r="5" spans="1:16" ht="19.5" customHeight="1" x14ac:dyDescent="0.25">
      <c r="A5" t="s">
        <v>527</v>
      </c>
      <c r="B5" t="s">
        <v>46</v>
      </c>
      <c r="C5">
        <v>2023</v>
      </c>
      <c r="D5" t="s">
        <v>9</v>
      </c>
      <c r="E5" t="s">
        <v>525</v>
      </c>
      <c r="F5" t="s">
        <v>12</v>
      </c>
      <c r="G5">
        <v>4772031.5064596003</v>
      </c>
      <c r="H5">
        <v>950651.05616839649</v>
      </c>
      <c r="I5">
        <v>169250.38649775553</v>
      </c>
      <c r="J5">
        <v>85558.595055155674</v>
      </c>
      <c r="K5">
        <v>2878.7759061306174</v>
      </c>
      <c r="L5">
        <v>692963.2987093546</v>
      </c>
      <c r="M5" s="117">
        <f t="shared" si="3"/>
        <v>254808.98155291122</v>
      </c>
      <c r="N5" s="120">
        <f t="shared" si="4"/>
        <v>0.26803628934040213</v>
      </c>
      <c r="O5" s="121">
        <f t="shared" si="5"/>
        <v>3.0282151242050233E-3</v>
      </c>
    </row>
    <row r="6" spans="1:16" ht="19.5" customHeight="1" x14ac:dyDescent="0.25">
      <c r="A6" t="s">
        <v>527</v>
      </c>
      <c r="B6" t="s">
        <v>46</v>
      </c>
      <c r="C6">
        <v>2023</v>
      </c>
      <c r="D6" t="s">
        <v>4</v>
      </c>
      <c r="E6" t="s">
        <v>522</v>
      </c>
      <c r="F6" t="s">
        <v>5</v>
      </c>
      <c r="G6">
        <v>1375000</v>
      </c>
      <c r="H6">
        <v>8868.75</v>
      </c>
      <c r="I6">
        <v>2217.1875</v>
      </c>
      <c r="J6">
        <v>798.1875</v>
      </c>
      <c r="K6">
        <v>0</v>
      </c>
      <c r="L6">
        <v>5853.375</v>
      </c>
      <c r="M6" s="117">
        <f t="shared" ref="M6:M7" si="6">+J6+I6</f>
        <v>3015.375</v>
      </c>
      <c r="N6" s="120">
        <f t="shared" ref="N6:N7" si="7">+M6/H6</f>
        <v>0.34</v>
      </c>
      <c r="O6" s="121">
        <f t="shared" ref="O6:O7" si="8">+K6/H6</f>
        <v>0</v>
      </c>
    </row>
    <row r="7" spans="1:16" ht="19.5" customHeight="1" x14ac:dyDescent="0.25">
      <c r="A7" t="s">
        <v>332</v>
      </c>
      <c r="B7" t="s">
        <v>332</v>
      </c>
      <c r="C7" t="s">
        <v>332</v>
      </c>
      <c r="D7" t="s">
        <v>332</v>
      </c>
      <c r="E7" t="s">
        <v>332</v>
      </c>
      <c r="F7" t="s">
        <v>332</v>
      </c>
      <c r="M7" s="117">
        <f t="shared" si="6"/>
        <v>0</v>
      </c>
      <c r="N7" s="120" t="e">
        <f t="shared" si="7"/>
        <v>#DIV/0!</v>
      </c>
      <c r="O7" s="121" t="e">
        <f t="shared" si="8"/>
        <v>#DIV/0!</v>
      </c>
    </row>
    <row r="8" spans="1:16" ht="19.5" customHeight="1" x14ac:dyDescent="0.25">
      <c r="A8" t="s">
        <v>527</v>
      </c>
      <c r="B8" t="s">
        <v>46</v>
      </c>
      <c r="C8">
        <v>2023</v>
      </c>
      <c r="D8" t="s">
        <v>1</v>
      </c>
      <c r="E8" t="s">
        <v>521</v>
      </c>
      <c r="F8" t="s">
        <v>2</v>
      </c>
      <c r="G8">
        <v>4875000</v>
      </c>
      <c r="H8">
        <v>35871.97622222222</v>
      </c>
      <c r="I8">
        <v>1885.2318533333334</v>
      </c>
      <c r="J8">
        <v>3228.47786</v>
      </c>
      <c r="K8">
        <v>14.802260666666669</v>
      </c>
      <c r="L8">
        <v>30743.464248222223</v>
      </c>
      <c r="M8" s="117">
        <f t="shared" ref="M8:M9" si="9">+J8+I8</f>
        <v>5113.7097133333336</v>
      </c>
      <c r="N8" s="120">
        <f t="shared" ref="N8:N9" si="10">+M8/H8</f>
        <v>0.14255444644740417</v>
      </c>
      <c r="O8" s="121">
        <f t="shared" ref="O8:O9" si="11">+K8/H8</f>
        <v>4.1264134919605748E-4</v>
      </c>
    </row>
    <row r="9" spans="1:16" ht="19.5" customHeight="1" x14ac:dyDescent="0.25">
      <c r="A9" t="s">
        <v>332</v>
      </c>
      <c r="B9" t="s">
        <v>332</v>
      </c>
      <c r="C9" t="s">
        <v>332</v>
      </c>
      <c r="D9" t="s">
        <v>332</v>
      </c>
      <c r="E9" t="s">
        <v>332</v>
      </c>
      <c r="F9" t="s">
        <v>332</v>
      </c>
      <c r="M9" s="117">
        <f t="shared" si="9"/>
        <v>0</v>
      </c>
      <c r="N9" s="120" t="e">
        <f t="shared" si="10"/>
        <v>#DIV/0!</v>
      </c>
      <c r="O9" s="121" t="e">
        <f t="shared" si="11"/>
        <v>#DIV/0!</v>
      </c>
    </row>
    <row r="10" spans="1:16" ht="19.5" customHeight="1" x14ac:dyDescent="0.25">
      <c r="A10" t="s">
        <v>335</v>
      </c>
      <c r="B10" t="s">
        <v>46</v>
      </c>
      <c r="C10">
        <v>2023</v>
      </c>
      <c r="D10" t="s">
        <v>9</v>
      </c>
      <c r="E10" t="s">
        <v>29</v>
      </c>
      <c r="F10" t="s">
        <v>10</v>
      </c>
      <c r="M10" s="117">
        <f t="shared" ref="M10:M11" si="12">+J10+I10</f>
        <v>0</v>
      </c>
      <c r="N10" s="120" t="e">
        <f t="shared" ref="N10:N11" si="13">+M10/H10</f>
        <v>#DIV/0!</v>
      </c>
      <c r="O10" s="121" t="e">
        <f t="shared" ref="O10:O11" si="14">+K10/H10</f>
        <v>#DIV/0!</v>
      </c>
    </row>
    <row r="11" spans="1:16" ht="19.5" customHeight="1" x14ac:dyDescent="0.25">
      <c r="A11" t="s">
        <v>335</v>
      </c>
      <c r="B11" t="s">
        <v>46</v>
      </c>
      <c r="C11">
        <v>2023</v>
      </c>
      <c r="D11" t="s">
        <v>9</v>
      </c>
      <c r="E11" t="s">
        <v>30</v>
      </c>
      <c r="F11" t="s">
        <v>12</v>
      </c>
      <c r="M11" s="117">
        <f t="shared" si="12"/>
        <v>0</v>
      </c>
      <c r="N11" s="120" t="e">
        <f t="shared" si="13"/>
        <v>#DIV/0!</v>
      </c>
      <c r="O11" s="121" t="e">
        <f t="shared" si="14"/>
        <v>#DIV/0!</v>
      </c>
    </row>
    <row r="12" spans="1:16" ht="19.5" customHeight="1" x14ac:dyDescent="0.25">
      <c r="A12" t="s">
        <v>335</v>
      </c>
      <c r="B12" t="s">
        <v>46</v>
      </c>
      <c r="C12">
        <v>2023</v>
      </c>
      <c r="D12" t="s">
        <v>9</v>
      </c>
      <c r="E12" t="s">
        <v>29</v>
      </c>
      <c r="F12" t="s">
        <v>10</v>
      </c>
      <c r="G12">
        <v>2242828.7175446427</v>
      </c>
      <c r="H12">
        <v>5176.6917444586452</v>
      </c>
      <c r="I12">
        <v>704.22122525010445</v>
      </c>
      <c r="J12">
        <v>465.90225700127786</v>
      </c>
      <c r="K12">
        <v>189.04999999999967</v>
      </c>
      <c r="L12">
        <v>3817.5182622072684</v>
      </c>
      <c r="M12" s="117">
        <f t="shared" ref="M12:M13" si="15">+J12+I12</f>
        <v>1170.1234822513823</v>
      </c>
      <c r="N12" s="120">
        <f t="shared" ref="N12:N13" si="16">+M12/H12</f>
        <v>0.22603692474135301</v>
      </c>
      <c r="O12" s="121">
        <f t="shared" ref="O12:O13" si="17">+K12/H12</f>
        <v>3.6519462493081023E-2</v>
      </c>
    </row>
    <row r="13" spans="1:16" ht="19.5" customHeight="1" x14ac:dyDescent="0.25">
      <c r="A13" t="s">
        <v>335</v>
      </c>
      <c r="B13" t="s">
        <v>46</v>
      </c>
      <c r="C13">
        <v>2023</v>
      </c>
      <c r="D13" t="s">
        <v>9</v>
      </c>
      <c r="E13" t="s">
        <v>30</v>
      </c>
      <c r="F13" t="s">
        <v>12</v>
      </c>
      <c r="G13">
        <v>4979729.26771654</v>
      </c>
      <c r="H13">
        <v>44094.348621713281</v>
      </c>
      <c r="I13">
        <v>8258.9792508463397</v>
      </c>
      <c r="J13">
        <v>3968.4913759541955</v>
      </c>
      <c r="K13">
        <v>396.8193001371925</v>
      </c>
      <c r="L13">
        <v>31470.058694775551</v>
      </c>
      <c r="M13" s="117">
        <f t="shared" si="15"/>
        <v>12227.470626800536</v>
      </c>
      <c r="N13" s="120">
        <f t="shared" si="16"/>
        <v>0.27730244371450791</v>
      </c>
      <c r="O13" s="121">
        <f t="shared" si="17"/>
        <v>8.9993233269305556E-3</v>
      </c>
    </row>
    <row r="14" spans="1:16" ht="19.5" customHeight="1" x14ac:dyDescent="0.25">
      <c r="A14" t="s">
        <v>335</v>
      </c>
      <c r="B14" t="s">
        <v>46</v>
      </c>
      <c r="C14">
        <v>2023</v>
      </c>
      <c r="D14" t="s">
        <v>4</v>
      </c>
      <c r="E14" t="s">
        <v>27</v>
      </c>
      <c r="F14" t="s">
        <v>5</v>
      </c>
      <c r="G14">
        <v>3943920.3450000002</v>
      </c>
      <c r="H14">
        <v>-2.0000000004074536E-2</v>
      </c>
      <c r="I14">
        <v>4801.937249999999</v>
      </c>
      <c r="J14">
        <v>-1.8000000000029104E-3</v>
      </c>
      <c r="K14">
        <v>0</v>
      </c>
      <c r="L14">
        <v>-4801.9552500000027</v>
      </c>
      <c r="M14" s="117">
        <f t="shared" ref="M14:M15" si="18">+J14+I14</f>
        <v>4801.935449999999</v>
      </c>
      <c r="N14" s="120">
        <f t="shared" ref="N14:N15" si="19">+M14/H14</f>
        <v>-240096.7724510858</v>
      </c>
      <c r="O14" s="121">
        <f t="shared" ref="O14:O15" si="20">+K14/H14</f>
        <v>0</v>
      </c>
    </row>
    <row r="15" spans="1:16" ht="19.5" customHeight="1" x14ac:dyDescent="0.25">
      <c r="A15" t="s">
        <v>335</v>
      </c>
      <c r="B15" t="s">
        <v>46</v>
      </c>
      <c r="C15">
        <v>2023</v>
      </c>
      <c r="D15" t="s">
        <v>4</v>
      </c>
      <c r="E15" t="s">
        <v>28</v>
      </c>
      <c r="F15" t="s">
        <v>7</v>
      </c>
      <c r="M15" s="117">
        <f t="shared" si="18"/>
        <v>0</v>
      </c>
      <c r="N15" s="120" t="e">
        <f t="shared" si="19"/>
        <v>#DIV/0!</v>
      </c>
      <c r="O15" s="121" t="e">
        <f t="shared" si="20"/>
        <v>#DIV/0!</v>
      </c>
    </row>
    <row r="16" spans="1:16" ht="19.5" customHeight="1" x14ac:dyDescent="0.25">
      <c r="A16" t="s">
        <v>334</v>
      </c>
      <c r="B16" t="s">
        <v>46</v>
      </c>
      <c r="C16">
        <v>2023</v>
      </c>
      <c r="D16" t="s">
        <v>24</v>
      </c>
      <c r="E16" t="s">
        <v>23</v>
      </c>
      <c r="F16" t="s">
        <v>25</v>
      </c>
      <c r="M16" s="117">
        <f t="shared" ref="M16:M17" si="21">+J16+I16</f>
        <v>0</v>
      </c>
      <c r="N16" s="120" t="e">
        <f t="shared" ref="N16:N17" si="22">+M16/H16</f>
        <v>#DIV/0!</v>
      </c>
      <c r="O16" s="121" t="e">
        <f t="shared" ref="O16:O17" si="23">+K16/H16</f>
        <v>#DIV/0!</v>
      </c>
    </row>
    <row r="17" spans="1:15" ht="19.5" customHeight="1" x14ac:dyDescent="0.25">
      <c r="A17" t="s">
        <v>332</v>
      </c>
      <c r="B17" t="s">
        <v>332</v>
      </c>
      <c r="C17" t="s">
        <v>332</v>
      </c>
      <c r="D17" t="s">
        <v>332</v>
      </c>
      <c r="E17" t="s">
        <v>332</v>
      </c>
      <c r="F17" t="s">
        <v>332</v>
      </c>
      <c r="M17" s="117">
        <f t="shared" si="21"/>
        <v>0</v>
      </c>
      <c r="N17" s="120" t="e">
        <f t="shared" si="22"/>
        <v>#DIV/0!</v>
      </c>
      <c r="O17" s="121" t="e">
        <f t="shared" si="23"/>
        <v>#DIV/0!</v>
      </c>
    </row>
    <row r="18" spans="1:15" ht="19.5" customHeight="1" x14ac:dyDescent="0.25">
      <c r="A18" t="s">
        <v>334</v>
      </c>
      <c r="B18" t="s">
        <v>46</v>
      </c>
      <c r="C18">
        <v>2023</v>
      </c>
      <c r="D18" t="s">
        <v>1</v>
      </c>
      <c r="E18" t="s">
        <v>18</v>
      </c>
      <c r="F18" t="s">
        <v>2</v>
      </c>
      <c r="M18" s="117">
        <f t="shared" ref="M18:M19" si="24">+J18+I18</f>
        <v>0</v>
      </c>
      <c r="N18" s="120" t="e">
        <f t="shared" ref="N18:N19" si="25">+M18/H18</f>
        <v>#DIV/0!</v>
      </c>
      <c r="O18" s="121" t="e">
        <f t="shared" ref="O18:O19" si="26">+K18/H18</f>
        <v>#DIV/0!</v>
      </c>
    </row>
    <row r="19" spans="1:15" ht="19.5" customHeight="1" x14ac:dyDescent="0.25">
      <c r="A19" t="s">
        <v>332</v>
      </c>
      <c r="B19" t="s">
        <v>332</v>
      </c>
      <c r="C19" t="s">
        <v>332</v>
      </c>
      <c r="D19" t="s">
        <v>332</v>
      </c>
      <c r="E19" t="s">
        <v>332</v>
      </c>
      <c r="F19" t="s">
        <v>332</v>
      </c>
      <c r="M19" s="117">
        <f t="shared" si="24"/>
        <v>0</v>
      </c>
      <c r="N19" s="120" t="e">
        <f t="shared" si="25"/>
        <v>#DIV/0!</v>
      </c>
      <c r="O19" s="121" t="e">
        <f t="shared" si="26"/>
        <v>#DIV/0!</v>
      </c>
    </row>
    <row r="20" spans="1:15" ht="19.5" customHeight="1" x14ac:dyDescent="0.25">
      <c r="A20" t="s">
        <v>334</v>
      </c>
      <c r="B20" t="s">
        <v>46</v>
      </c>
      <c r="C20">
        <v>2023</v>
      </c>
      <c r="D20" t="s">
        <v>9</v>
      </c>
      <c r="E20" t="s">
        <v>21</v>
      </c>
      <c r="F20" t="s">
        <v>10</v>
      </c>
      <c r="G20">
        <v>629061.37751860451</v>
      </c>
      <c r="H20">
        <v>0</v>
      </c>
      <c r="I20">
        <v>1159.7027622085079</v>
      </c>
      <c r="J20">
        <v>0</v>
      </c>
      <c r="K20">
        <v>-4.4077282287098569</v>
      </c>
      <c r="L20">
        <v>-1155.2950339797826</v>
      </c>
      <c r="M20" s="117">
        <f t="shared" ref="M20:M21" si="27">+J20+I20</f>
        <v>1159.7027622085079</v>
      </c>
      <c r="N20" s="120" t="e">
        <f t="shared" ref="N20:N21" si="28">+M20/H20</f>
        <v>#DIV/0!</v>
      </c>
      <c r="O20" s="121" t="e">
        <f t="shared" ref="O20:O21" si="29">+K20/H20</f>
        <v>#DIV/0!</v>
      </c>
    </row>
    <row r="21" spans="1:15" ht="19.5" customHeight="1" x14ac:dyDescent="0.25">
      <c r="A21" t="s">
        <v>334</v>
      </c>
      <c r="B21" t="s">
        <v>46</v>
      </c>
      <c r="C21">
        <v>2023</v>
      </c>
      <c r="D21" t="s">
        <v>9</v>
      </c>
      <c r="E21" t="s">
        <v>22</v>
      </c>
      <c r="F21" t="s">
        <v>12</v>
      </c>
      <c r="G21">
        <v>3589788.1620533327</v>
      </c>
      <c r="H21">
        <v>140163.83629780597</v>
      </c>
      <c r="I21">
        <v>34965.723853751631</v>
      </c>
      <c r="J21">
        <v>12614.745266802538</v>
      </c>
      <c r="K21">
        <v>-8.0711674156040267</v>
      </c>
      <c r="L21">
        <v>92591.438344667404</v>
      </c>
      <c r="M21" s="117">
        <f t="shared" si="27"/>
        <v>47580.469120554168</v>
      </c>
      <c r="N21" s="120">
        <f t="shared" si="28"/>
        <v>0.33946323372214204</v>
      </c>
      <c r="O21" s="121">
        <f t="shared" si="29"/>
        <v>-5.7583807840812983E-5</v>
      </c>
    </row>
    <row r="22" spans="1:15" ht="19.5" customHeight="1" x14ac:dyDescent="0.25">
      <c r="A22" t="s">
        <v>334</v>
      </c>
      <c r="B22" t="s">
        <v>46</v>
      </c>
      <c r="C22">
        <v>2023</v>
      </c>
      <c r="D22" t="s">
        <v>4</v>
      </c>
      <c r="E22" t="s">
        <v>19</v>
      </c>
      <c r="F22" t="s">
        <v>5</v>
      </c>
      <c r="M22" s="117">
        <f t="shared" ref="M22:M23" si="30">+J22+I22</f>
        <v>0</v>
      </c>
      <c r="N22" s="120" t="e">
        <f t="shared" ref="N22:N23" si="31">+M22/H22</f>
        <v>#DIV/0!</v>
      </c>
      <c r="O22" s="121" t="e">
        <f t="shared" ref="O22:O23" si="32">+K22/H22</f>
        <v>#DIV/0!</v>
      </c>
    </row>
    <row r="23" spans="1:15" ht="19.5" customHeight="1" x14ac:dyDescent="0.25">
      <c r="A23" t="s">
        <v>334</v>
      </c>
      <c r="B23" t="s">
        <v>46</v>
      </c>
      <c r="C23">
        <v>2023</v>
      </c>
      <c r="D23" t="s">
        <v>4</v>
      </c>
      <c r="E23" t="s">
        <v>20</v>
      </c>
      <c r="F23" t="s">
        <v>7</v>
      </c>
      <c r="M23" s="117">
        <f t="shared" si="30"/>
        <v>0</v>
      </c>
      <c r="N23" s="120" t="e">
        <f t="shared" si="31"/>
        <v>#DIV/0!</v>
      </c>
      <c r="O23" s="121" t="e">
        <f t="shared" si="32"/>
        <v>#DIV/0!</v>
      </c>
    </row>
    <row r="24" spans="1:15" ht="19.5" customHeight="1" x14ac:dyDescent="0.25">
      <c r="A24" t="s">
        <v>333</v>
      </c>
      <c r="B24" t="s">
        <v>46</v>
      </c>
      <c r="C24">
        <v>2023</v>
      </c>
      <c r="D24" t="s">
        <v>1</v>
      </c>
      <c r="E24" t="s">
        <v>13</v>
      </c>
      <c r="F24" t="s">
        <v>2</v>
      </c>
      <c r="M24" s="117">
        <f t="shared" ref="M24:M25" si="33">+J24+I24</f>
        <v>0</v>
      </c>
      <c r="N24" s="120" t="e">
        <f t="shared" ref="N24:N25" si="34">+M24/H24</f>
        <v>#DIV/0!</v>
      </c>
      <c r="O24" s="121" t="e">
        <f t="shared" ref="O24:O25" si="35">+K24/H24</f>
        <v>#DIV/0!</v>
      </c>
    </row>
    <row r="25" spans="1:15" ht="19.5" customHeight="1" x14ac:dyDescent="0.25">
      <c r="A25" t="s">
        <v>332</v>
      </c>
      <c r="B25" t="s">
        <v>332</v>
      </c>
      <c r="C25" t="s">
        <v>332</v>
      </c>
      <c r="D25" t="s">
        <v>332</v>
      </c>
      <c r="E25" t="s">
        <v>332</v>
      </c>
      <c r="F25" t="s">
        <v>332</v>
      </c>
      <c r="M25" s="117">
        <f t="shared" si="33"/>
        <v>0</v>
      </c>
      <c r="N25" s="120" t="e">
        <f t="shared" si="34"/>
        <v>#DIV/0!</v>
      </c>
      <c r="O25" s="121" t="e">
        <f t="shared" si="35"/>
        <v>#DIV/0!</v>
      </c>
    </row>
    <row r="26" spans="1:15" ht="19.5" customHeight="1" x14ac:dyDescent="0.25">
      <c r="A26" t="s">
        <v>333</v>
      </c>
      <c r="B26" t="s">
        <v>46</v>
      </c>
      <c r="C26">
        <v>2023</v>
      </c>
      <c r="D26" t="s">
        <v>9</v>
      </c>
      <c r="E26" t="s">
        <v>16</v>
      </c>
      <c r="F26" t="s">
        <v>10</v>
      </c>
      <c r="M26" s="117">
        <f t="shared" ref="M26:M27" si="36">+J26+I26</f>
        <v>0</v>
      </c>
      <c r="N26" s="120" t="e">
        <f t="shared" ref="N26:N27" si="37">+M26/H26</f>
        <v>#DIV/0!</v>
      </c>
      <c r="O26" s="121" t="e">
        <f t="shared" ref="O26:O27" si="38">+K26/H26</f>
        <v>#DIV/0!</v>
      </c>
    </row>
    <row r="27" spans="1:15" ht="19.5" customHeight="1" x14ac:dyDescent="0.25">
      <c r="A27" t="s">
        <v>333</v>
      </c>
      <c r="B27" t="s">
        <v>46</v>
      </c>
      <c r="C27">
        <v>2023</v>
      </c>
      <c r="D27" t="s">
        <v>9</v>
      </c>
      <c r="E27" t="s">
        <v>17</v>
      </c>
      <c r="F27" t="s">
        <v>12</v>
      </c>
      <c r="G27">
        <v>3295419.3512355364</v>
      </c>
      <c r="H27">
        <v>2891.2314161347181</v>
      </c>
      <c r="I27">
        <v>648.91128235626456</v>
      </c>
      <c r="J27">
        <v>289.12314161347177</v>
      </c>
      <c r="K27">
        <v>29.30340363429098</v>
      </c>
      <c r="L27">
        <v>1923.893588530691</v>
      </c>
      <c r="M27" s="117">
        <f t="shared" si="36"/>
        <v>938.03442396973628</v>
      </c>
      <c r="N27" s="120">
        <f t="shared" si="37"/>
        <v>0.32444114253012396</v>
      </c>
      <c r="O27" s="121">
        <f t="shared" si="38"/>
        <v>1.0135267440289039E-2</v>
      </c>
    </row>
    <row r="28" spans="1:15" ht="19.5" customHeight="1" x14ac:dyDescent="0.25">
      <c r="A28" t="s">
        <v>333</v>
      </c>
      <c r="B28" t="s">
        <v>46</v>
      </c>
      <c r="C28">
        <v>2023</v>
      </c>
      <c r="D28" t="s">
        <v>4</v>
      </c>
      <c r="E28" t="s">
        <v>14</v>
      </c>
      <c r="F28" t="s">
        <v>5</v>
      </c>
      <c r="G28">
        <v>2760000</v>
      </c>
      <c r="H28">
        <v>-1271.1906800000004</v>
      </c>
      <c r="I28">
        <v>-572.03580600000021</v>
      </c>
      <c r="J28">
        <v>-127.11906800000004</v>
      </c>
      <c r="K28">
        <v>-12.711906800000005</v>
      </c>
      <c r="L28">
        <v>-559.32389920000014</v>
      </c>
      <c r="M28" s="117">
        <f t="shared" ref="M28:M29" si="39">+J28+I28</f>
        <v>-699.15487400000029</v>
      </c>
      <c r="N28" s="120">
        <f t="shared" ref="N28:N29" si="40">+M28/H28</f>
        <v>0.55000000000000004</v>
      </c>
      <c r="O28" s="121">
        <f t="shared" ref="O28:O29" si="41">+K28/H28</f>
        <v>0.01</v>
      </c>
    </row>
    <row r="29" spans="1:15" ht="19.5" customHeight="1" x14ac:dyDescent="0.25">
      <c r="A29" t="s">
        <v>333</v>
      </c>
      <c r="B29" t="s">
        <v>46</v>
      </c>
      <c r="C29">
        <v>2023</v>
      </c>
      <c r="D29" t="s">
        <v>4</v>
      </c>
      <c r="E29" t="s">
        <v>15</v>
      </c>
      <c r="F29" t="s">
        <v>7</v>
      </c>
      <c r="M29" s="117">
        <f t="shared" si="39"/>
        <v>0</v>
      </c>
      <c r="N29" s="120" t="e">
        <f t="shared" si="40"/>
        <v>#DIV/0!</v>
      </c>
      <c r="O29" s="121" t="e">
        <f t="shared" si="41"/>
        <v>#DIV/0!</v>
      </c>
    </row>
    <row r="30" spans="1:15" ht="19.5" customHeight="1" x14ac:dyDescent="0.25">
      <c r="A30" t="s">
        <v>331</v>
      </c>
      <c r="B30" t="s">
        <v>46</v>
      </c>
      <c r="C30">
        <v>2023</v>
      </c>
      <c r="D30" t="s">
        <v>1</v>
      </c>
      <c r="E30" t="s">
        <v>0</v>
      </c>
      <c r="F30" t="s">
        <v>2</v>
      </c>
      <c r="M30" s="117">
        <f t="shared" ref="M30:M31" si="42">+J30+I30</f>
        <v>0</v>
      </c>
      <c r="N30" s="120" t="e">
        <f t="shared" ref="N30:N31" si="43">+M30/H30</f>
        <v>#DIV/0!</v>
      </c>
      <c r="O30" s="121" t="e">
        <f t="shared" ref="O30:O31" si="44">+K30/H30</f>
        <v>#DIV/0!</v>
      </c>
    </row>
    <row r="31" spans="1:15" ht="19.5" customHeight="1" x14ac:dyDescent="0.25">
      <c r="A31" t="s">
        <v>332</v>
      </c>
      <c r="B31" t="s">
        <v>332</v>
      </c>
      <c r="C31" t="s">
        <v>332</v>
      </c>
      <c r="D31" t="s">
        <v>332</v>
      </c>
      <c r="E31" t="s">
        <v>332</v>
      </c>
      <c r="F31" t="s">
        <v>332</v>
      </c>
      <c r="M31" s="117">
        <f t="shared" si="42"/>
        <v>0</v>
      </c>
      <c r="N31" s="120" t="e">
        <f t="shared" si="43"/>
        <v>#DIV/0!</v>
      </c>
      <c r="O31" s="121" t="e">
        <f t="shared" si="44"/>
        <v>#DIV/0!</v>
      </c>
    </row>
    <row r="32" spans="1:15" ht="19.5" customHeight="1" x14ac:dyDescent="0.25">
      <c r="A32" t="s">
        <v>331</v>
      </c>
      <c r="B32" t="s">
        <v>46</v>
      </c>
      <c r="C32">
        <v>2023</v>
      </c>
      <c r="D32" t="s">
        <v>9</v>
      </c>
      <c r="E32" t="s">
        <v>8</v>
      </c>
      <c r="F32" t="s">
        <v>10</v>
      </c>
      <c r="M32" s="117">
        <f t="shared" ref="M32:M33" si="45">+J32+I32</f>
        <v>0</v>
      </c>
      <c r="N32" s="120" t="e">
        <f t="shared" ref="N32:N33" si="46">+M32/H32</f>
        <v>#DIV/0!</v>
      </c>
      <c r="O32" s="121" t="e">
        <f t="shared" ref="O32:O33" si="47">+K32/H32</f>
        <v>#DIV/0!</v>
      </c>
    </row>
    <row r="33" spans="1:15" ht="19.5" customHeight="1" x14ac:dyDescent="0.25">
      <c r="A33" t="s">
        <v>331</v>
      </c>
      <c r="B33" t="s">
        <v>46</v>
      </c>
      <c r="C33">
        <v>2023</v>
      </c>
      <c r="D33" t="s">
        <v>9</v>
      </c>
      <c r="E33" t="s">
        <v>11</v>
      </c>
      <c r="F33" t="s">
        <v>12</v>
      </c>
      <c r="M33" s="117">
        <f t="shared" si="45"/>
        <v>0</v>
      </c>
      <c r="N33" s="120" t="e">
        <f t="shared" si="46"/>
        <v>#DIV/0!</v>
      </c>
      <c r="O33" s="121" t="e">
        <f t="shared" si="47"/>
        <v>#DIV/0!</v>
      </c>
    </row>
    <row r="34" spans="1:15" ht="19.5" customHeight="1" x14ac:dyDescent="0.25">
      <c r="A34" t="s">
        <v>331</v>
      </c>
      <c r="B34" t="s">
        <v>46</v>
      </c>
      <c r="C34">
        <v>2023</v>
      </c>
      <c r="D34" t="s">
        <v>4</v>
      </c>
      <c r="E34" t="s">
        <v>3</v>
      </c>
      <c r="F34" t="s">
        <v>5</v>
      </c>
      <c r="M34" s="117">
        <f t="shared" ref="M34:M35" si="48">+J34+I34</f>
        <v>0</v>
      </c>
      <c r="N34" s="120" t="e">
        <f t="shared" ref="N34:N35" si="49">+M34/H34</f>
        <v>#DIV/0!</v>
      </c>
      <c r="O34" s="121" t="e">
        <f t="shared" ref="O34:O35" si="50">+K34/H34</f>
        <v>#DIV/0!</v>
      </c>
    </row>
    <row r="35" spans="1:15" ht="19.5" customHeight="1" x14ac:dyDescent="0.25">
      <c r="A35" t="s">
        <v>331</v>
      </c>
      <c r="B35" t="s">
        <v>46</v>
      </c>
      <c r="C35">
        <v>2023</v>
      </c>
      <c r="D35" t="s">
        <v>4</v>
      </c>
      <c r="E35" t="s">
        <v>6</v>
      </c>
      <c r="F35" t="s">
        <v>7</v>
      </c>
      <c r="M35" s="117">
        <f t="shared" si="48"/>
        <v>0</v>
      </c>
      <c r="N35" s="120" t="e">
        <f t="shared" si="49"/>
        <v>#DIV/0!</v>
      </c>
      <c r="O35" s="121" t="e">
        <f t="shared" si="50"/>
        <v>#DIV/0!</v>
      </c>
    </row>
    <row r="36" spans="1:15" ht="19.5" customHeight="1" x14ac:dyDescent="0.25">
      <c r="A36" t="s">
        <v>335</v>
      </c>
      <c r="B36" t="s">
        <v>57</v>
      </c>
      <c r="C36">
        <v>2023</v>
      </c>
      <c r="D36" t="s">
        <v>1</v>
      </c>
      <c r="E36" t="s">
        <v>26</v>
      </c>
      <c r="F36" t="s">
        <v>2</v>
      </c>
      <c r="G36">
        <v>1411911.5603255972</v>
      </c>
      <c r="H36">
        <v>15974.629849593133</v>
      </c>
      <c r="I36">
        <v>3611.5322199596499</v>
      </c>
      <c r="J36">
        <v>1437.7166864633818</v>
      </c>
      <c r="K36">
        <v>159.74629947715889</v>
      </c>
      <c r="L36">
        <v>10765.63464467417</v>
      </c>
      <c r="M36" s="117">
        <f t="shared" ref="M36:M37" si="51">+J36+I36</f>
        <v>5049.2489064230322</v>
      </c>
      <c r="N36" s="120">
        <f t="shared" ref="N36:N37" si="52">+M36/H36</f>
        <v>0.31607924277204047</v>
      </c>
      <c r="O36" s="121">
        <f t="shared" ref="O36:O37" si="53">+K36/H36</f>
        <v>1.0000000061424118E-2</v>
      </c>
    </row>
    <row r="37" spans="1:15" ht="19.5" customHeight="1" x14ac:dyDescent="0.25">
      <c r="A37" t="s">
        <v>332</v>
      </c>
      <c r="B37" t="s">
        <v>332</v>
      </c>
      <c r="C37" t="s">
        <v>332</v>
      </c>
      <c r="D37" t="s">
        <v>332</v>
      </c>
      <c r="E37" t="s">
        <v>332</v>
      </c>
      <c r="F37" t="s">
        <v>332</v>
      </c>
      <c r="M37" s="117">
        <f t="shared" si="51"/>
        <v>0</v>
      </c>
      <c r="N37" s="120" t="e">
        <f t="shared" si="52"/>
        <v>#DIV/0!</v>
      </c>
      <c r="O37" s="121" t="e">
        <f t="shared" si="53"/>
        <v>#DIV/0!</v>
      </c>
    </row>
    <row r="38" spans="1:15" ht="19.5" customHeight="1" x14ac:dyDescent="0.25">
      <c r="A38" t="s">
        <v>335</v>
      </c>
      <c r="B38" t="s">
        <v>57</v>
      </c>
      <c r="C38">
        <v>2023</v>
      </c>
      <c r="D38" t="s">
        <v>9</v>
      </c>
      <c r="E38" t="s">
        <v>29</v>
      </c>
      <c r="F38" t="s">
        <v>10</v>
      </c>
      <c r="G38">
        <v>2242268.9331339286</v>
      </c>
      <c r="H38">
        <v>244711.12977160371</v>
      </c>
      <c r="I38">
        <v>45710.301112045498</v>
      </c>
      <c r="J38">
        <v>22024.001679444344</v>
      </c>
      <c r="K38">
        <v>5917.488708231911</v>
      </c>
      <c r="L38">
        <v>171059.33827188195</v>
      </c>
      <c r="M38" s="117">
        <f t="shared" ref="M38:M39" si="54">+J38+I38</f>
        <v>67734.302791489841</v>
      </c>
      <c r="N38" s="120">
        <f t="shared" ref="N38:N39" si="55">+M38/H38</f>
        <v>0.27679289803740564</v>
      </c>
      <c r="O38" s="121">
        <f t="shared" ref="O38:O39" si="56">+K38/H38</f>
        <v>2.4181526658615331E-2</v>
      </c>
    </row>
    <row r="39" spans="1:15" ht="19.5" customHeight="1" x14ac:dyDescent="0.25">
      <c r="A39" t="s">
        <v>335</v>
      </c>
      <c r="B39" t="s">
        <v>57</v>
      </c>
      <c r="C39">
        <v>2023</v>
      </c>
      <c r="D39" t="s">
        <v>9</v>
      </c>
      <c r="E39" t="s">
        <v>30</v>
      </c>
      <c r="F39" t="s">
        <v>12</v>
      </c>
      <c r="G39">
        <v>4988732.3943661973</v>
      </c>
      <c r="H39">
        <v>1644079.2869342454</v>
      </c>
      <c r="I39">
        <v>302056.91134261369</v>
      </c>
      <c r="J39">
        <v>147967.13582408213</v>
      </c>
      <c r="K39">
        <v>25761.034037743219</v>
      </c>
      <c r="L39">
        <v>1168294.2057298068</v>
      </c>
      <c r="M39" s="117">
        <f t="shared" si="54"/>
        <v>450024.04716669582</v>
      </c>
      <c r="N39" s="120">
        <f t="shared" si="55"/>
        <v>0.27372405378688675</v>
      </c>
      <c r="O39" s="121">
        <f t="shared" si="56"/>
        <v>1.566897304921373E-2</v>
      </c>
    </row>
    <row r="40" spans="1:15" ht="19.5" customHeight="1" x14ac:dyDescent="0.25">
      <c r="A40" t="s">
        <v>335</v>
      </c>
      <c r="B40" t="s">
        <v>57</v>
      </c>
      <c r="C40">
        <v>2023</v>
      </c>
      <c r="D40" t="s">
        <v>4</v>
      </c>
      <c r="E40" t="s">
        <v>27</v>
      </c>
      <c r="F40" t="s">
        <v>5</v>
      </c>
      <c r="G40">
        <v>4750000</v>
      </c>
      <c r="H40">
        <v>122921.56749999999</v>
      </c>
      <c r="I40">
        <v>38243.95582499999</v>
      </c>
      <c r="J40">
        <v>11062.941074999999</v>
      </c>
      <c r="K40">
        <v>1633.81</v>
      </c>
      <c r="L40">
        <v>71980.861217850004</v>
      </c>
      <c r="M40" s="117">
        <f t="shared" ref="M40:M41" si="57">+J40+I40</f>
        <v>49306.896899999992</v>
      </c>
      <c r="N40" s="120">
        <f t="shared" ref="N40:N41" si="58">+M40/H40</f>
        <v>0.40112486281140203</v>
      </c>
      <c r="O40" s="121">
        <f t="shared" ref="O40:O41" si="59">+K40/H40</f>
        <v>1.3291483612100863E-2</v>
      </c>
    </row>
    <row r="41" spans="1:15" ht="19.5" customHeight="1" x14ac:dyDescent="0.25">
      <c r="A41" t="s">
        <v>335</v>
      </c>
      <c r="B41" t="s">
        <v>57</v>
      </c>
      <c r="C41">
        <v>2023</v>
      </c>
      <c r="D41" t="s">
        <v>4</v>
      </c>
      <c r="E41" t="s">
        <v>28</v>
      </c>
      <c r="F41" t="s">
        <v>7</v>
      </c>
      <c r="M41" s="117">
        <f t="shared" si="57"/>
        <v>0</v>
      </c>
      <c r="N41" s="120" t="e">
        <f t="shared" si="58"/>
        <v>#DIV/0!</v>
      </c>
      <c r="O41" s="121" t="e">
        <f t="shared" si="59"/>
        <v>#DIV/0!</v>
      </c>
    </row>
    <row r="42" spans="1:15" ht="19.5" customHeight="1" x14ac:dyDescent="0.25">
      <c r="A42" t="s">
        <v>334</v>
      </c>
      <c r="B42" t="s">
        <v>57</v>
      </c>
      <c r="C42">
        <v>2023</v>
      </c>
      <c r="D42" t="s">
        <v>24</v>
      </c>
      <c r="E42" t="s">
        <v>23</v>
      </c>
      <c r="F42" t="s">
        <v>25</v>
      </c>
      <c r="G42">
        <v>1526014</v>
      </c>
      <c r="H42">
        <v>1633.15</v>
      </c>
      <c r="I42">
        <v>326.63</v>
      </c>
      <c r="J42">
        <v>163.31</v>
      </c>
      <c r="K42">
        <v>57.16</v>
      </c>
      <c r="L42">
        <v>1086.04</v>
      </c>
      <c r="M42" s="117">
        <f t="shared" ref="M42:M43" si="60">+J42+I42</f>
        <v>489.94</v>
      </c>
      <c r="N42" s="120">
        <f t="shared" ref="N42:N43" si="61">+M42/H42</f>
        <v>0.29999693843186476</v>
      </c>
      <c r="O42" s="121">
        <f t="shared" ref="O42:O43" si="62">+K42/H42</f>
        <v>3.4999846921593233E-2</v>
      </c>
    </row>
    <row r="43" spans="1:15" ht="19.5" customHeight="1" x14ac:dyDescent="0.25">
      <c r="A43" t="s">
        <v>332</v>
      </c>
      <c r="B43" t="s">
        <v>332</v>
      </c>
      <c r="C43" t="s">
        <v>332</v>
      </c>
      <c r="D43" t="s">
        <v>332</v>
      </c>
      <c r="E43" t="s">
        <v>332</v>
      </c>
      <c r="F43" t="s">
        <v>332</v>
      </c>
      <c r="M43" s="117">
        <f t="shared" si="60"/>
        <v>0</v>
      </c>
      <c r="N43" s="120" t="e">
        <f t="shared" si="61"/>
        <v>#DIV/0!</v>
      </c>
      <c r="O43" s="121" t="e">
        <f t="shared" si="62"/>
        <v>#DIV/0!</v>
      </c>
    </row>
    <row r="44" spans="1:15" ht="19.5" customHeight="1" x14ac:dyDescent="0.25">
      <c r="A44" t="s">
        <v>334</v>
      </c>
      <c r="B44" t="s">
        <v>57</v>
      </c>
      <c r="C44">
        <v>2023</v>
      </c>
      <c r="D44" t="s">
        <v>1</v>
      </c>
      <c r="E44" t="s">
        <v>18</v>
      </c>
      <c r="F44" t="s">
        <v>2</v>
      </c>
      <c r="G44">
        <v>750000</v>
      </c>
      <c r="H44">
        <v>414.07099469968512</v>
      </c>
      <c r="I44">
        <v>106.45735077362424</v>
      </c>
      <c r="J44">
        <v>37.266389522971664</v>
      </c>
      <c r="K44">
        <v>4.1407135928896324</v>
      </c>
      <c r="L44">
        <v>266.20654445609227</v>
      </c>
      <c r="M44" s="117">
        <f t="shared" ref="M44:M45" si="63">+J44+I44</f>
        <v>143.72374029659591</v>
      </c>
      <c r="N44" s="120">
        <f t="shared" ref="N44:N45" si="64">+M44/H44</f>
        <v>0.34709927074422342</v>
      </c>
      <c r="O44" s="121">
        <f t="shared" ref="O44:O45" si="65">+K44/H44</f>
        <v>1.000000880499438E-2</v>
      </c>
    </row>
    <row r="45" spans="1:15" ht="19.5" customHeight="1" x14ac:dyDescent="0.25">
      <c r="A45" t="s">
        <v>332</v>
      </c>
      <c r="B45" t="s">
        <v>332</v>
      </c>
      <c r="C45" t="s">
        <v>332</v>
      </c>
      <c r="D45" t="s">
        <v>332</v>
      </c>
      <c r="E45" t="s">
        <v>332</v>
      </c>
      <c r="F45" t="s">
        <v>332</v>
      </c>
      <c r="M45" s="117">
        <f t="shared" si="63"/>
        <v>0</v>
      </c>
      <c r="N45" s="120" t="e">
        <f t="shared" si="64"/>
        <v>#DIV/0!</v>
      </c>
      <c r="O45" s="121" t="e">
        <f t="shared" si="65"/>
        <v>#DIV/0!</v>
      </c>
    </row>
    <row r="46" spans="1:15" ht="19.5" customHeight="1" x14ac:dyDescent="0.25">
      <c r="A46" t="s">
        <v>334</v>
      </c>
      <c r="B46" t="s">
        <v>57</v>
      </c>
      <c r="C46">
        <v>2023</v>
      </c>
      <c r="D46" t="s">
        <v>9</v>
      </c>
      <c r="E46" t="s">
        <v>21</v>
      </c>
      <c r="F46" t="s">
        <v>10</v>
      </c>
      <c r="G46">
        <v>4414798.6026274515</v>
      </c>
      <c r="M46" s="117">
        <f t="shared" ref="M46:M47" si="66">+J46+I46</f>
        <v>0</v>
      </c>
      <c r="N46" s="120" t="e">
        <f t="shared" ref="N46:N47" si="67">+M46/H46</f>
        <v>#DIV/0!</v>
      </c>
      <c r="O46" s="121" t="e">
        <f t="shared" ref="O46:O47" si="68">+K46/H46</f>
        <v>#DIV/0!</v>
      </c>
    </row>
    <row r="47" spans="1:15" ht="19.5" customHeight="1" x14ac:dyDescent="0.25">
      <c r="A47" t="s">
        <v>334</v>
      </c>
      <c r="B47" t="s">
        <v>57</v>
      </c>
      <c r="C47">
        <v>2023</v>
      </c>
      <c r="D47" t="s">
        <v>9</v>
      </c>
      <c r="E47" t="s">
        <v>22</v>
      </c>
      <c r="F47" t="s">
        <v>12</v>
      </c>
      <c r="G47">
        <v>4638100.2156862747</v>
      </c>
      <c r="H47">
        <v>-230409.35059074254</v>
      </c>
      <c r="I47">
        <v>-46397.559803654622</v>
      </c>
      <c r="J47">
        <v>-20736.841553166822</v>
      </c>
      <c r="K47">
        <v>-3660.8432406601687</v>
      </c>
      <c r="L47">
        <v>-159614.10599326092</v>
      </c>
      <c r="M47" s="117">
        <f t="shared" si="66"/>
        <v>-67134.401356821443</v>
      </c>
      <c r="N47" s="120">
        <f t="shared" si="67"/>
        <v>0.29137012532128886</v>
      </c>
      <c r="O47" s="121">
        <f t="shared" si="68"/>
        <v>1.5888431746689951E-2</v>
      </c>
    </row>
    <row r="48" spans="1:15" ht="19.5" customHeight="1" x14ac:dyDescent="0.25">
      <c r="A48" t="s">
        <v>334</v>
      </c>
      <c r="B48" t="s">
        <v>57</v>
      </c>
      <c r="C48">
        <v>2023</v>
      </c>
      <c r="D48" t="s">
        <v>4</v>
      </c>
      <c r="E48" t="s">
        <v>19</v>
      </c>
      <c r="F48" t="s">
        <v>5</v>
      </c>
      <c r="M48" s="117">
        <f t="shared" ref="M48:M49" si="69">+J48+I48</f>
        <v>0</v>
      </c>
      <c r="N48" s="120" t="e">
        <f t="shared" ref="N48:N49" si="70">+M48/H48</f>
        <v>#DIV/0!</v>
      </c>
      <c r="O48" s="121" t="e">
        <f t="shared" ref="O48:O49" si="71">+K48/H48</f>
        <v>#DIV/0!</v>
      </c>
    </row>
    <row r="49" spans="1:15" ht="19.5" customHeight="1" x14ac:dyDescent="0.25">
      <c r="A49" t="s">
        <v>334</v>
      </c>
      <c r="B49" t="s">
        <v>57</v>
      </c>
      <c r="C49">
        <v>2023</v>
      </c>
      <c r="D49" t="s">
        <v>4</v>
      </c>
      <c r="E49" t="s">
        <v>20</v>
      </c>
      <c r="F49" t="s">
        <v>7</v>
      </c>
      <c r="M49" s="117">
        <f t="shared" si="69"/>
        <v>0</v>
      </c>
      <c r="N49" s="120" t="e">
        <f t="shared" si="70"/>
        <v>#DIV/0!</v>
      </c>
      <c r="O49" s="121" t="e">
        <f t="shared" si="71"/>
        <v>#DIV/0!</v>
      </c>
    </row>
    <row r="50" spans="1:15" ht="19.5" customHeight="1" x14ac:dyDescent="0.25">
      <c r="A50" t="s">
        <v>333</v>
      </c>
      <c r="B50" t="s">
        <v>57</v>
      </c>
      <c r="C50">
        <v>2023</v>
      </c>
      <c r="D50" t="s">
        <v>1</v>
      </c>
      <c r="E50" t="s">
        <v>13</v>
      </c>
      <c r="F50" t="s">
        <v>2</v>
      </c>
      <c r="M50" s="117">
        <f t="shared" ref="M50:M51" si="72">+J50+I50</f>
        <v>0</v>
      </c>
      <c r="N50" s="120" t="e">
        <f t="shared" ref="N50:N51" si="73">+M50/H50</f>
        <v>#DIV/0!</v>
      </c>
      <c r="O50" s="121" t="e">
        <f t="shared" ref="O50:O51" si="74">+K50/H50</f>
        <v>#DIV/0!</v>
      </c>
    </row>
    <row r="51" spans="1:15" ht="19.5" customHeight="1" x14ac:dyDescent="0.25">
      <c r="A51" t="s">
        <v>332</v>
      </c>
      <c r="B51" t="s">
        <v>332</v>
      </c>
      <c r="C51" t="s">
        <v>332</v>
      </c>
      <c r="D51" t="s">
        <v>332</v>
      </c>
      <c r="E51" t="s">
        <v>332</v>
      </c>
      <c r="F51" t="s">
        <v>332</v>
      </c>
      <c r="M51" s="117">
        <f t="shared" si="72"/>
        <v>0</v>
      </c>
      <c r="N51" s="120" t="e">
        <f t="shared" si="73"/>
        <v>#DIV/0!</v>
      </c>
      <c r="O51" s="121" t="e">
        <f t="shared" si="74"/>
        <v>#DIV/0!</v>
      </c>
    </row>
    <row r="52" spans="1:15" ht="19.5" customHeight="1" x14ac:dyDescent="0.25">
      <c r="A52" t="s">
        <v>333</v>
      </c>
      <c r="B52" t="s">
        <v>57</v>
      </c>
      <c r="C52">
        <v>2023</v>
      </c>
      <c r="D52" t="s">
        <v>9</v>
      </c>
      <c r="E52" t="s">
        <v>16</v>
      </c>
      <c r="F52" t="s">
        <v>10</v>
      </c>
      <c r="M52" s="117">
        <f t="shared" ref="M52:M53" si="75">+J52+I52</f>
        <v>0</v>
      </c>
      <c r="N52" s="120" t="e">
        <f t="shared" ref="N52:N53" si="76">+M52/H52</f>
        <v>#DIV/0!</v>
      </c>
      <c r="O52" s="121" t="e">
        <f t="shared" ref="O52:O53" si="77">+K52/H52</f>
        <v>#DIV/0!</v>
      </c>
    </row>
    <row r="53" spans="1:15" ht="19.5" customHeight="1" x14ac:dyDescent="0.25">
      <c r="A53" t="s">
        <v>333</v>
      </c>
      <c r="B53" t="s">
        <v>57</v>
      </c>
      <c r="C53">
        <v>2023</v>
      </c>
      <c r="D53" t="s">
        <v>9</v>
      </c>
      <c r="E53" t="s">
        <v>17</v>
      </c>
      <c r="F53" t="s">
        <v>12</v>
      </c>
      <c r="G53">
        <v>3409098</v>
      </c>
      <c r="H53">
        <v>11.42</v>
      </c>
      <c r="I53">
        <v>0.56999999999999995</v>
      </c>
      <c r="J53">
        <v>1.1399999999999999</v>
      </c>
      <c r="K53">
        <v>0.63</v>
      </c>
      <c r="L53">
        <v>9.08</v>
      </c>
      <c r="M53" s="117">
        <f t="shared" si="75"/>
        <v>1.71</v>
      </c>
      <c r="N53" s="120">
        <f t="shared" si="76"/>
        <v>0.14973730297723292</v>
      </c>
      <c r="O53" s="121">
        <f t="shared" si="77"/>
        <v>5.5166374781085818E-2</v>
      </c>
    </row>
    <row r="54" spans="1:15" ht="19.5" customHeight="1" x14ac:dyDescent="0.25">
      <c r="A54" t="s">
        <v>333</v>
      </c>
      <c r="B54" t="s">
        <v>57</v>
      </c>
      <c r="C54">
        <v>2023</v>
      </c>
      <c r="D54" t="s">
        <v>4</v>
      </c>
      <c r="E54" t="s">
        <v>14</v>
      </c>
      <c r="F54" t="s">
        <v>5</v>
      </c>
      <c r="M54" s="117">
        <f t="shared" ref="M54:M55" si="78">+J54+I54</f>
        <v>0</v>
      </c>
      <c r="N54" s="120" t="e">
        <f t="shared" ref="N54:N55" si="79">+M54/H54</f>
        <v>#DIV/0!</v>
      </c>
      <c r="O54" s="121" t="e">
        <f t="shared" ref="O54:O55" si="80">+K54/H54</f>
        <v>#DIV/0!</v>
      </c>
    </row>
    <row r="55" spans="1:15" ht="19.5" customHeight="1" x14ac:dyDescent="0.25">
      <c r="A55" t="s">
        <v>333</v>
      </c>
      <c r="B55" t="s">
        <v>57</v>
      </c>
      <c r="C55">
        <v>2023</v>
      </c>
      <c r="D55" t="s">
        <v>4</v>
      </c>
      <c r="E55" t="s">
        <v>15</v>
      </c>
      <c r="F55" t="s">
        <v>7</v>
      </c>
      <c r="M55" s="117">
        <f t="shared" si="78"/>
        <v>0</v>
      </c>
      <c r="N55" s="120" t="e">
        <f t="shared" si="79"/>
        <v>#DIV/0!</v>
      </c>
      <c r="O55" s="121" t="e">
        <f t="shared" si="80"/>
        <v>#DIV/0!</v>
      </c>
    </row>
    <row r="56" spans="1:15" ht="19.5" customHeight="1" x14ac:dyDescent="0.25">
      <c r="A56" t="s">
        <v>331</v>
      </c>
      <c r="B56" t="s">
        <v>57</v>
      </c>
      <c r="C56">
        <v>2023</v>
      </c>
      <c r="D56" t="s">
        <v>1</v>
      </c>
      <c r="E56" t="s">
        <v>0</v>
      </c>
      <c r="F56" t="s">
        <v>2</v>
      </c>
      <c r="G56">
        <v>2784019.8247616361</v>
      </c>
      <c r="H56">
        <v>329.45525657932944</v>
      </c>
      <c r="I56">
        <v>57.028704913881924</v>
      </c>
      <c r="J56">
        <v>41.18190707241618</v>
      </c>
      <c r="K56">
        <v>7.6002250170139618</v>
      </c>
      <c r="L56">
        <v>223.64441957601736</v>
      </c>
      <c r="M56" s="117">
        <f t="shared" ref="M56:M57" si="81">+J56+I56</f>
        <v>98.210611986298105</v>
      </c>
      <c r="N56" s="120">
        <f t="shared" ref="N56:N57" si="82">+M56/H56</f>
        <v>0.29809999999999998</v>
      </c>
      <c r="O56" s="121">
        <f t="shared" ref="O56:O57" si="83">+K56/H56</f>
        <v>2.3069065875365401E-2</v>
      </c>
    </row>
    <row r="57" spans="1:15" ht="19.5" customHeight="1" x14ac:dyDescent="0.25">
      <c r="A57" t="s">
        <v>332</v>
      </c>
      <c r="B57" t="s">
        <v>332</v>
      </c>
      <c r="C57" t="s">
        <v>332</v>
      </c>
      <c r="D57" t="s">
        <v>332</v>
      </c>
      <c r="E57" t="s">
        <v>332</v>
      </c>
      <c r="F57" t="s">
        <v>332</v>
      </c>
      <c r="M57" s="117">
        <f t="shared" si="81"/>
        <v>0</v>
      </c>
      <c r="N57" s="120" t="e">
        <f t="shared" si="82"/>
        <v>#DIV/0!</v>
      </c>
      <c r="O57" s="121" t="e">
        <f t="shared" si="83"/>
        <v>#DIV/0!</v>
      </c>
    </row>
    <row r="58" spans="1:15" ht="19.5" customHeight="1" x14ac:dyDescent="0.25">
      <c r="A58" t="s">
        <v>331</v>
      </c>
      <c r="B58" t="s">
        <v>57</v>
      </c>
      <c r="C58">
        <v>2023</v>
      </c>
      <c r="D58" t="s">
        <v>9</v>
      </c>
      <c r="E58" t="s">
        <v>8</v>
      </c>
      <c r="F58" t="s">
        <v>10</v>
      </c>
      <c r="M58" s="117">
        <f t="shared" ref="M58:M59" si="84">+J58+I58</f>
        <v>0</v>
      </c>
      <c r="N58" s="120" t="e">
        <f t="shared" ref="N58:N59" si="85">+M58/H58</f>
        <v>#DIV/0!</v>
      </c>
      <c r="O58" s="121" t="e">
        <f t="shared" ref="O58:O59" si="86">+K58/H58</f>
        <v>#DIV/0!</v>
      </c>
    </row>
    <row r="59" spans="1:15" ht="19.5" customHeight="1" x14ac:dyDescent="0.25">
      <c r="A59" t="s">
        <v>331</v>
      </c>
      <c r="B59" t="s">
        <v>57</v>
      </c>
      <c r="C59">
        <v>2023</v>
      </c>
      <c r="D59" t="s">
        <v>9</v>
      </c>
      <c r="E59" t="s">
        <v>11</v>
      </c>
      <c r="F59" t="s">
        <v>12</v>
      </c>
      <c r="M59" s="117">
        <f t="shared" si="84"/>
        <v>0</v>
      </c>
      <c r="N59" s="120" t="e">
        <f t="shared" si="85"/>
        <v>#DIV/0!</v>
      </c>
      <c r="O59" s="121" t="e">
        <f t="shared" si="86"/>
        <v>#DIV/0!</v>
      </c>
    </row>
    <row r="60" spans="1:15" ht="19.5" customHeight="1" x14ac:dyDescent="0.25">
      <c r="A60" t="s">
        <v>331</v>
      </c>
      <c r="B60" t="s">
        <v>57</v>
      </c>
      <c r="C60">
        <v>2023</v>
      </c>
      <c r="D60" t="s">
        <v>4</v>
      </c>
      <c r="E60" t="s">
        <v>3</v>
      </c>
      <c r="F60" t="s">
        <v>5</v>
      </c>
      <c r="M60" s="117">
        <f t="shared" ref="M60:M61" si="87">+J60+I60</f>
        <v>0</v>
      </c>
      <c r="N60" s="120" t="e">
        <f t="shared" ref="N60:N61" si="88">+M60/H60</f>
        <v>#DIV/0!</v>
      </c>
      <c r="O60" s="121" t="e">
        <f t="shared" ref="O60:O61" si="89">+K60/H60</f>
        <v>#DIV/0!</v>
      </c>
    </row>
    <row r="61" spans="1:15" ht="19.5" customHeight="1" x14ac:dyDescent="0.25">
      <c r="A61" t="s">
        <v>331</v>
      </c>
      <c r="B61" t="s">
        <v>57</v>
      </c>
      <c r="C61">
        <v>2023</v>
      </c>
      <c r="D61" t="s">
        <v>4</v>
      </c>
      <c r="E61" t="s">
        <v>6</v>
      </c>
      <c r="F61" t="s">
        <v>7</v>
      </c>
      <c r="M61" s="117">
        <f t="shared" si="87"/>
        <v>0</v>
      </c>
      <c r="N61" s="120" t="e">
        <f t="shared" si="88"/>
        <v>#DIV/0!</v>
      </c>
      <c r="O61" s="121" t="e">
        <f t="shared" si="89"/>
        <v>#DIV/0!</v>
      </c>
    </row>
    <row r="62" spans="1:15" x14ac:dyDescent="0.25">
      <c r="A62" t="s">
        <v>329</v>
      </c>
      <c r="B62" t="s">
        <v>49</v>
      </c>
      <c r="C62">
        <v>2022</v>
      </c>
      <c r="D62" t="s">
        <v>4</v>
      </c>
      <c r="E62" t="s">
        <v>19</v>
      </c>
      <c r="F62" t="s">
        <v>60</v>
      </c>
      <c r="G62">
        <v>3704074.96</v>
      </c>
      <c r="H62">
        <v>-8027.5</v>
      </c>
      <c r="I62">
        <v>-1204.3262500000001</v>
      </c>
      <c r="J62">
        <v>-802.75099999999998</v>
      </c>
      <c r="K62" s="111">
        <v>-202.94</v>
      </c>
      <c r="L62">
        <v>-5817.49</v>
      </c>
      <c r="M62" s="117">
        <f>+J62+I62</f>
        <v>-2007.07725</v>
      </c>
      <c r="N62" s="120">
        <f>+M62/H62</f>
        <v>0.25002519464341327</v>
      </c>
      <c r="O62" s="121">
        <f>+K62/H62</f>
        <v>2.5280597944565556E-2</v>
      </c>
    </row>
    <row r="63" spans="1:15" x14ac:dyDescent="0.25">
      <c r="A63" t="s">
        <v>329</v>
      </c>
      <c r="B63" t="s">
        <v>49</v>
      </c>
      <c r="C63">
        <v>2022</v>
      </c>
      <c r="D63" t="s">
        <v>4</v>
      </c>
      <c r="E63" t="s">
        <v>20</v>
      </c>
      <c r="F63" t="s">
        <v>59</v>
      </c>
      <c r="G63">
        <v>4906606.12</v>
      </c>
      <c r="H63">
        <v>9826.8399999999983</v>
      </c>
      <c r="I63">
        <v>1915.9841299999996</v>
      </c>
      <c r="J63">
        <v>982.67199999999991</v>
      </c>
      <c r="K63">
        <v>58.330000000000091</v>
      </c>
      <c r="L63">
        <v>6869.8499999999976</v>
      </c>
      <c r="M63" s="117">
        <f>+J63+I63</f>
        <v>2898.6561299999994</v>
      </c>
      <c r="N63" s="120">
        <f>+M63/H63</f>
        <v>0.29497337190795819</v>
      </c>
      <c r="O63" s="121">
        <f>+K63/H63</f>
        <v>5.93578403637386E-3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 filterMode="1"/>
  <dimension ref="A1:AK677"/>
  <sheetViews>
    <sheetView zoomScale="70" zoomScaleNormal="70" workbookViewId="0">
      <selection activeCell="K3" sqref="K3:N5"/>
    </sheetView>
  </sheetViews>
  <sheetFormatPr defaultColWidth="8.7109375" defaultRowHeight="64.5" customHeight="1" x14ac:dyDescent="0.25"/>
  <cols>
    <col min="1" max="1" width="15.85546875" customWidth="1"/>
    <col min="2" max="2" width="9.7109375" customWidth="1"/>
    <col min="3" max="3" width="5.140625" bestFit="1" customWidth="1"/>
    <col min="4" max="4" width="7.5703125" bestFit="1" customWidth="1"/>
    <col min="5" max="5" width="17.42578125" bestFit="1" customWidth="1"/>
    <col min="6" max="6" width="18.85546875" bestFit="1" customWidth="1"/>
    <col min="7" max="7" width="13.28515625" bestFit="1" customWidth="1"/>
    <col min="8" max="8" width="11.85546875" bestFit="1" customWidth="1"/>
    <col min="9" max="9" width="12.5703125" bestFit="1" customWidth="1"/>
    <col min="10" max="10" width="10.5703125" bestFit="1" customWidth="1"/>
    <col min="11" max="11" width="12.5703125" customWidth="1"/>
    <col min="12" max="13" width="9.7109375" bestFit="1" customWidth="1"/>
    <col min="14" max="14" width="13.28515625" bestFit="1" customWidth="1"/>
    <col min="15" max="15" width="11.28515625" bestFit="1" customWidth="1"/>
    <col min="16" max="16" width="11.85546875" bestFit="1" customWidth="1"/>
    <col min="18" max="18" width="10.42578125" bestFit="1" customWidth="1"/>
    <col min="19" max="19" width="11.28515625" bestFit="1" customWidth="1"/>
    <col min="21" max="21" width="13.28515625" bestFit="1" customWidth="1"/>
    <col min="22" max="23" width="11.5703125" bestFit="1" customWidth="1"/>
    <col min="24" max="24" width="10.5703125" bestFit="1" customWidth="1"/>
    <col min="25" max="25" width="13.28515625" bestFit="1" customWidth="1"/>
    <col min="27" max="27" width="10.140625" bestFit="1" customWidth="1"/>
    <col min="28" max="28" width="9.7109375" bestFit="1" customWidth="1"/>
    <col min="35" max="35" width="9.42578125" bestFit="1" customWidth="1"/>
  </cols>
  <sheetData>
    <row r="1" spans="1:37" ht="14.45" customHeight="1" x14ac:dyDescent="0.25">
      <c r="A1" s="210" t="s">
        <v>300</v>
      </c>
      <c r="B1" s="210"/>
      <c r="C1" s="210"/>
      <c r="D1" s="210"/>
      <c r="E1" s="210"/>
      <c r="F1" s="210"/>
      <c r="G1" s="210"/>
      <c r="H1" s="210"/>
      <c r="K1" s="72"/>
      <c r="S1" s="137"/>
    </row>
    <row r="2" spans="1:37" s="138" customFormat="1" ht="45" x14ac:dyDescent="0.25">
      <c r="A2" s="138" t="s">
        <v>301</v>
      </c>
      <c r="B2" s="138" t="s">
        <v>302</v>
      </c>
      <c r="C2" s="138" t="s">
        <v>36</v>
      </c>
      <c r="D2" s="138" t="s">
        <v>129</v>
      </c>
      <c r="E2" s="138" t="s">
        <v>303</v>
      </c>
      <c r="F2" s="138" t="s">
        <v>304</v>
      </c>
      <c r="G2" s="138" t="s">
        <v>305</v>
      </c>
      <c r="H2" s="138" t="s">
        <v>306</v>
      </c>
      <c r="I2" s="138" t="s">
        <v>307</v>
      </c>
      <c r="J2" s="138" t="s">
        <v>308</v>
      </c>
      <c r="K2" s="138" t="s">
        <v>309</v>
      </c>
      <c r="L2" s="138" t="s">
        <v>310</v>
      </c>
      <c r="M2" s="138" t="s">
        <v>311</v>
      </c>
      <c r="N2" s="138" t="s">
        <v>312</v>
      </c>
      <c r="O2" s="138" t="s">
        <v>313</v>
      </c>
      <c r="P2" s="138" t="s">
        <v>314</v>
      </c>
      <c r="Q2" s="138" t="s">
        <v>315</v>
      </c>
      <c r="R2" s="138" t="s">
        <v>316</v>
      </c>
      <c r="S2" s="138" t="s">
        <v>317</v>
      </c>
      <c r="T2" s="138" t="s">
        <v>318</v>
      </c>
      <c r="U2" s="138" t="s">
        <v>319</v>
      </c>
      <c r="V2" s="138" t="s">
        <v>320</v>
      </c>
      <c r="W2" s="138" t="s">
        <v>321</v>
      </c>
      <c r="X2" s="138" t="s">
        <v>322</v>
      </c>
      <c r="Y2" s="138" t="s">
        <v>323</v>
      </c>
      <c r="AA2" s="139"/>
      <c r="AB2" s="139"/>
      <c r="AC2" s="139"/>
      <c r="AD2" s="139"/>
      <c r="AE2" s="139"/>
      <c r="AG2" s="139"/>
      <c r="AI2" s="139">
        <v>-41957.34</v>
      </c>
      <c r="AJ2" s="139">
        <v>52978.32</v>
      </c>
      <c r="AK2" s="139">
        <f>AJ2-AI2</f>
        <v>94935.66</v>
      </c>
    </row>
    <row r="3" spans="1:37" s="138" customFormat="1" ht="30" x14ac:dyDescent="0.25">
      <c r="A3" s="138" t="s">
        <v>46</v>
      </c>
      <c r="B3" s="138">
        <v>2023</v>
      </c>
      <c r="C3" s="138" t="s">
        <v>527</v>
      </c>
      <c r="D3" s="138" t="s">
        <v>4</v>
      </c>
      <c r="E3" s="138" t="s">
        <v>5</v>
      </c>
      <c r="F3" s="138" t="s">
        <v>522</v>
      </c>
      <c r="G3" s="138">
        <v>8868.75</v>
      </c>
      <c r="H3" s="138">
        <v>2217.1875</v>
      </c>
      <c r="I3" s="138">
        <v>798.1875</v>
      </c>
      <c r="J3" s="138">
        <v>0</v>
      </c>
      <c r="K3" s="141">
        <f t="shared" ref="K3:K4" si="0">H3/G3</f>
        <v>0.25</v>
      </c>
      <c r="L3" s="141">
        <f t="shared" ref="L3:L4" si="1">I3/G3</f>
        <v>0.09</v>
      </c>
      <c r="M3" s="141">
        <f t="shared" ref="M3:M4" si="2">J3/G3</f>
        <v>0</v>
      </c>
      <c r="N3" s="140">
        <f t="shared" ref="N3:N4" si="3">G3-H3-I3-J3</f>
        <v>5853.375</v>
      </c>
      <c r="AA3" s="139"/>
      <c r="AB3" s="139"/>
      <c r="AC3" s="139"/>
      <c r="AD3" s="139"/>
      <c r="AE3" s="139"/>
      <c r="AG3" s="139"/>
      <c r="AI3" s="139"/>
      <c r="AJ3" s="139"/>
      <c r="AK3" s="139"/>
    </row>
    <row r="4" spans="1:37" s="138" customFormat="1" ht="30" x14ac:dyDescent="0.25">
      <c r="A4" s="138" t="s">
        <v>46</v>
      </c>
      <c r="B4" s="138">
        <v>2023</v>
      </c>
      <c r="C4" s="138" t="s">
        <v>527</v>
      </c>
      <c r="D4" s="138" t="s">
        <v>4</v>
      </c>
      <c r="E4" s="138" t="s">
        <v>7</v>
      </c>
      <c r="F4" s="138" t="s">
        <v>523</v>
      </c>
      <c r="K4" s="141" t="e">
        <f t="shared" si="0"/>
        <v>#DIV/0!</v>
      </c>
      <c r="L4" s="141" t="e">
        <f t="shared" si="1"/>
        <v>#DIV/0!</v>
      </c>
      <c r="M4" s="141" t="e">
        <f t="shared" si="2"/>
        <v>#DIV/0!</v>
      </c>
      <c r="N4" s="140">
        <f t="shared" si="3"/>
        <v>0</v>
      </c>
      <c r="AA4" s="139"/>
      <c r="AB4" s="139"/>
      <c r="AC4" s="139"/>
      <c r="AD4" s="139"/>
      <c r="AE4" s="139"/>
      <c r="AG4" s="139"/>
      <c r="AI4" s="139"/>
      <c r="AJ4" s="139"/>
      <c r="AK4" s="139"/>
    </row>
    <row r="5" spans="1:37" s="138" customFormat="1" ht="30" x14ac:dyDescent="0.25">
      <c r="A5" s="138" t="s">
        <v>46</v>
      </c>
      <c r="B5" s="138">
        <v>2023</v>
      </c>
      <c r="C5" s="138" t="s">
        <v>527</v>
      </c>
      <c r="D5" s="138" t="s">
        <v>9</v>
      </c>
      <c r="E5" s="138" t="s">
        <v>10</v>
      </c>
      <c r="F5" s="138" t="s">
        <v>524</v>
      </c>
      <c r="G5" s="138">
        <v>5429.742178414047</v>
      </c>
      <c r="H5" s="138">
        <v>814.46132676210709</v>
      </c>
      <c r="I5" s="138">
        <v>488.6767960572642</v>
      </c>
      <c r="J5" s="138">
        <v>125.72013850892752</v>
      </c>
      <c r="K5" s="141">
        <f t="shared" ref="K5:K6" si="4">H5/G5</f>
        <v>0.15000000000000002</v>
      </c>
      <c r="L5" s="141">
        <f t="shared" ref="L5:L6" si="5">I5/G5</f>
        <v>0.09</v>
      </c>
      <c r="M5" s="141">
        <f t="shared" ref="M5:M6" si="6">J5/G5</f>
        <v>2.3153979393115243E-2</v>
      </c>
      <c r="N5" s="140">
        <f t="shared" ref="N5:N6" si="7">G5-H5-I5-J5</f>
        <v>4000.8839170857482</v>
      </c>
      <c r="AA5" s="139"/>
      <c r="AB5" s="139"/>
      <c r="AC5" s="139"/>
      <c r="AD5" s="139"/>
      <c r="AE5" s="139"/>
      <c r="AG5" s="139"/>
      <c r="AI5" s="139"/>
      <c r="AJ5" s="139"/>
      <c r="AK5" s="139"/>
    </row>
    <row r="6" spans="1:37" s="138" customFormat="1" ht="30" x14ac:dyDescent="0.25">
      <c r="A6" s="138" t="s">
        <v>46</v>
      </c>
      <c r="B6" s="138">
        <v>2023</v>
      </c>
      <c r="C6" s="138" t="s">
        <v>527</v>
      </c>
      <c r="D6" s="138" t="s">
        <v>9</v>
      </c>
      <c r="E6" s="138" t="s">
        <v>12</v>
      </c>
      <c r="F6" s="138" t="s">
        <v>525</v>
      </c>
      <c r="G6" s="138">
        <v>950651.05616839649</v>
      </c>
      <c r="H6" s="138">
        <v>169250.38649775553</v>
      </c>
      <c r="I6" s="138">
        <v>85558.595055155674</v>
      </c>
      <c r="J6" s="138">
        <v>2878.7759061306174</v>
      </c>
      <c r="K6" s="141">
        <f t="shared" si="4"/>
        <v>0.17803628934040214</v>
      </c>
      <c r="L6" s="141">
        <f t="shared" si="5"/>
        <v>8.9999999999999983E-2</v>
      </c>
      <c r="M6" s="141">
        <f t="shared" si="6"/>
        <v>3.0282151242050233E-3</v>
      </c>
      <c r="N6" s="140">
        <f t="shared" si="7"/>
        <v>692963.2987093546</v>
      </c>
      <c r="AA6" s="139"/>
      <c r="AB6" s="139"/>
      <c r="AC6" s="139"/>
      <c r="AD6" s="139"/>
      <c r="AE6" s="139"/>
      <c r="AG6" s="139"/>
      <c r="AI6" s="139"/>
      <c r="AJ6" s="139"/>
      <c r="AK6" s="139"/>
    </row>
    <row r="7" spans="1:37" s="138" customFormat="1" ht="30" x14ac:dyDescent="0.25">
      <c r="A7" s="138" t="s">
        <v>46</v>
      </c>
      <c r="B7" s="138">
        <v>2023</v>
      </c>
      <c r="C7" s="138" t="s">
        <v>527</v>
      </c>
      <c r="D7" s="138" t="s">
        <v>4</v>
      </c>
      <c r="E7" s="138" t="s">
        <v>5</v>
      </c>
      <c r="F7" s="138" t="s">
        <v>522</v>
      </c>
      <c r="G7" s="138">
        <v>8868.75</v>
      </c>
      <c r="H7" s="138">
        <v>2217.1875</v>
      </c>
      <c r="I7" s="138">
        <v>798.1875</v>
      </c>
      <c r="J7" s="138">
        <v>0</v>
      </c>
      <c r="K7" s="141">
        <f t="shared" ref="K7:K8" si="8">H7/G7</f>
        <v>0.25</v>
      </c>
      <c r="L7" s="141">
        <f t="shared" ref="L7:L8" si="9">I7/G7</f>
        <v>0.09</v>
      </c>
      <c r="M7" s="141">
        <f t="shared" ref="M7:M8" si="10">J7/G7</f>
        <v>0</v>
      </c>
      <c r="N7" s="140">
        <f t="shared" ref="N7:N8" si="11">G7-H7-I7-J7</f>
        <v>5853.375</v>
      </c>
      <c r="AA7" s="139"/>
      <c r="AB7" s="139"/>
      <c r="AC7" s="139"/>
      <c r="AD7" s="139"/>
      <c r="AE7" s="139"/>
      <c r="AG7" s="139"/>
      <c r="AI7" s="139"/>
      <c r="AJ7" s="139"/>
      <c r="AK7" s="139"/>
    </row>
    <row r="8" spans="1:37" s="138" customFormat="1" ht="15" x14ac:dyDescent="0.25">
      <c r="A8" s="138" t="s">
        <v>332</v>
      </c>
      <c r="B8" s="138" t="s">
        <v>332</v>
      </c>
      <c r="C8" s="138" t="s">
        <v>332</v>
      </c>
      <c r="D8" s="138" t="s">
        <v>332</v>
      </c>
      <c r="E8" s="138" t="s">
        <v>332</v>
      </c>
      <c r="F8" s="138" t="s">
        <v>332</v>
      </c>
      <c r="K8" s="141" t="e">
        <f t="shared" si="8"/>
        <v>#DIV/0!</v>
      </c>
      <c r="L8" s="141" t="e">
        <f t="shared" si="9"/>
        <v>#DIV/0!</v>
      </c>
      <c r="M8" s="141" t="e">
        <f t="shared" si="10"/>
        <v>#DIV/0!</v>
      </c>
      <c r="N8" s="140">
        <f t="shared" si="11"/>
        <v>0</v>
      </c>
      <c r="AA8" s="139"/>
      <c r="AB8" s="139"/>
      <c r="AC8" s="139"/>
      <c r="AD8" s="139"/>
      <c r="AE8" s="139"/>
      <c r="AG8" s="139"/>
      <c r="AI8" s="139"/>
      <c r="AJ8" s="139"/>
      <c r="AK8" s="139"/>
    </row>
    <row r="9" spans="1:37" s="138" customFormat="1" ht="30" x14ac:dyDescent="0.25">
      <c r="A9" s="138" t="s">
        <v>46</v>
      </c>
      <c r="B9" s="138">
        <v>2023</v>
      </c>
      <c r="C9" s="138" t="s">
        <v>527</v>
      </c>
      <c r="D9" s="138" t="s">
        <v>1</v>
      </c>
      <c r="E9" s="138" t="s">
        <v>2</v>
      </c>
      <c r="F9" s="138" t="s">
        <v>521</v>
      </c>
      <c r="G9" s="138">
        <v>35871.97622222222</v>
      </c>
      <c r="H9" s="138">
        <v>1885.2318533333334</v>
      </c>
      <c r="I9" s="138">
        <v>3228.47786</v>
      </c>
      <c r="J9" s="138">
        <v>14.802260666666669</v>
      </c>
      <c r="K9" s="141">
        <f t="shared" ref="K9:K10" si="12">H9/G9</f>
        <v>5.2554446447404174E-2</v>
      </c>
      <c r="L9" s="141">
        <f t="shared" ref="L9:L10" si="13">I9/G9</f>
        <v>9.0000000000000011E-2</v>
      </c>
      <c r="M9" s="141">
        <f t="shared" ref="M9:M10" si="14">J9/G9</f>
        <v>4.1264134919605748E-4</v>
      </c>
      <c r="N9" s="140">
        <f t="shared" ref="N9:N10" si="15">G9-H9-I9-J9</f>
        <v>30743.464248222223</v>
      </c>
      <c r="AA9" s="139"/>
      <c r="AB9" s="139"/>
      <c r="AC9" s="139"/>
      <c r="AD9" s="139"/>
      <c r="AE9" s="139"/>
      <c r="AG9" s="139"/>
      <c r="AI9" s="139"/>
      <c r="AJ9" s="139"/>
      <c r="AK9" s="139"/>
    </row>
    <row r="10" spans="1:37" s="138" customFormat="1" ht="15" x14ac:dyDescent="0.25">
      <c r="A10" s="138" t="s">
        <v>332</v>
      </c>
      <c r="B10" s="138" t="s">
        <v>332</v>
      </c>
      <c r="C10" s="138" t="s">
        <v>332</v>
      </c>
      <c r="D10" s="138" t="s">
        <v>332</v>
      </c>
      <c r="E10" s="138" t="s">
        <v>332</v>
      </c>
      <c r="F10" s="138" t="s">
        <v>332</v>
      </c>
      <c r="K10" s="141" t="e">
        <f t="shared" si="12"/>
        <v>#DIV/0!</v>
      </c>
      <c r="L10" s="141" t="e">
        <f t="shared" si="13"/>
        <v>#DIV/0!</v>
      </c>
      <c r="M10" s="141" t="e">
        <f t="shared" si="14"/>
        <v>#DIV/0!</v>
      </c>
      <c r="N10" s="140">
        <f t="shared" si="15"/>
        <v>0</v>
      </c>
      <c r="AA10" s="139"/>
      <c r="AB10" s="139"/>
      <c r="AC10" s="139"/>
      <c r="AD10" s="139"/>
      <c r="AE10" s="139"/>
      <c r="AG10" s="139"/>
      <c r="AI10" s="139"/>
      <c r="AJ10" s="139"/>
      <c r="AK10" s="139"/>
    </row>
    <row r="11" spans="1:37" s="138" customFormat="1" ht="30" x14ac:dyDescent="0.25">
      <c r="A11" s="138" t="s">
        <v>46</v>
      </c>
      <c r="B11" s="138">
        <v>2023</v>
      </c>
      <c r="C11" s="138" t="s">
        <v>335</v>
      </c>
      <c r="D11" s="138" t="s">
        <v>9</v>
      </c>
      <c r="E11" s="138" t="s">
        <v>10</v>
      </c>
      <c r="F11" s="138" t="s">
        <v>29</v>
      </c>
      <c r="K11" s="141" t="e">
        <f t="shared" ref="K11:K12" si="16">H11/G11</f>
        <v>#DIV/0!</v>
      </c>
      <c r="L11" s="141" t="e">
        <f t="shared" ref="L11:L12" si="17">I11/G11</f>
        <v>#DIV/0!</v>
      </c>
      <c r="M11" s="141" t="e">
        <f t="shared" ref="M11:M12" si="18">J11/G11</f>
        <v>#DIV/0!</v>
      </c>
      <c r="N11" s="140">
        <f t="shared" ref="N11:N12" si="19">G11-H11-I11-J11</f>
        <v>0</v>
      </c>
      <c r="AA11" s="139"/>
      <c r="AB11" s="139"/>
      <c r="AC11" s="139"/>
      <c r="AD11" s="139"/>
      <c r="AE11" s="139"/>
      <c r="AG11" s="139"/>
      <c r="AI11" s="139"/>
      <c r="AJ11" s="139"/>
      <c r="AK11" s="139"/>
    </row>
    <row r="12" spans="1:37" s="138" customFormat="1" ht="30" x14ac:dyDescent="0.25">
      <c r="A12" s="138" t="s">
        <v>46</v>
      </c>
      <c r="B12" s="138">
        <v>2023</v>
      </c>
      <c r="C12" s="138" t="s">
        <v>335</v>
      </c>
      <c r="D12" s="138" t="s">
        <v>9</v>
      </c>
      <c r="E12" s="138" t="s">
        <v>12</v>
      </c>
      <c r="F12" s="138" t="s">
        <v>30</v>
      </c>
      <c r="K12" s="141" t="e">
        <f t="shared" si="16"/>
        <v>#DIV/0!</v>
      </c>
      <c r="L12" s="141" t="e">
        <f t="shared" si="17"/>
        <v>#DIV/0!</v>
      </c>
      <c r="M12" s="141" t="e">
        <f t="shared" si="18"/>
        <v>#DIV/0!</v>
      </c>
      <c r="N12" s="140">
        <f t="shared" si="19"/>
        <v>0</v>
      </c>
      <c r="AA12" s="139"/>
      <c r="AB12" s="139"/>
      <c r="AC12" s="139"/>
      <c r="AD12" s="139"/>
      <c r="AE12" s="139"/>
      <c r="AG12" s="139"/>
      <c r="AI12" s="139"/>
      <c r="AJ12" s="139"/>
      <c r="AK12" s="139"/>
    </row>
    <row r="13" spans="1:37" s="138" customFormat="1" ht="30" x14ac:dyDescent="0.25">
      <c r="A13" s="138" t="s">
        <v>46</v>
      </c>
      <c r="B13" s="138">
        <v>2023</v>
      </c>
      <c r="C13" s="138" t="s">
        <v>335</v>
      </c>
      <c r="D13" s="138" t="s">
        <v>9</v>
      </c>
      <c r="E13" s="138" t="s">
        <v>10</v>
      </c>
      <c r="F13" s="138" t="s">
        <v>29</v>
      </c>
      <c r="G13" s="138">
        <v>5176.6917444586452</v>
      </c>
      <c r="H13" s="138">
        <v>704.22122525010445</v>
      </c>
      <c r="I13" s="138">
        <v>465.90225700127786</v>
      </c>
      <c r="J13" s="138">
        <v>189.04999999999967</v>
      </c>
      <c r="K13" s="141">
        <f t="shared" ref="K13:K14" si="20">H13/G13</f>
        <v>0.13603692474135307</v>
      </c>
      <c r="L13" s="141">
        <f t="shared" ref="L13:L14" si="21">I13/G13</f>
        <v>8.9999999999999955E-2</v>
      </c>
      <c r="M13" s="141">
        <f t="shared" ref="M13:M14" si="22">J13/G13</f>
        <v>3.6519462493081023E-2</v>
      </c>
      <c r="N13" s="140">
        <f t="shared" ref="N13:N14" si="23">G13-H13-I13-J13</f>
        <v>3817.5182622072625</v>
      </c>
      <c r="AA13" s="139"/>
      <c r="AB13" s="139"/>
      <c r="AC13" s="139"/>
      <c r="AD13" s="139"/>
      <c r="AE13" s="139"/>
      <c r="AG13" s="139"/>
      <c r="AI13" s="139"/>
      <c r="AJ13" s="139"/>
      <c r="AK13" s="139"/>
    </row>
    <row r="14" spans="1:37" s="138" customFormat="1" ht="30" x14ac:dyDescent="0.25">
      <c r="A14" s="138" t="s">
        <v>46</v>
      </c>
      <c r="B14" s="138">
        <v>2023</v>
      </c>
      <c r="C14" s="138" t="s">
        <v>335</v>
      </c>
      <c r="D14" s="138" t="s">
        <v>9</v>
      </c>
      <c r="E14" s="138" t="s">
        <v>12</v>
      </c>
      <c r="F14" s="138" t="s">
        <v>30</v>
      </c>
      <c r="G14" s="138">
        <v>44094.348621713281</v>
      </c>
      <c r="H14" s="138">
        <v>8258.9792508463397</v>
      </c>
      <c r="I14" s="138">
        <v>3968.4913759541955</v>
      </c>
      <c r="J14" s="138">
        <v>396.8193001371925</v>
      </c>
      <c r="K14" s="141">
        <f t="shared" si="20"/>
        <v>0.18730244371450788</v>
      </c>
      <c r="L14" s="141">
        <f t="shared" si="21"/>
        <v>9.0000000000000011E-2</v>
      </c>
      <c r="M14" s="141">
        <f t="shared" si="22"/>
        <v>8.9993233269305556E-3</v>
      </c>
      <c r="N14" s="140">
        <f t="shared" si="23"/>
        <v>31470.058694775558</v>
      </c>
      <c r="AA14" s="139"/>
      <c r="AB14" s="139"/>
      <c r="AC14" s="139"/>
      <c r="AD14" s="139"/>
      <c r="AE14" s="139"/>
      <c r="AG14" s="139"/>
      <c r="AI14" s="139"/>
      <c r="AJ14" s="139"/>
      <c r="AK14" s="139"/>
    </row>
    <row r="15" spans="1:37" s="138" customFormat="1" ht="30" x14ac:dyDescent="0.25">
      <c r="A15" s="138" t="s">
        <v>46</v>
      </c>
      <c r="B15" s="138">
        <v>2023</v>
      </c>
      <c r="C15" s="138" t="s">
        <v>335</v>
      </c>
      <c r="D15" s="138" t="s">
        <v>4</v>
      </c>
      <c r="E15" s="138" t="s">
        <v>5</v>
      </c>
      <c r="F15" s="138" t="s">
        <v>27</v>
      </c>
      <c r="G15" s="138">
        <v>-2.0000000004074536E-2</v>
      </c>
      <c r="H15" s="138">
        <v>4801.937249999999</v>
      </c>
      <c r="I15" s="138">
        <v>-1.8000000000029104E-3</v>
      </c>
      <c r="J15" s="138">
        <v>0</v>
      </c>
      <c r="K15" s="141">
        <f t="shared" ref="K15:K16" si="24">H15/G15</f>
        <v>-240096.86245108579</v>
      </c>
      <c r="L15" s="141">
        <f t="shared" ref="L15:L16" si="25">I15/G15</f>
        <v>8.9999999981810103E-2</v>
      </c>
      <c r="M15" s="141">
        <f t="shared" ref="M15:M16" si="26">J15/G15</f>
        <v>0</v>
      </c>
      <c r="N15" s="140">
        <f t="shared" ref="N15:N16" si="27">G15-H15-I15-J15</f>
        <v>-4801.9554500000031</v>
      </c>
      <c r="AA15" s="139"/>
      <c r="AB15" s="139"/>
      <c r="AC15" s="139"/>
      <c r="AD15" s="139"/>
      <c r="AE15" s="139"/>
      <c r="AG15" s="139"/>
      <c r="AI15" s="139"/>
      <c r="AJ15" s="139"/>
      <c r="AK15" s="139"/>
    </row>
    <row r="16" spans="1:37" s="138" customFormat="1" ht="30" x14ac:dyDescent="0.25">
      <c r="A16" s="138" t="s">
        <v>46</v>
      </c>
      <c r="B16" s="138">
        <v>2023</v>
      </c>
      <c r="C16" s="138" t="s">
        <v>335</v>
      </c>
      <c r="D16" s="138" t="s">
        <v>4</v>
      </c>
      <c r="E16" s="138" t="s">
        <v>7</v>
      </c>
      <c r="F16" s="138" t="s">
        <v>28</v>
      </c>
      <c r="K16" s="141" t="e">
        <f t="shared" si="24"/>
        <v>#DIV/0!</v>
      </c>
      <c r="L16" s="141" t="e">
        <f t="shared" si="25"/>
        <v>#DIV/0!</v>
      </c>
      <c r="M16" s="141" t="e">
        <f t="shared" si="26"/>
        <v>#DIV/0!</v>
      </c>
      <c r="N16" s="140">
        <f t="shared" si="27"/>
        <v>0</v>
      </c>
      <c r="AA16" s="139"/>
      <c r="AB16" s="139"/>
      <c r="AC16" s="139"/>
      <c r="AD16" s="139"/>
      <c r="AE16" s="139"/>
      <c r="AG16" s="139"/>
      <c r="AI16" s="139"/>
      <c r="AJ16" s="139"/>
      <c r="AK16" s="139"/>
    </row>
    <row r="17" spans="1:37" s="138" customFormat="1" ht="30" x14ac:dyDescent="0.25">
      <c r="A17" s="138" t="s">
        <v>46</v>
      </c>
      <c r="B17" s="138">
        <v>2023</v>
      </c>
      <c r="C17" s="138" t="s">
        <v>334</v>
      </c>
      <c r="D17" s="138" t="s">
        <v>24</v>
      </c>
      <c r="E17" s="138" t="s">
        <v>25</v>
      </c>
      <c r="F17" s="138" t="s">
        <v>23</v>
      </c>
      <c r="K17" s="141" t="e">
        <f t="shared" ref="K17:K18" si="28">H17/G17</f>
        <v>#DIV/0!</v>
      </c>
      <c r="L17" s="141" t="e">
        <f t="shared" ref="L17:L18" si="29">I17/G17</f>
        <v>#DIV/0!</v>
      </c>
      <c r="M17" s="141" t="e">
        <f t="shared" ref="M17:M18" si="30">J17/G17</f>
        <v>#DIV/0!</v>
      </c>
      <c r="N17" s="140">
        <f t="shared" ref="N17:N18" si="31">G17-H17-I17-J17</f>
        <v>0</v>
      </c>
      <c r="AA17" s="139"/>
      <c r="AB17" s="139"/>
      <c r="AC17" s="139"/>
      <c r="AD17" s="139"/>
      <c r="AE17" s="139"/>
      <c r="AG17" s="139"/>
      <c r="AI17" s="139"/>
      <c r="AJ17" s="139"/>
      <c r="AK17" s="139"/>
    </row>
    <row r="18" spans="1:37" s="138" customFormat="1" ht="15" x14ac:dyDescent="0.25">
      <c r="A18" s="138" t="s">
        <v>332</v>
      </c>
      <c r="B18" s="138" t="s">
        <v>332</v>
      </c>
      <c r="C18" s="138" t="s">
        <v>332</v>
      </c>
      <c r="D18" s="138" t="s">
        <v>332</v>
      </c>
      <c r="E18" s="138" t="s">
        <v>332</v>
      </c>
      <c r="F18" s="138" t="s">
        <v>332</v>
      </c>
      <c r="K18" s="141" t="e">
        <f t="shared" si="28"/>
        <v>#DIV/0!</v>
      </c>
      <c r="L18" s="141" t="e">
        <f t="shared" si="29"/>
        <v>#DIV/0!</v>
      </c>
      <c r="M18" s="141" t="e">
        <f t="shared" si="30"/>
        <v>#DIV/0!</v>
      </c>
      <c r="N18" s="140">
        <f t="shared" si="31"/>
        <v>0</v>
      </c>
      <c r="AA18" s="139"/>
      <c r="AB18" s="139"/>
      <c r="AC18" s="139"/>
      <c r="AD18" s="139"/>
      <c r="AE18" s="139"/>
      <c r="AG18" s="139"/>
      <c r="AI18" s="139"/>
      <c r="AJ18" s="139"/>
      <c r="AK18" s="139"/>
    </row>
    <row r="19" spans="1:37" s="138" customFormat="1" ht="30" x14ac:dyDescent="0.25">
      <c r="A19" s="138" t="s">
        <v>46</v>
      </c>
      <c r="B19" s="138">
        <v>2023</v>
      </c>
      <c r="C19" s="138" t="s">
        <v>334</v>
      </c>
      <c r="D19" s="138" t="s">
        <v>1</v>
      </c>
      <c r="E19" s="138" t="s">
        <v>2</v>
      </c>
      <c r="F19" s="138" t="s">
        <v>18</v>
      </c>
      <c r="K19" s="141" t="e">
        <f t="shared" ref="K19:K20" si="32">H19/G19</f>
        <v>#DIV/0!</v>
      </c>
      <c r="L19" s="141" t="e">
        <f t="shared" ref="L19:L20" si="33">I19/G19</f>
        <v>#DIV/0!</v>
      </c>
      <c r="M19" s="141" t="e">
        <f t="shared" ref="M19:M20" si="34">J19/G19</f>
        <v>#DIV/0!</v>
      </c>
      <c r="N19" s="140">
        <f t="shared" ref="N19:N20" si="35">G19-H19-I19-J19</f>
        <v>0</v>
      </c>
      <c r="AA19" s="139"/>
      <c r="AB19" s="139"/>
      <c r="AC19" s="139"/>
      <c r="AD19" s="139"/>
      <c r="AE19" s="139"/>
      <c r="AG19" s="139"/>
      <c r="AI19" s="139"/>
      <c r="AJ19" s="139"/>
      <c r="AK19" s="139"/>
    </row>
    <row r="20" spans="1:37" s="138" customFormat="1" ht="15" x14ac:dyDescent="0.25">
      <c r="A20" s="138" t="s">
        <v>332</v>
      </c>
      <c r="B20" s="138" t="s">
        <v>332</v>
      </c>
      <c r="C20" s="138" t="s">
        <v>332</v>
      </c>
      <c r="D20" s="138" t="s">
        <v>332</v>
      </c>
      <c r="E20" s="138" t="s">
        <v>332</v>
      </c>
      <c r="F20" s="138" t="s">
        <v>332</v>
      </c>
      <c r="K20" s="141" t="e">
        <f t="shared" si="32"/>
        <v>#DIV/0!</v>
      </c>
      <c r="L20" s="141" t="e">
        <f t="shared" si="33"/>
        <v>#DIV/0!</v>
      </c>
      <c r="M20" s="141" t="e">
        <f t="shared" si="34"/>
        <v>#DIV/0!</v>
      </c>
      <c r="N20" s="140">
        <f t="shared" si="35"/>
        <v>0</v>
      </c>
      <c r="AA20" s="139"/>
      <c r="AB20" s="139"/>
      <c r="AC20" s="139"/>
      <c r="AD20" s="139"/>
      <c r="AE20" s="139"/>
      <c r="AG20" s="139"/>
      <c r="AI20" s="139"/>
      <c r="AJ20" s="139"/>
      <c r="AK20" s="139"/>
    </row>
    <row r="21" spans="1:37" s="138" customFormat="1" ht="30" x14ac:dyDescent="0.25">
      <c r="A21" s="138" t="s">
        <v>46</v>
      </c>
      <c r="B21" s="138">
        <v>2023</v>
      </c>
      <c r="C21" s="138" t="s">
        <v>334</v>
      </c>
      <c r="D21" s="138" t="s">
        <v>9</v>
      </c>
      <c r="E21" s="138" t="s">
        <v>10</v>
      </c>
      <c r="F21" s="138" t="s">
        <v>21</v>
      </c>
      <c r="G21" s="138">
        <v>0</v>
      </c>
      <c r="H21" s="138">
        <v>1159.7027622085079</v>
      </c>
      <c r="I21" s="138">
        <v>0</v>
      </c>
      <c r="J21" s="138">
        <v>-4.4077282287098569</v>
      </c>
      <c r="K21" s="141" t="e">
        <f t="shared" ref="K21:K22" si="36">H21/G21</f>
        <v>#DIV/0!</v>
      </c>
      <c r="L21" s="141" t="e">
        <f t="shared" ref="L21:L22" si="37">I21/G21</f>
        <v>#DIV/0!</v>
      </c>
      <c r="M21" s="141" t="e">
        <f t="shared" ref="M21:M22" si="38">J21/G21</f>
        <v>#DIV/0!</v>
      </c>
      <c r="N21" s="140">
        <f t="shared" ref="N21:N22" si="39">G21-H21-I21-J21</f>
        <v>-1155.2950339797981</v>
      </c>
      <c r="AA21" s="139"/>
      <c r="AB21" s="139"/>
      <c r="AC21" s="139"/>
      <c r="AD21" s="139"/>
      <c r="AE21" s="139"/>
      <c r="AG21" s="139"/>
      <c r="AI21" s="139"/>
      <c r="AJ21" s="139"/>
      <c r="AK21" s="139"/>
    </row>
    <row r="22" spans="1:37" s="138" customFormat="1" ht="30" x14ac:dyDescent="0.25">
      <c r="A22" s="138" t="s">
        <v>46</v>
      </c>
      <c r="B22" s="138">
        <v>2023</v>
      </c>
      <c r="C22" s="138" t="s">
        <v>334</v>
      </c>
      <c r="D22" s="138" t="s">
        <v>9</v>
      </c>
      <c r="E22" s="138" t="s">
        <v>12</v>
      </c>
      <c r="F22" s="138" t="s">
        <v>22</v>
      </c>
      <c r="G22" s="138">
        <v>140163.83629780597</v>
      </c>
      <c r="H22" s="138">
        <v>34965.723853751631</v>
      </c>
      <c r="I22" s="138">
        <v>12614.745266802538</v>
      </c>
      <c r="J22" s="138">
        <v>-8.0711674156040267</v>
      </c>
      <c r="K22" s="141">
        <f t="shared" si="36"/>
        <v>0.24946323372214207</v>
      </c>
      <c r="L22" s="141">
        <f t="shared" si="37"/>
        <v>0.09</v>
      </c>
      <c r="M22" s="141">
        <f t="shared" si="38"/>
        <v>-5.7583807840812983E-5</v>
      </c>
      <c r="N22" s="140">
        <f t="shared" si="39"/>
        <v>92591.438344667404</v>
      </c>
      <c r="AA22" s="139"/>
      <c r="AB22" s="139"/>
      <c r="AC22" s="139"/>
      <c r="AD22" s="139"/>
      <c r="AE22" s="139"/>
      <c r="AG22" s="139"/>
      <c r="AI22" s="139"/>
      <c r="AJ22" s="139"/>
      <c r="AK22" s="139"/>
    </row>
    <row r="23" spans="1:37" s="138" customFormat="1" ht="30" x14ac:dyDescent="0.25">
      <c r="A23" s="138" t="s">
        <v>46</v>
      </c>
      <c r="B23" s="138">
        <v>2023</v>
      </c>
      <c r="C23" s="138" t="s">
        <v>334</v>
      </c>
      <c r="D23" s="138" t="s">
        <v>4</v>
      </c>
      <c r="E23" s="138" t="s">
        <v>5</v>
      </c>
      <c r="F23" s="138" t="s">
        <v>19</v>
      </c>
      <c r="K23" s="141" t="e">
        <f t="shared" ref="K23:K24" si="40">H23/G23</f>
        <v>#DIV/0!</v>
      </c>
      <c r="L23" s="141" t="e">
        <f t="shared" ref="L23:L24" si="41">I23/G23</f>
        <v>#DIV/0!</v>
      </c>
      <c r="M23" s="141" t="e">
        <f t="shared" ref="M23:M24" si="42">J23/G23</f>
        <v>#DIV/0!</v>
      </c>
      <c r="N23" s="140">
        <f t="shared" ref="N23:N24" si="43">G23-H23-I23-J23</f>
        <v>0</v>
      </c>
      <c r="AA23" s="139"/>
      <c r="AB23" s="139"/>
      <c r="AC23" s="139"/>
      <c r="AD23" s="139"/>
      <c r="AE23" s="139"/>
      <c r="AG23" s="139"/>
      <c r="AI23" s="139"/>
      <c r="AJ23" s="139"/>
      <c r="AK23" s="139"/>
    </row>
    <row r="24" spans="1:37" s="138" customFormat="1" ht="30" x14ac:dyDescent="0.25">
      <c r="A24" s="138" t="s">
        <v>46</v>
      </c>
      <c r="B24" s="138">
        <v>2023</v>
      </c>
      <c r="C24" s="138" t="s">
        <v>334</v>
      </c>
      <c r="D24" s="138" t="s">
        <v>4</v>
      </c>
      <c r="E24" s="138" t="s">
        <v>7</v>
      </c>
      <c r="F24" s="138" t="s">
        <v>20</v>
      </c>
      <c r="K24" s="141" t="e">
        <f t="shared" si="40"/>
        <v>#DIV/0!</v>
      </c>
      <c r="L24" s="141" t="e">
        <f t="shared" si="41"/>
        <v>#DIV/0!</v>
      </c>
      <c r="M24" s="141" t="e">
        <f t="shared" si="42"/>
        <v>#DIV/0!</v>
      </c>
      <c r="N24" s="140">
        <f t="shared" si="43"/>
        <v>0</v>
      </c>
      <c r="AA24" s="139"/>
      <c r="AB24" s="139"/>
      <c r="AC24" s="139"/>
      <c r="AD24" s="139"/>
      <c r="AE24" s="139"/>
      <c r="AG24" s="139"/>
      <c r="AI24" s="139"/>
      <c r="AJ24" s="139"/>
      <c r="AK24" s="139"/>
    </row>
    <row r="25" spans="1:37" s="138" customFormat="1" ht="30" x14ac:dyDescent="0.25">
      <c r="A25" s="138" t="s">
        <v>46</v>
      </c>
      <c r="B25" s="138">
        <v>2023</v>
      </c>
      <c r="C25" s="138" t="s">
        <v>333</v>
      </c>
      <c r="D25" s="138" t="s">
        <v>1</v>
      </c>
      <c r="E25" s="138" t="s">
        <v>2</v>
      </c>
      <c r="F25" s="138" t="s">
        <v>13</v>
      </c>
      <c r="K25" s="141" t="e">
        <f t="shared" ref="K25:K26" si="44">H25/G25</f>
        <v>#DIV/0!</v>
      </c>
      <c r="L25" s="141" t="e">
        <f t="shared" ref="L25:L26" si="45">I25/G25</f>
        <v>#DIV/0!</v>
      </c>
      <c r="M25" s="141" t="e">
        <f t="shared" ref="M25:M26" si="46">J25/G25</f>
        <v>#DIV/0!</v>
      </c>
      <c r="N25" s="140">
        <f t="shared" ref="N25:N26" si="47">G25-H25-I25-J25</f>
        <v>0</v>
      </c>
      <c r="AA25" s="139"/>
      <c r="AB25" s="139"/>
      <c r="AC25" s="139"/>
      <c r="AD25" s="139"/>
      <c r="AE25" s="139"/>
      <c r="AG25" s="139"/>
      <c r="AI25" s="139"/>
      <c r="AJ25" s="139"/>
      <c r="AK25" s="139"/>
    </row>
    <row r="26" spans="1:37" s="138" customFormat="1" ht="15" x14ac:dyDescent="0.25">
      <c r="A26" s="138" t="s">
        <v>332</v>
      </c>
      <c r="B26" s="138" t="s">
        <v>332</v>
      </c>
      <c r="C26" s="138" t="s">
        <v>332</v>
      </c>
      <c r="D26" s="138" t="s">
        <v>332</v>
      </c>
      <c r="E26" s="138" t="s">
        <v>332</v>
      </c>
      <c r="F26" s="138" t="s">
        <v>332</v>
      </c>
      <c r="K26" s="141" t="e">
        <f t="shared" si="44"/>
        <v>#DIV/0!</v>
      </c>
      <c r="L26" s="141" t="e">
        <f t="shared" si="45"/>
        <v>#DIV/0!</v>
      </c>
      <c r="M26" s="141" t="e">
        <f t="shared" si="46"/>
        <v>#DIV/0!</v>
      </c>
      <c r="N26" s="140">
        <f t="shared" si="47"/>
        <v>0</v>
      </c>
      <c r="AA26" s="139"/>
      <c r="AB26" s="139"/>
      <c r="AC26" s="139"/>
      <c r="AD26" s="139"/>
      <c r="AE26" s="139"/>
      <c r="AG26" s="139"/>
      <c r="AI26" s="139"/>
      <c r="AJ26" s="139"/>
      <c r="AK26" s="139"/>
    </row>
    <row r="27" spans="1:37" s="138" customFormat="1" ht="30" x14ac:dyDescent="0.25">
      <c r="A27" s="138" t="s">
        <v>46</v>
      </c>
      <c r="B27" s="138">
        <v>2023</v>
      </c>
      <c r="C27" s="138" t="s">
        <v>333</v>
      </c>
      <c r="D27" s="138" t="s">
        <v>9</v>
      </c>
      <c r="E27" s="138" t="s">
        <v>10</v>
      </c>
      <c r="F27" s="138" t="s">
        <v>16</v>
      </c>
      <c r="K27" s="141" t="e">
        <f t="shared" ref="K27:K28" si="48">H27/G27</f>
        <v>#DIV/0!</v>
      </c>
      <c r="L27" s="141" t="e">
        <f t="shared" ref="L27:L28" si="49">I27/G27</f>
        <v>#DIV/0!</v>
      </c>
      <c r="M27" s="141" t="e">
        <f t="shared" ref="M27:M28" si="50">J27/G27</f>
        <v>#DIV/0!</v>
      </c>
      <c r="N27" s="140">
        <f t="shared" ref="N27:N28" si="51">G27-H27-I27-J27</f>
        <v>0</v>
      </c>
      <c r="AA27" s="139"/>
      <c r="AB27" s="139"/>
      <c r="AC27" s="139"/>
      <c r="AD27" s="139"/>
      <c r="AE27" s="139"/>
      <c r="AG27" s="139"/>
      <c r="AI27" s="139"/>
      <c r="AJ27" s="139"/>
      <c r="AK27" s="139"/>
    </row>
    <row r="28" spans="1:37" s="138" customFormat="1" ht="30" x14ac:dyDescent="0.25">
      <c r="A28" s="138" t="s">
        <v>46</v>
      </c>
      <c r="B28" s="138">
        <v>2023</v>
      </c>
      <c r="C28" s="138" t="s">
        <v>333</v>
      </c>
      <c r="D28" s="138" t="s">
        <v>9</v>
      </c>
      <c r="E28" s="138" t="s">
        <v>12</v>
      </c>
      <c r="F28" s="138" t="s">
        <v>17</v>
      </c>
      <c r="G28" s="138">
        <v>2891.2314161347181</v>
      </c>
      <c r="H28" s="138">
        <v>648.91128235626456</v>
      </c>
      <c r="I28" s="138">
        <v>289.12314161347177</v>
      </c>
      <c r="J28" s="138">
        <v>29.30340363429098</v>
      </c>
      <c r="K28" s="141">
        <f t="shared" si="48"/>
        <v>0.22444114253012401</v>
      </c>
      <c r="L28" s="141">
        <f t="shared" si="49"/>
        <v>9.9999999999999992E-2</v>
      </c>
      <c r="M28" s="141">
        <f t="shared" si="50"/>
        <v>1.0135267440289039E-2</v>
      </c>
      <c r="N28" s="140">
        <f t="shared" si="51"/>
        <v>1923.8935885306907</v>
      </c>
      <c r="AA28" s="139"/>
      <c r="AB28" s="139"/>
      <c r="AC28" s="139"/>
      <c r="AD28" s="139"/>
      <c r="AE28" s="139"/>
      <c r="AG28" s="139"/>
      <c r="AI28" s="139"/>
      <c r="AJ28" s="139"/>
      <c r="AK28" s="139"/>
    </row>
    <row r="29" spans="1:37" s="138" customFormat="1" ht="30" x14ac:dyDescent="0.25">
      <c r="A29" s="138" t="s">
        <v>46</v>
      </c>
      <c r="B29" s="138">
        <v>2023</v>
      </c>
      <c r="C29" s="138" t="s">
        <v>333</v>
      </c>
      <c r="D29" s="138" t="s">
        <v>4</v>
      </c>
      <c r="E29" s="138" t="s">
        <v>5</v>
      </c>
      <c r="F29" s="138" t="s">
        <v>14</v>
      </c>
      <c r="G29" s="138">
        <v>-1271.1906800000004</v>
      </c>
      <c r="H29" s="138">
        <v>-572.03580600000021</v>
      </c>
      <c r="I29" s="138">
        <v>-127.11906800000004</v>
      </c>
      <c r="J29" s="138">
        <v>-12.711906800000005</v>
      </c>
      <c r="K29" s="141">
        <f t="shared" ref="K29:K30" si="52">H29/G29</f>
        <v>0.45</v>
      </c>
      <c r="L29" s="141">
        <f t="shared" ref="L29:L30" si="53">I29/G29</f>
        <v>0.1</v>
      </c>
      <c r="M29" s="141">
        <f t="shared" ref="M29:M30" si="54">J29/G29</f>
        <v>0.01</v>
      </c>
      <c r="N29" s="140">
        <f t="shared" ref="N29:N30" si="55">G29-H29-I29-J29</f>
        <v>-559.32389920000014</v>
      </c>
      <c r="AA29" s="139"/>
      <c r="AB29" s="139"/>
      <c r="AC29" s="139"/>
      <c r="AD29" s="139"/>
      <c r="AE29" s="139"/>
      <c r="AG29" s="139"/>
      <c r="AI29" s="139"/>
      <c r="AJ29" s="139"/>
      <c r="AK29" s="139"/>
    </row>
    <row r="30" spans="1:37" s="138" customFormat="1" ht="30" x14ac:dyDescent="0.25">
      <c r="A30" s="138" t="s">
        <v>46</v>
      </c>
      <c r="B30" s="138">
        <v>2023</v>
      </c>
      <c r="C30" s="138" t="s">
        <v>333</v>
      </c>
      <c r="D30" s="138" t="s">
        <v>4</v>
      </c>
      <c r="E30" s="138" t="s">
        <v>7</v>
      </c>
      <c r="F30" s="138" t="s">
        <v>15</v>
      </c>
      <c r="K30" s="141" t="e">
        <f t="shared" si="52"/>
        <v>#DIV/0!</v>
      </c>
      <c r="L30" s="141" t="e">
        <f t="shared" si="53"/>
        <v>#DIV/0!</v>
      </c>
      <c r="M30" s="141" t="e">
        <f t="shared" si="54"/>
        <v>#DIV/0!</v>
      </c>
      <c r="N30" s="140">
        <f t="shared" si="55"/>
        <v>0</v>
      </c>
      <c r="AA30" s="139"/>
      <c r="AB30" s="139"/>
      <c r="AC30" s="139"/>
      <c r="AD30" s="139"/>
      <c r="AE30" s="139"/>
      <c r="AG30" s="139"/>
      <c r="AI30" s="139"/>
      <c r="AJ30" s="139"/>
      <c r="AK30" s="139"/>
    </row>
    <row r="31" spans="1:37" s="138" customFormat="1" ht="30" x14ac:dyDescent="0.25">
      <c r="A31" s="138" t="s">
        <v>46</v>
      </c>
      <c r="B31" s="138">
        <v>2023</v>
      </c>
      <c r="C31" s="138" t="s">
        <v>331</v>
      </c>
      <c r="D31" s="138" t="s">
        <v>1</v>
      </c>
      <c r="E31" s="138" t="s">
        <v>2</v>
      </c>
      <c r="F31" s="138" t="s">
        <v>0</v>
      </c>
      <c r="K31" s="141" t="e">
        <f t="shared" ref="K31:K32" si="56">H31/G31</f>
        <v>#DIV/0!</v>
      </c>
      <c r="L31" s="141" t="e">
        <f t="shared" ref="L31:L32" si="57">I31/G31</f>
        <v>#DIV/0!</v>
      </c>
      <c r="M31" s="141" t="e">
        <f t="shared" ref="M31:M32" si="58">J31/G31</f>
        <v>#DIV/0!</v>
      </c>
      <c r="N31" s="140">
        <f t="shared" ref="N31:N32" si="59">G31-H31-I31-J31</f>
        <v>0</v>
      </c>
      <c r="AA31" s="139"/>
      <c r="AB31" s="139"/>
      <c r="AC31" s="139"/>
      <c r="AD31" s="139"/>
      <c r="AE31" s="139"/>
      <c r="AG31" s="139"/>
      <c r="AI31" s="139"/>
      <c r="AJ31" s="139"/>
      <c r="AK31" s="139"/>
    </row>
    <row r="32" spans="1:37" s="138" customFormat="1" ht="15" x14ac:dyDescent="0.25">
      <c r="A32" s="138" t="s">
        <v>332</v>
      </c>
      <c r="B32" s="138" t="s">
        <v>332</v>
      </c>
      <c r="C32" s="138" t="s">
        <v>332</v>
      </c>
      <c r="D32" s="138" t="s">
        <v>332</v>
      </c>
      <c r="E32" s="138" t="s">
        <v>332</v>
      </c>
      <c r="F32" s="138" t="s">
        <v>332</v>
      </c>
      <c r="K32" s="141" t="e">
        <f t="shared" si="56"/>
        <v>#DIV/0!</v>
      </c>
      <c r="L32" s="141" t="e">
        <f t="shared" si="57"/>
        <v>#DIV/0!</v>
      </c>
      <c r="M32" s="141" t="e">
        <f t="shared" si="58"/>
        <v>#DIV/0!</v>
      </c>
      <c r="N32" s="140">
        <f t="shared" si="59"/>
        <v>0</v>
      </c>
      <c r="AA32" s="139"/>
      <c r="AB32" s="139"/>
      <c r="AC32" s="139"/>
      <c r="AD32" s="139"/>
      <c r="AE32" s="139"/>
      <c r="AG32" s="139"/>
      <c r="AI32" s="139"/>
      <c r="AJ32" s="139"/>
      <c r="AK32" s="139"/>
    </row>
    <row r="33" spans="1:37" s="138" customFormat="1" ht="30" x14ac:dyDescent="0.25">
      <c r="A33" s="138" t="s">
        <v>46</v>
      </c>
      <c r="B33" s="138">
        <v>2023</v>
      </c>
      <c r="C33" s="138" t="s">
        <v>331</v>
      </c>
      <c r="D33" s="138" t="s">
        <v>9</v>
      </c>
      <c r="E33" s="138" t="s">
        <v>10</v>
      </c>
      <c r="F33" s="138" t="s">
        <v>8</v>
      </c>
      <c r="K33" s="141" t="e">
        <f t="shared" ref="K33:K34" si="60">H33/G33</f>
        <v>#DIV/0!</v>
      </c>
      <c r="L33" s="141" t="e">
        <f t="shared" ref="L33:L34" si="61">I33/G33</f>
        <v>#DIV/0!</v>
      </c>
      <c r="M33" s="141" t="e">
        <f t="shared" ref="M33:M34" si="62">J33/G33</f>
        <v>#DIV/0!</v>
      </c>
      <c r="N33" s="140">
        <f t="shared" ref="N33:N34" si="63">G33-H33-I33-J33</f>
        <v>0</v>
      </c>
      <c r="AA33" s="139"/>
      <c r="AB33" s="139"/>
      <c r="AC33" s="139"/>
      <c r="AD33" s="139"/>
      <c r="AE33" s="139"/>
      <c r="AG33" s="139"/>
      <c r="AI33" s="139"/>
      <c r="AJ33" s="139"/>
      <c r="AK33" s="139"/>
    </row>
    <row r="34" spans="1:37" s="138" customFormat="1" ht="30" x14ac:dyDescent="0.25">
      <c r="A34" s="138" t="s">
        <v>46</v>
      </c>
      <c r="B34" s="138">
        <v>2023</v>
      </c>
      <c r="C34" s="138" t="s">
        <v>331</v>
      </c>
      <c r="D34" s="138" t="s">
        <v>9</v>
      </c>
      <c r="E34" s="138" t="s">
        <v>12</v>
      </c>
      <c r="F34" s="138" t="s">
        <v>11</v>
      </c>
      <c r="K34" s="141" t="e">
        <f t="shared" si="60"/>
        <v>#DIV/0!</v>
      </c>
      <c r="L34" s="141" t="e">
        <f t="shared" si="61"/>
        <v>#DIV/0!</v>
      </c>
      <c r="M34" s="141" t="e">
        <f t="shared" si="62"/>
        <v>#DIV/0!</v>
      </c>
      <c r="N34" s="140">
        <f t="shared" si="63"/>
        <v>0</v>
      </c>
      <c r="AA34" s="139"/>
      <c r="AB34" s="139"/>
      <c r="AC34" s="139"/>
      <c r="AD34" s="139"/>
      <c r="AE34" s="139"/>
      <c r="AG34" s="139"/>
      <c r="AI34" s="139"/>
      <c r="AJ34" s="139"/>
      <c r="AK34" s="139"/>
    </row>
    <row r="35" spans="1:37" s="138" customFormat="1" ht="30" x14ac:dyDescent="0.25">
      <c r="A35" s="138" t="s">
        <v>46</v>
      </c>
      <c r="B35" s="138">
        <v>2023</v>
      </c>
      <c r="C35" s="138" t="s">
        <v>331</v>
      </c>
      <c r="D35" s="138" t="s">
        <v>4</v>
      </c>
      <c r="E35" s="138" t="s">
        <v>5</v>
      </c>
      <c r="F35" s="138" t="s">
        <v>3</v>
      </c>
      <c r="K35" s="141" t="e">
        <f t="shared" ref="K35:K36" si="64">H35/G35</f>
        <v>#DIV/0!</v>
      </c>
      <c r="L35" s="141" t="e">
        <f t="shared" ref="L35:L36" si="65">I35/G35</f>
        <v>#DIV/0!</v>
      </c>
      <c r="M35" s="141" t="e">
        <f t="shared" ref="M35:M36" si="66">J35/G35</f>
        <v>#DIV/0!</v>
      </c>
      <c r="N35" s="140">
        <f t="shared" ref="N35:N36" si="67">G35-H35-I35-J35</f>
        <v>0</v>
      </c>
      <c r="AA35" s="139"/>
      <c r="AB35" s="139"/>
      <c r="AC35" s="139"/>
      <c r="AD35" s="139"/>
      <c r="AE35" s="139"/>
      <c r="AG35" s="139"/>
      <c r="AI35" s="139"/>
      <c r="AJ35" s="139"/>
      <c r="AK35" s="139"/>
    </row>
    <row r="36" spans="1:37" s="138" customFormat="1" ht="30" x14ac:dyDescent="0.25">
      <c r="A36" s="138" t="s">
        <v>46</v>
      </c>
      <c r="B36" s="138">
        <v>2023</v>
      </c>
      <c r="C36" s="138" t="s">
        <v>331</v>
      </c>
      <c r="D36" s="138" t="s">
        <v>4</v>
      </c>
      <c r="E36" s="138" t="s">
        <v>7</v>
      </c>
      <c r="F36" s="138" t="s">
        <v>6</v>
      </c>
      <c r="K36" s="141" t="e">
        <f t="shared" si="64"/>
        <v>#DIV/0!</v>
      </c>
      <c r="L36" s="141" t="e">
        <f t="shared" si="65"/>
        <v>#DIV/0!</v>
      </c>
      <c r="M36" s="141" t="e">
        <f t="shared" si="66"/>
        <v>#DIV/0!</v>
      </c>
      <c r="N36" s="140">
        <f t="shared" si="67"/>
        <v>0</v>
      </c>
      <c r="AA36" s="139"/>
      <c r="AB36" s="139"/>
      <c r="AC36" s="139"/>
      <c r="AD36" s="139"/>
      <c r="AE36" s="139"/>
      <c r="AG36" s="139"/>
      <c r="AI36" s="139"/>
      <c r="AJ36" s="139"/>
      <c r="AK36" s="139"/>
    </row>
    <row r="37" spans="1:37" s="138" customFormat="1" ht="30" hidden="1" x14ac:dyDescent="0.25">
      <c r="A37" s="138" t="s">
        <v>57</v>
      </c>
      <c r="B37" s="138">
        <v>2023</v>
      </c>
      <c r="C37" s="138" t="s">
        <v>335</v>
      </c>
      <c r="D37" s="138" t="s">
        <v>1</v>
      </c>
      <c r="E37" s="138" t="s">
        <v>2</v>
      </c>
      <c r="F37" s="138" t="s">
        <v>26</v>
      </c>
      <c r="G37" s="138">
        <v>15974.629849593133</v>
      </c>
      <c r="H37" s="138">
        <v>3611.5322199596499</v>
      </c>
      <c r="I37" s="138">
        <v>1437.7166864633818</v>
      </c>
      <c r="J37" s="138">
        <v>159.74629947715889</v>
      </c>
      <c r="K37" s="141">
        <f t="shared" ref="K37:K38" si="68">H37/G37</f>
        <v>0.22607924277204045</v>
      </c>
      <c r="L37" s="141">
        <f t="shared" ref="L37:L38" si="69">I37/G37</f>
        <v>0.09</v>
      </c>
      <c r="M37" s="141">
        <f t="shared" ref="M37:M38" si="70">J37/G37</f>
        <v>1.0000000061424118E-2</v>
      </c>
      <c r="N37" s="140">
        <f t="shared" ref="N37:N38" si="71">G37-H37-I37-J37</f>
        <v>10765.634643692942</v>
      </c>
      <c r="AA37" s="139"/>
      <c r="AB37" s="139"/>
      <c r="AC37" s="139"/>
      <c r="AD37" s="139"/>
      <c r="AE37" s="139"/>
      <c r="AG37" s="139"/>
      <c r="AI37" s="139"/>
      <c r="AJ37" s="139"/>
      <c r="AK37" s="139"/>
    </row>
    <row r="38" spans="1:37" s="138" customFormat="1" ht="15" hidden="1" x14ac:dyDescent="0.25">
      <c r="A38" s="138" t="s">
        <v>332</v>
      </c>
      <c r="B38" s="138" t="s">
        <v>332</v>
      </c>
      <c r="C38" s="138" t="s">
        <v>332</v>
      </c>
      <c r="D38" s="138" t="s">
        <v>332</v>
      </c>
      <c r="E38" s="138" t="s">
        <v>332</v>
      </c>
      <c r="F38" s="138" t="s">
        <v>332</v>
      </c>
      <c r="K38" s="141" t="e">
        <f t="shared" si="68"/>
        <v>#DIV/0!</v>
      </c>
      <c r="L38" s="141" t="e">
        <f t="shared" si="69"/>
        <v>#DIV/0!</v>
      </c>
      <c r="M38" s="141" t="e">
        <f t="shared" si="70"/>
        <v>#DIV/0!</v>
      </c>
      <c r="N38" s="140">
        <f t="shared" si="71"/>
        <v>0</v>
      </c>
      <c r="AA38" s="139"/>
      <c r="AB38" s="139"/>
      <c r="AC38" s="139"/>
      <c r="AD38" s="139"/>
      <c r="AE38" s="139"/>
      <c r="AG38" s="139"/>
      <c r="AI38" s="139"/>
      <c r="AJ38" s="139"/>
      <c r="AK38" s="139"/>
    </row>
    <row r="39" spans="1:37" s="138" customFormat="1" ht="30" hidden="1" x14ac:dyDescent="0.25">
      <c r="A39" s="138" t="s">
        <v>57</v>
      </c>
      <c r="B39" s="138">
        <v>2023</v>
      </c>
      <c r="C39" s="138" t="s">
        <v>335</v>
      </c>
      <c r="D39" s="138" t="s">
        <v>9</v>
      </c>
      <c r="E39" s="138" t="s">
        <v>10</v>
      </c>
      <c r="F39" s="138" t="s">
        <v>29</v>
      </c>
      <c r="G39" s="138">
        <v>244711.12977160371</v>
      </c>
      <c r="H39" s="138">
        <v>45710.301112045498</v>
      </c>
      <c r="I39" s="138">
        <v>22024.001679444344</v>
      </c>
      <c r="J39" s="138">
        <v>5917.488708231911</v>
      </c>
      <c r="K39" s="141">
        <f t="shared" ref="K39:K40" si="72">H39/G39</f>
        <v>0.18679289803740559</v>
      </c>
      <c r="L39" s="141">
        <f t="shared" ref="L39:L40" si="73">I39/G39</f>
        <v>9.0000000000000038E-2</v>
      </c>
      <c r="M39" s="141">
        <f t="shared" ref="M39:M40" si="74">J39/G39</f>
        <v>2.4181526658615331E-2</v>
      </c>
      <c r="N39" s="140">
        <f t="shared" ref="N39:N40" si="75">G39-H39-I39-J39</f>
        <v>171059.33827188195</v>
      </c>
      <c r="AA39" s="139"/>
      <c r="AB39" s="139"/>
      <c r="AC39" s="139"/>
      <c r="AD39" s="139"/>
      <c r="AE39" s="139"/>
      <c r="AG39" s="139"/>
      <c r="AI39" s="139"/>
      <c r="AJ39" s="139"/>
      <c r="AK39" s="139"/>
    </row>
    <row r="40" spans="1:37" s="138" customFormat="1" ht="30" hidden="1" x14ac:dyDescent="0.25">
      <c r="A40" s="138" t="s">
        <v>57</v>
      </c>
      <c r="B40" s="138">
        <v>2023</v>
      </c>
      <c r="C40" s="138" t="s">
        <v>335</v>
      </c>
      <c r="D40" s="138" t="s">
        <v>9</v>
      </c>
      <c r="E40" s="138" t="s">
        <v>12</v>
      </c>
      <c r="F40" s="138" t="s">
        <v>30</v>
      </c>
      <c r="G40" s="138">
        <v>1644079.2869342454</v>
      </c>
      <c r="H40" s="138">
        <v>302056.91134261369</v>
      </c>
      <c r="I40" s="138">
        <v>147967.13582408213</v>
      </c>
      <c r="J40" s="138">
        <v>25761.034037743219</v>
      </c>
      <c r="K40" s="141">
        <f t="shared" si="72"/>
        <v>0.18372405378688675</v>
      </c>
      <c r="L40" s="141">
        <f t="shared" si="73"/>
        <v>9.0000000000000024E-2</v>
      </c>
      <c r="M40" s="141">
        <f t="shared" si="74"/>
        <v>1.566897304921373E-2</v>
      </c>
      <c r="N40" s="140">
        <f t="shared" si="75"/>
        <v>1168294.2057298063</v>
      </c>
      <c r="AA40" s="139"/>
      <c r="AB40" s="139"/>
      <c r="AC40" s="139"/>
      <c r="AD40" s="139"/>
      <c r="AE40" s="139"/>
      <c r="AG40" s="139"/>
      <c r="AI40" s="139"/>
      <c r="AJ40" s="139"/>
      <c r="AK40" s="139"/>
    </row>
    <row r="41" spans="1:37" s="138" customFormat="1" ht="30" hidden="1" x14ac:dyDescent="0.25">
      <c r="A41" s="138" t="s">
        <v>57</v>
      </c>
      <c r="B41" s="138">
        <v>2023</v>
      </c>
      <c r="C41" s="138" t="s">
        <v>335</v>
      </c>
      <c r="D41" s="138" t="s">
        <v>4</v>
      </c>
      <c r="E41" s="138" t="s">
        <v>5</v>
      </c>
      <c r="F41" s="138" t="s">
        <v>27</v>
      </c>
      <c r="G41" s="138">
        <v>122921.56749999999</v>
      </c>
      <c r="H41" s="138">
        <v>38243.95582499999</v>
      </c>
      <c r="I41" s="138">
        <v>11062.941074999999</v>
      </c>
      <c r="J41" s="138">
        <v>1633.81</v>
      </c>
      <c r="K41" s="141">
        <f t="shared" ref="K41:K42" si="76">H41/G41</f>
        <v>0.311124862811402</v>
      </c>
      <c r="L41" s="141">
        <f t="shared" ref="L41:L42" si="77">I41/G41</f>
        <v>0.09</v>
      </c>
      <c r="M41" s="141">
        <f t="shared" ref="M41:M42" si="78">J41/G41</f>
        <v>1.3291483612100863E-2</v>
      </c>
      <c r="N41" s="140">
        <f t="shared" ref="N41:N42" si="79">G41-H41-I41-J41</f>
        <v>71980.8606</v>
      </c>
      <c r="AA41" s="139"/>
      <c r="AB41" s="139"/>
      <c r="AC41" s="139"/>
      <c r="AD41" s="139"/>
      <c r="AE41" s="139"/>
      <c r="AG41" s="139"/>
      <c r="AI41" s="139"/>
      <c r="AJ41" s="139"/>
      <c r="AK41" s="139"/>
    </row>
    <row r="42" spans="1:37" s="138" customFormat="1" ht="30" hidden="1" x14ac:dyDescent="0.25">
      <c r="A42" s="138" t="s">
        <v>57</v>
      </c>
      <c r="B42" s="138">
        <v>2023</v>
      </c>
      <c r="C42" s="138" t="s">
        <v>335</v>
      </c>
      <c r="D42" s="138" t="s">
        <v>4</v>
      </c>
      <c r="E42" s="138" t="s">
        <v>7</v>
      </c>
      <c r="F42" s="138" t="s">
        <v>28</v>
      </c>
      <c r="K42" s="141" t="e">
        <f t="shared" si="76"/>
        <v>#DIV/0!</v>
      </c>
      <c r="L42" s="141" t="e">
        <f t="shared" si="77"/>
        <v>#DIV/0!</v>
      </c>
      <c r="M42" s="141" t="e">
        <f t="shared" si="78"/>
        <v>#DIV/0!</v>
      </c>
      <c r="N42" s="140">
        <f t="shared" si="79"/>
        <v>0</v>
      </c>
      <c r="AA42" s="139"/>
      <c r="AB42" s="139"/>
      <c r="AC42" s="139"/>
      <c r="AD42" s="139"/>
      <c r="AE42" s="139"/>
      <c r="AG42" s="139"/>
      <c r="AI42" s="139"/>
      <c r="AJ42" s="139"/>
      <c r="AK42" s="139"/>
    </row>
    <row r="43" spans="1:37" s="138" customFormat="1" ht="30" hidden="1" x14ac:dyDescent="0.25">
      <c r="A43" s="138" t="s">
        <v>57</v>
      </c>
      <c r="B43" s="138">
        <v>2023</v>
      </c>
      <c r="C43" s="138" t="s">
        <v>334</v>
      </c>
      <c r="D43" s="138" t="s">
        <v>24</v>
      </c>
      <c r="E43" s="138" t="s">
        <v>25</v>
      </c>
      <c r="F43" s="138" t="s">
        <v>23</v>
      </c>
      <c r="G43" s="138">
        <v>1633.15</v>
      </c>
      <c r="H43" s="138">
        <v>326.63</v>
      </c>
      <c r="I43" s="138">
        <v>163.31</v>
      </c>
      <c r="J43" s="138">
        <v>57.16</v>
      </c>
      <c r="K43" s="141">
        <f t="shared" ref="K43:K44" si="80">H43/G43</f>
        <v>0.19999999999999998</v>
      </c>
      <c r="L43" s="141">
        <f t="shared" ref="L43:L44" si="81">I43/G43</f>
        <v>9.9996938431864801E-2</v>
      </c>
      <c r="M43" s="141">
        <f t="shared" ref="M43:M44" si="82">J43/G43</f>
        <v>3.4999846921593233E-2</v>
      </c>
      <c r="N43" s="140">
        <f t="shared" ref="N43:N44" si="83">G43-H43-I43-J43</f>
        <v>1086.05</v>
      </c>
      <c r="AA43" s="139"/>
      <c r="AB43" s="139"/>
      <c r="AC43" s="139"/>
      <c r="AD43" s="139"/>
      <c r="AE43" s="139"/>
      <c r="AG43" s="139"/>
      <c r="AI43" s="139"/>
      <c r="AJ43" s="139"/>
      <c r="AK43" s="139"/>
    </row>
    <row r="44" spans="1:37" s="138" customFormat="1" ht="15" hidden="1" x14ac:dyDescent="0.25">
      <c r="A44" s="138" t="s">
        <v>332</v>
      </c>
      <c r="B44" s="138" t="s">
        <v>332</v>
      </c>
      <c r="C44" s="138" t="s">
        <v>332</v>
      </c>
      <c r="D44" s="138" t="s">
        <v>332</v>
      </c>
      <c r="E44" s="138" t="s">
        <v>332</v>
      </c>
      <c r="F44" s="138" t="s">
        <v>332</v>
      </c>
      <c r="K44" s="141" t="e">
        <f t="shared" si="80"/>
        <v>#DIV/0!</v>
      </c>
      <c r="L44" s="141" t="e">
        <f t="shared" si="81"/>
        <v>#DIV/0!</v>
      </c>
      <c r="M44" s="141" t="e">
        <f t="shared" si="82"/>
        <v>#DIV/0!</v>
      </c>
      <c r="N44" s="140">
        <f t="shared" si="83"/>
        <v>0</v>
      </c>
      <c r="AA44" s="139"/>
      <c r="AB44" s="139"/>
      <c r="AC44" s="139"/>
      <c r="AD44" s="139"/>
      <c r="AE44" s="139"/>
      <c r="AG44" s="139"/>
      <c r="AI44" s="139"/>
      <c r="AJ44" s="139"/>
      <c r="AK44" s="139"/>
    </row>
    <row r="45" spans="1:37" s="138" customFormat="1" ht="30" hidden="1" x14ac:dyDescent="0.25">
      <c r="A45" s="138" t="s">
        <v>57</v>
      </c>
      <c r="B45" s="138">
        <v>2023</v>
      </c>
      <c r="C45" s="138" t="s">
        <v>334</v>
      </c>
      <c r="D45" s="138" t="s">
        <v>1</v>
      </c>
      <c r="E45" s="138" t="s">
        <v>2</v>
      </c>
      <c r="F45" s="138" t="s">
        <v>18</v>
      </c>
      <c r="G45" s="138">
        <v>414.07099469968512</v>
      </c>
      <c r="H45" s="138">
        <v>106.45735077362424</v>
      </c>
      <c r="I45" s="138">
        <v>37.266389522971664</v>
      </c>
      <c r="J45" s="138">
        <v>4.1407135928896324</v>
      </c>
      <c r="K45" s="141">
        <f t="shared" ref="K45:K46" si="84">H45/G45</f>
        <v>0.2570992707442234</v>
      </c>
      <c r="L45" s="141">
        <f t="shared" ref="L45:L46" si="85">I45/G45</f>
        <v>9.0000000000000011E-2</v>
      </c>
      <c r="M45" s="141">
        <f t="shared" ref="M45:M46" si="86">J45/G45</f>
        <v>1.000000880499438E-2</v>
      </c>
      <c r="N45" s="140">
        <f t="shared" ref="N45:N46" si="87">G45-H45-I45-J45</f>
        <v>266.20654081019956</v>
      </c>
      <c r="AA45" s="139"/>
      <c r="AB45" s="139"/>
      <c r="AC45" s="139"/>
      <c r="AD45" s="139"/>
      <c r="AE45" s="139"/>
      <c r="AG45" s="139"/>
      <c r="AI45" s="139"/>
      <c r="AJ45" s="139"/>
      <c r="AK45" s="139"/>
    </row>
    <row r="46" spans="1:37" s="138" customFormat="1" ht="15" hidden="1" x14ac:dyDescent="0.25">
      <c r="A46" s="138" t="s">
        <v>332</v>
      </c>
      <c r="B46" s="138" t="s">
        <v>332</v>
      </c>
      <c r="C46" s="138" t="s">
        <v>332</v>
      </c>
      <c r="D46" s="138" t="s">
        <v>332</v>
      </c>
      <c r="E46" s="138" t="s">
        <v>332</v>
      </c>
      <c r="F46" s="138" t="s">
        <v>332</v>
      </c>
      <c r="K46" s="141" t="e">
        <f t="shared" si="84"/>
        <v>#DIV/0!</v>
      </c>
      <c r="L46" s="141" t="e">
        <f t="shared" si="85"/>
        <v>#DIV/0!</v>
      </c>
      <c r="M46" s="141" t="e">
        <f t="shared" si="86"/>
        <v>#DIV/0!</v>
      </c>
      <c r="N46" s="140">
        <f t="shared" si="87"/>
        <v>0</v>
      </c>
      <c r="AA46" s="139"/>
      <c r="AB46" s="139"/>
      <c r="AC46" s="139"/>
      <c r="AD46" s="139"/>
      <c r="AE46" s="139"/>
      <c r="AG46" s="139"/>
      <c r="AI46" s="139"/>
      <c r="AJ46" s="139"/>
      <c r="AK46" s="139"/>
    </row>
    <row r="47" spans="1:37" s="138" customFormat="1" ht="30" hidden="1" x14ac:dyDescent="0.25">
      <c r="A47" s="138" t="s">
        <v>57</v>
      </c>
      <c r="B47" s="138">
        <v>2023</v>
      </c>
      <c r="C47" s="138" t="s">
        <v>334</v>
      </c>
      <c r="D47" s="138" t="s">
        <v>9</v>
      </c>
      <c r="E47" s="138" t="s">
        <v>10</v>
      </c>
      <c r="F47" s="138" t="s">
        <v>21</v>
      </c>
      <c r="K47" s="141" t="e">
        <f t="shared" ref="K47:K48" si="88">H47/G47</f>
        <v>#DIV/0!</v>
      </c>
      <c r="L47" s="141" t="e">
        <f t="shared" ref="L47:L48" si="89">I47/G47</f>
        <v>#DIV/0!</v>
      </c>
      <c r="M47" s="141" t="e">
        <f t="shared" ref="M47:M48" si="90">J47/G47</f>
        <v>#DIV/0!</v>
      </c>
      <c r="N47" s="140">
        <f t="shared" ref="N47:N48" si="91">G47-H47-I47-J47</f>
        <v>0</v>
      </c>
      <c r="AA47" s="139"/>
      <c r="AB47" s="139"/>
      <c r="AC47" s="139"/>
      <c r="AD47" s="139"/>
      <c r="AE47" s="139"/>
      <c r="AG47" s="139"/>
      <c r="AI47" s="139"/>
      <c r="AJ47" s="139"/>
      <c r="AK47" s="139"/>
    </row>
    <row r="48" spans="1:37" s="138" customFormat="1" ht="30" hidden="1" x14ac:dyDescent="0.25">
      <c r="A48" s="138" t="s">
        <v>57</v>
      </c>
      <c r="B48" s="138">
        <v>2023</v>
      </c>
      <c r="C48" s="138" t="s">
        <v>334</v>
      </c>
      <c r="D48" s="138" t="s">
        <v>9</v>
      </c>
      <c r="E48" s="138" t="s">
        <v>12</v>
      </c>
      <c r="F48" s="138" t="s">
        <v>22</v>
      </c>
      <c r="G48" s="138">
        <v>-230409.35059074254</v>
      </c>
      <c r="H48" s="138">
        <v>-46397.559803654622</v>
      </c>
      <c r="I48" s="138">
        <v>-20736.841553166822</v>
      </c>
      <c r="J48" s="138">
        <v>-3660.8432406601687</v>
      </c>
      <c r="K48" s="141">
        <f t="shared" si="88"/>
        <v>0.20137012532128892</v>
      </c>
      <c r="L48" s="141">
        <f t="shared" si="89"/>
        <v>8.9999999999999969E-2</v>
      </c>
      <c r="M48" s="141">
        <f t="shared" si="90"/>
        <v>1.5888431746689951E-2</v>
      </c>
      <c r="N48" s="140">
        <f t="shared" si="91"/>
        <v>-159614.10599326092</v>
      </c>
      <c r="AA48" s="139"/>
      <c r="AB48" s="139"/>
      <c r="AC48" s="139"/>
      <c r="AD48" s="139"/>
      <c r="AE48" s="139"/>
      <c r="AG48" s="139"/>
      <c r="AI48" s="139"/>
      <c r="AJ48" s="139"/>
      <c r="AK48" s="139"/>
    </row>
    <row r="49" spans="1:37" s="138" customFormat="1" ht="30" hidden="1" x14ac:dyDescent="0.25">
      <c r="A49" s="138" t="s">
        <v>57</v>
      </c>
      <c r="B49" s="138">
        <v>2023</v>
      </c>
      <c r="C49" s="138" t="s">
        <v>334</v>
      </c>
      <c r="D49" s="138" t="s">
        <v>4</v>
      </c>
      <c r="E49" s="138" t="s">
        <v>5</v>
      </c>
      <c r="F49" s="138" t="s">
        <v>19</v>
      </c>
      <c r="K49" s="141" t="e">
        <f t="shared" ref="K49:K50" si="92">H49/G49</f>
        <v>#DIV/0!</v>
      </c>
      <c r="L49" s="141" t="e">
        <f t="shared" ref="L49:L50" si="93">I49/G49</f>
        <v>#DIV/0!</v>
      </c>
      <c r="M49" s="141" t="e">
        <f t="shared" ref="M49:M50" si="94">J49/G49</f>
        <v>#DIV/0!</v>
      </c>
      <c r="N49" s="140">
        <f t="shared" ref="N49:N50" si="95">G49-H49-I49-J49</f>
        <v>0</v>
      </c>
      <c r="AA49" s="139"/>
      <c r="AB49" s="139"/>
      <c r="AC49" s="139"/>
      <c r="AD49" s="139"/>
      <c r="AE49" s="139"/>
      <c r="AG49" s="139"/>
      <c r="AI49" s="139"/>
      <c r="AJ49" s="139"/>
      <c r="AK49" s="139"/>
    </row>
    <row r="50" spans="1:37" s="138" customFormat="1" ht="30" x14ac:dyDescent="0.25">
      <c r="A50" s="138" t="s">
        <v>57</v>
      </c>
      <c r="B50" s="138">
        <v>2023</v>
      </c>
      <c r="C50" s="138" t="s">
        <v>334</v>
      </c>
      <c r="D50" s="138" t="s">
        <v>4</v>
      </c>
      <c r="E50" s="138" t="s">
        <v>7</v>
      </c>
      <c r="F50" s="138" t="s">
        <v>20</v>
      </c>
      <c r="K50" s="141" t="e">
        <f t="shared" si="92"/>
        <v>#DIV/0!</v>
      </c>
      <c r="L50" s="141" t="e">
        <f t="shared" si="93"/>
        <v>#DIV/0!</v>
      </c>
      <c r="M50" s="141" t="e">
        <f t="shared" si="94"/>
        <v>#DIV/0!</v>
      </c>
      <c r="N50" s="140">
        <f t="shared" si="95"/>
        <v>0</v>
      </c>
      <c r="AA50" s="139"/>
      <c r="AB50" s="139"/>
      <c r="AC50" s="139"/>
      <c r="AD50" s="139"/>
      <c r="AE50" s="139"/>
      <c r="AG50" s="139"/>
      <c r="AI50" s="139"/>
      <c r="AJ50" s="139"/>
      <c r="AK50" s="139"/>
    </row>
    <row r="51" spans="1:37" s="138" customFormat="1" ht="30" hidden="1" x14ac:dyDescent="0.25">
      <c r="A51" s="138" t="s">
        <v>57</v>
      </c>
      <c r="B51" s="138">
        <v>2023</v>
      </c>
      <c r="C51" s="138" t="s">
        <v>333</v>
      </c>
      <c r="D51" s="138" t="s">
        <v>1</v>
      </c>
      <c r="E51" s="138" t="s">
        <v>2</v>
      </c>
      <c r="F51" s="138" t="s">
        <v>13</v>
      </c>
      <c r="K51" s="141" t="e">
        <f t="shared" ref="K51:K52" si="96">H51/G51</f>
        <v>#DIV/0!</v>
      </c>
      <c r="L51" s="141" t="e">
        <f t="shared" ref="L51:L52" si="97">I51/G51</f>
        <v>#DIV/0!</v>
      </c>
      <c r="M51" s="141" t="e">
        <f t="shared" ref="M51:M52" si="98">J51/G51</f>
        <v>#DIV/0!</v>
      </c>
      <c r="N51" s="140">
        <f t="shared" ref="N51:N52" si="99">G51-H51-I51-J51</f>
        <v>0</v>
      </c>
      <c r="AA51" s="139"/>
      <c r="AB51" s="139"/>
      <c r="AC51" s="139"/>
      <c r="AD51" s="139"/>
      <c r="AE51" s="139"/>
      <c r="AG51" s="139"/>
      <c r="AI51" s="139"/>
      <c r="AJ51" s="139"/>
      <c r="AK51" s="139"/>
    </row>
    <row r="52" spans="1:37" s="138" customFormat="1" ht="15" hidden="1" x14ac:dyDescent="0.25">
      <c r="A52" s="138" t="s">
        <v>332</v>
      </c>
      <c r="B52" s="138" t="s">
        <v>332</v>
      </c>
      <c r="C52" s="138" t="s">
        <v>332</v>
      </c>
      <c r="D52" s="138" t="s">
        <v>332</v>
      </c>
      <c r="E52" s="138" t="s">
        <v>332</v>
      </c>
      <c r="F52" s="138" t="s">
        <v>332</v>
      </c>
      <c r="K52" s="141" t="e">
        <f t="shared" si="96"/>
        <v>#DIV/0!</v>
      </c>
      <c r="L52" s="141" t="e">
        <f t="shared" si="97"/>
        <v>#DIV/0!</v>
      </c>
      <c r="M52" s="141" t="e">
        <f t="shared" si="98"/>
        <v>#DIV/0!</v>
      </c>
      <c r="N52" s="140">
        <f t="shared" si="99"/>
        <v>0</v>
      </c>
      <c r="AA52" s="139"/>
      <c r="AB52" s="139"/>
      <c r="AC52" s="139"/>
      <c r="AD52" s="139"/>
      <c r="AE52" s="139"/>
      <c r="AG52" s="139"/>
      <c r="AI52" s="139"/>
      <c r="AJ52" s="139"/>
      <c r="AK52" s="139"/>
    </row>
    <row r="53" spans="1:37" s="138" customFormat="1" ht="30" hidden="1" x14ac:dyDescent="0.25">
      <c r="A53" s="138" t="s">
        <v>57</v>
      </c>
      <c r="B53" s="138">
        <v>2023</v>
      </c>
      <c r="C53" s="138" t="s">
        <v>333</v>
      </c>
      <c r="D53" s="138" t="s">
        <v>9</v>
      </c>
      <c r="E53" s="138" t="s">
        <v>10</v>
      </c>
      <c r="F53" s="138" t="s">
        <v>16</v>
      </c>
      <c r="K53" s="141" t="e">
        <f t="shared" ref="K53:K54" si="100">H53/G53</f>
        <v>#DIV/0!</v>
      </c>
      <c r="L53" s="141" t="e">
        <f t="shared" ref="L53:L54" si="101">I53/G53</f>
        <v>#DIV/0!</v>
      </c>
      <c r="M53" s="141" t="e">
        <f t="shared" ref="M53:M54" si="102">J53/G53</f>
        <v>#DIV/0!</v>
      </c>
      <c r="N53" s="140">
        <f t="shared" ref="N53:N54" si="103">G53-H53-I53-J53</f>
        <v>0</v>
      </c>
      <c r="AA53" s="139"/>
      <c r="AB53" s="139"/>
      <c r="AC53" s="139"/>
      <c r="AD53" s="139"/>
      <c r="AE53" s="139"/>
      <c r="AG53" s="139"/>
      <c r="AI53" s="139"/>
      <c r="AJ53" s="139"/>
      <c r="AK53" s="139"/>
    </row>
    <row r="54" spans="1:37" s="138" customFormat="1" ht="30" hidden="1" x14ac:dyDescent="0.25">
      <c r="A54" s="138" t="s">
        <v>57</v>
      </c>
      <c r="B54" s="138">
        <v>2023</v>
      </c>
      <c r="C54" s="138" t="s">
        <v>333</v>
      </c>
      <c r="D54" s="138" t="s">
        <v>9</v>
      </c>
      <c r="E54" s="138" t="s">
        <v>12</v>
      </c>
      <c r="F54" s="138" t="s">
        <v>17</v>
      </c>
      <c r="G54" s="138">
        <v>11.42</v>
      </c>
      <c r="H54" s="138">
        <v>0.56999999999999995</v>
      </c>
      <c r="I54" s="138">
        <v>1.1399999999999999</v>
      </c>
      <c r="J54" s="138">
        <v>0.63</v>
      </c>
      <c r="K54" s="141">
        <f t="shared" si="100"/>
        <v>4.9912434325744305E-2</v>
      </c>
      <c r="L54" s="141">
        <f t="shared" si="101"/>
        <v>9.982486865148861E-2</v>
      </c>
      <c r="M54" s="141">
        <f t="shared" si="102"/>
        <v>5.5166374781085818E-2</v>
      </c>
      <c r="N54" s="140">
        <f t="shared" si="103"/>
        <v>9.0799999999999983</v>
      </c>
      <c r="AA54" s="139"/>
      <c r="AB54" s="139"/>
      <c r="AC54" s="139"/>
      <c r="AD54" s="139"/>
      <c r="AE54" s="139"/>
      <c r="AG54" s="139"/>
      <c r="AI54" s="139"/>
      <c r="AJ54" s="139"/>
      <c r="AK54" s="139"/>
    </row>
    <row r="55" spans="1:37" s="138" customFormat="1" ht="30" hidden="1" x14ac:dyDescent="0.25">
      <c r="A55" s="138" t="s">
        <v>57</v>
      </c>
      <c r="B55" s="138">
        <v>2023</v>
      </c>
      <c r="C55" s="138" t="s">
        <v>333</v>
      </c>
      <c r="D55" s="138" t="s">
        <v>4</v>
      </c>
      <c r="E55" s="138" t="s">
        <v>5</v>
      </c>
      <c r="F55" s="138" t="s">
        <v>14</v>
      </c>
      <c r="K55" s="141" t="e">
        <f t="shared" ref="K55:K56" si="104">H55/G55</f>
        <v>#DIV/0!</v>
      </c>
      <c r="L55" s="141" t="e">
        <f t="shared" ref="L55:L56" si="105">I55/G55</f>
        <v>#DIV/0!</v>
      </c>
      <c r="M55" s="141" t="e">
        <f t="shared" ref="M55:M56" si="106">J55/G55</f>
        <v>#DIV/0!</v>
      </c>
      <c r="N55" s="140">
        <f t="shared" ref="N55:N56" si="107">G55-H55-I55-J55</f>
        <v>0</v>
      </c>
      <c r="AA55" s="139"/>
      <c r="AB55" s="139"/>
      <c r="AC55" s="139"/>
      <c r="AD55" s="139"/>
      <c r="AE55" s="139"/>
      <c r="AG55" s="139"/>
      <c r="AI55" s="139"/>
      <c r="AJ55" s="139"/>
      <c r="AK55" s="139"/>
    </row>
    <row r="56" spans="1:37" s="138" customFormat="1" ht="30" hidden="1" x14ac:dyDescent="0.25">
      <c r="A56" s="138" t="s">
        <v>57</v>
      </c>
      <c r="B56" s="138">
        <v>2023</v>
      </c>
      <c r="C56" s="138" t="s">
        <v>333</v>
      </c>
      <c r="D56" s="138" t="s">
        <v>4</v>
      </c>
      <c r="E56" s="138" t="s">
        <v>7</v>
      </c>
      <c r="F56" s="138" t="s">
        <v>15</v>
      </c>
      <c r="K56" s="141" t="e">
        <f t="shared" si="104"/>
        <v>#DIV/0!</v>
      </c>
      <c r="L56" s="141" t="e">
        <f t="shared" si="105"/>
        <v>#DIV/0!</v>
      </c>
      <c r="M56" s="141" t="e">
        <f t="shared" si="106"/>
        <v>#DIV/0!</v>
      </c>
      <c r="N56" s="140">
        <f t="shared" si="107"/>
        <v>0</v>
      </c>
      <c r="AA56" s="139"/>
      <c r="AB56" s="139"/>
      <c r="AC56" s="139"/>
      <c r="AD56" s="139"/>
      <c r="AE56" s="139"/>
      <c r="AG56" s="139"/>
      <c r="AI56" s="139"/>
      <c r="AJ56" s="139"/>
      <c r="AK56" s="139"/>
    </row>
    <row r="57" spans="1:37" s="138" customFormat="1" ht="30" hidden="1" x14ac:dyDescent="0.25">
      <c r="A57" s="138" t="s">
        <v>57</v>
      </c>
      <c r="B57" s="138">
        <v>2023</v>
      </c>
      <c r="C57" s="138" t="s">
        <v>331</v>
      </c>
      <c r="D57" s="138" t="s">
        <v>1</v>
      </c>
      <c r="E57" s="138" t="s">
        <v>2</v>
      </c>
      <c r="F57" s="138" t="s">
        <v>0</v>
      </c>
      <c r="G57" s="138">
        <v>329.45525657932944</v>
      </c>
      <c r="H57" s="138">
        <v>57.028704913881924</v>
      </c>
      <c r="I57" s="138">
        <v>41.18190707241618</v>
      </c>
      <c r="J57" s="138">
        <v>7.6002250170139618</v>
      </c>
      <c r="K57" s="141">
        <f t="shared" ref="K57:K58" si="108">H57/G57</f>
        <v>0.1731</v>
      </c>
      <c r="L57" s="141">
        <f t="shared" ref="L57:L58" si="109">I57/G57</f>
        <v>0.125</v>
      </c>
      <c r="M57" s="141">
        <f t="shared" ref="M57:M58" si="110">J57/G57</f>
        <v>2.3069065875365401E-2</v>
      </c>
      <c r="N57" s="140">
        <f t="shared" ref="N57:N58" si="111">G57-H57-I57-J57</f>
        <v>223.64441957601736</v>
      </c>
      <c r="AA57" s="139"/>
      <c r="AB57" s="139"/>
      <c r="AC57" s="139"/>
      <c r="AD57" s="139"/>
      <c r="AE57" s="139"/>
      <c r="AG57" s="139"/>
      <c r="AI57" s="139"/>
      <c r="AJ57" s="139"/>
      <c r="AK57" s="139"/>
    </row>
    <row r="58" spans="1:37" s="138" customFormat="1" ht="15" hidden="1" x14ac:dyDescent="0.25">
      <c r="A58" s="138" t="s">
        <v>332</v>
      </c>
      <c r="B58" s="138" t="s">
        <v>332</v>
      </c>
      <c r="C58" s="138" t="s">
        <v>332</v>
      </c>
      <c r="D58" s="138" t="s">
        <v>332</v>
      </c>
      <c r="E58" s="138" t="s">
        <v>332</v>
      </c>
      <c r="F58" s="138" t="s">
        <v>332</v>
      </c>
      <c r="K58" s="141" t="e">
        <f t="shared" si="108"/>
        <v>#DIV/0!</v>
      </c>
      <c r="L58" s="141" t="e">
        <f t="shared" si="109"/>
        <v>#DIV/0!</v>
      </c>
      <c r="M58" s="141" t="e">
        <f t="shared" si="110"/>
        <v>#DIV/0!</v>
      </c>
      <c r="N58" s="140">
        <f t="shared" si="111"/>
        <v>0</v>
      </c>
      <c r="AA58" s="139"/>
      <c r="AB58" s="139"/>
      <c r="AC58" s="139"/>
      <c r="AD58" s="139"/>
      <c r="AE58" s="139"/>
      <c r="AG58" s="139"/>
      <c r="AI58" s="139"/>
      <c r="AJ58" s="139"/>
      <c r="AK58" s="139"/>
    </row>
    <row r="59" spans="1:37" s="138" customFormat="1" ht="30" hidden="1" x14ac:dyDescent="0.25">
      <c r="A59" s="138" t="s">
        <v>57</v>
      </c>
      <c r="B59" s="138">
        <v>2023</v>
      </c>
      <c r="C59" s="138" t="s">
        <v>331</v>
      </c>
      <c r="D59" s="138" t="s">
        <v>9</v>
      </c>
      <c r="E59" s="138" t="s">
        <v>10</v>
      </c>
      <c r="F59" s="138" t="s">
        <v>8</v>
      </c>
      <c r="K59" s="141" t="e">
        <f t="shared" ref="K59:K60" si="112">H59/G59</f>
        <v>#DIV/0!</v>
      </c>
      <c r="L59" s="141" t="e">
        <f t="shared" ref="L59:L60" si="113">I59/G59</f>
        <v>#DIV/0!</v>
      </c>
      <c r="M59" s="141" t="e">
        <f t="shared" ref="M59:M60" si="114">J59/G59</f>
        <v>#DIV/0!</v>
      </c>
      <c r="N59" s="140">
        <f t="shared" ref="N59:N60" si="115">G59-H59-I59-J59</f>
        <v>0</v>
      </c>
      <c r="AA59" s="139"/>
      <c r="AB59" s="139"/>
      <c r="AC59" s="139"/>
      <c r="AD59" s="139"/>
      <c r="AE59" s="139"/>
      <c r="AG59" s="139"/>
      <c r="AI59" s="139"/>
      <c r="AJ59" s="139"/>
      <c r="AK59" s="139"/>
    </row>
    <row r="60" spans="1:37" s="138" customFormat="1" ht="30" hidden="1" x14ac:dyDescent="0.25">
      <c r="A60" s="138" t="s">
        <v>57</v>
      </c>
      <c r="B60" s="138">
        <v>2023</v>
      </c>
      <c r="C60" s="138" t="s">
        <v>331</v>
      </c>
      <c r="D60" s="138" t="s">
        <v>9</v>
      </c>
      <c r="E60" s="138" t="s">
        <v>12</v>
      </c>
      <c r="F60" s="138" t="s">
        <v>11</v>
      </c>
      <c r="K60" s="141" t="e">
        <f t="shared" si="112"/>
        <v>#DIV/0!</v>
      </c>
      <c r="L60" s="141" t="e">
        <f t="shared" si="113"/>
        <v>#DIV/0!</v>
      </c>
      <c r="M60" s="141" t="e">
        <f t="shared" si="114"/>
        <v>#DIV/0!</v>
      </c>
      <c r="N60" s="140">
        <f t="shared" si="115"/>
        <v>0</v>
      </c>
      <c r="AA60" s="139"/>
      <c r="AB60" s="139"/>
      <c r="AC60" s="139"/>
      <c r="AD60" s="139"/>
      <c r="AE60" s="139"/>
      <c r="AG60" s="139"/>
      <c r="AI60" s="139"/>
      <c r="AJ60" s="139"/>
      <c r="AK60" s="139"/>
    </row>
    <row r="61" spans="1:37" s="138" customFormat="1" ht="30" hidden="1" x14ac:dyDescent="0.25">
      <c r="A61" s="138" t="s">
        <v>57</v>
      </c>
      <c r="B61" s="138">
        <v>2023</v>
      </c>
      <c r="C61" s="138" t="s">
        <v>331</v>
      </c>
      <c r="D61" s="138" t="s">
        <v>4</v>
      </c>
      <c r="E61" s="138" t="s">
        <v>5</v>
      </c>
      <c r="F61" s="138" t="s">
        <v>3</v>
      </c>
      <c r="K61" s="141" t="e">
        <f t="shared" ref="K61:K62" si="116">H61/G61</f>
        <v>#DIV/0!</v>
      </c>
      <c r="L61" s="141" t="e">
        <f t="shared" ref="L61:L62" si="117">I61/G61</f>
        <v>#DIV/0!</v>
      </c>
      <c r="M61" s="141" t="e">
        <f t="shared" ref="M61:M62" si="118">J61/G61</f>
        <v>#DIV/0!</v>
      </c>
      <c r="N61" s="140">
        <f t="shared" ref="N61:N62" si="119">G61-H61-I61-J61</f>
        <v>0</v>
      </c>
      <c r="AA61" s="139"/>
      <c r="AB61" s="139"/>
      <c r="AC61" s="139"/>
      <c r="AD61" s="139"/>
      <c r="AE61" s="139"/>
      <c r="AG61" s="139"/>
      <c r="AI61" s="139"/>
      <c r="AJ61" s="139"/>
      <c r="AK61" s="139"/>
    </row>
    <row r="62" spans="1:37" s="138" customFormat="1" ht="30" hidden="1" x14ac:dyDescent="0.25">
      <c r="A62" s="138" t="s">
        <v>57</v>
      </c>
      <c r="B62" s="138">
        <v>2023</v>
      </c>
      <c r="C62" s="138" t="s">
        <v>331</v>
      </c>
      <c r="D62" s="138" t="s">
        <v>4</v>
      </c>
      <c r="E62" s="138" t="s">
        <v>7</v>
      </c>
      <c r="F62" s="138" t="s">
        <v>6</v>
      </c>
      <c r="K62" s="141" t="e">
        <f t="shared" si="116"/>
        <v>#DIV/0!</v>
      </c>
      <c r="L62" s="141" t="e">
        <f t="shared" si="117"/>
        <v>#DIV/0!</v>
      </c>
      <c r="M62" s="141" t="e">
        <f t="shared" si="118"/>
        <v>#DIV/0!</v>
      </c>
      <c r="N62" s="140">
        <f t="shared" si="119"/>
        <v>0</v>
      </c>
      <c r="AA62" s="139"/>
      <c r="AB62" s="139"/>
      <c r="AC62" s="139"/>
      <c r="AD62" s="139"/>
      <c r="AE62" s="139"/>
      <c r="AG62" s="139"/>
      <c r="AI62" s="139"/>
      <c r="AJ62" s="139"/>
      <c r="AK62" s="139"/>
    </row>
    <row r="63" spans="1:37" s="138" customFormat="1" ht="30" hidden="1" x14ac:dyDescent="0.25">
      <c r="A63" s="138" t="s">
        <v>56</v>
      </c>
      <c r="B63" s="138">
        <v>2022</v>
      </c>
      <c r="C63" s="138" t="s">
        <v>335</v>
      </c>
      <c r="D63" s="138" t="s">
        <v>1</v>
      </c>
      <c r="E63" s="138" t="s">
        <v>2</v>
      </c>
      <c r="F63" s="138" t="s">
        <v>26</v>
      </c>
      <c r="G63" s="138">
        <v>1655.5819680000002</v>
      </c>
      <c r="H63" s="138">
        <v>875.63475899999992</v>
      </c>
      <c r="I63" s="138">
        <v>277.17</v>
      </c>
      <c r="J63" s="138">
        <v>6920.8888624529991</v>
      </c>
      <c r="K63" s="141">
        <f t="shared" ref="K63:K64" si="120">H63/G63</f>
        <v>0.52889846345560088</v>
      </c>
      <c r="L63" s="141">
        <f t="shared" ref="L63:L64" si="121">I63/G63</f>
        <v>0.16741544988849502</v>
      </c>
      <c r="M63" s="141">
        <f t="shared" ref="M63:M64" si="122">J63/G63</f>
        <v>4.1803359762450603</v>
      </c>
      <c r="N63" s="140">
        <f t="shared" ref="N63:N64" si="123">G63-H63-I63-J63</f>
        <v>-6418.1116534529992</v>
      </c>
      <c r="AA63" s="139"/>
      <c r="AB63" s="139"/>
      <c r="AC63" s="139"/>
      <c r="AD63" s="139"/>
      <c r="AE63" s="139"/>
      <c r="AG63" s="139"/>
      <c r="AI63" s="139"/>
      <c r="AJ63" s="139"/>
      <c r="AK63" s="139"/>
    </row>
    <row r="64" spans="1:37" s="138" customFormat="1" ht="15" hidden="1" x14ac:dyDescent="0.25">
      <c r="A64" s="138" t="s">
        <v>332</v>
      </c>
      <c r="B64" s="138" t="s">
        <v>332</v>
      </c>
      <c r="C64" s="138" t="s">
        <v>332</v>
      </c>
      <c r="D64" s="138" t="s">
        <v>332</v>
      </c>
      <c r="E64" s="138" t="s">
        <v>332</v>
      </c>
      <c r="F64" s="138" t="s">
        <v>332</v>
      </c>
      <c r="K64" s="141" t="e">
        <f t="shared" si="120"/>
        <v>#DIV/0!</v>
      </c>
      <c r="L64" s="141" t="e">
        <f t="shared" si="121"/>
        <v>#DIV/0!</v>
      </c>
      <c r="M64" s="141" t="e">
        <f t="shared" si="122"/>
        <v>#DIV/0!</v>
      </c>
      <c r="N64" s="140">
        <f t="shared" si="123"/>
        <v>0</v>
      </c>
      <c r="AA64" s="139"/>
      <c r="AB64" s="139"/>
      <c r="AC64" s="139"/>
      <c r="AD64" s="139"/>
      <c r="AE64" s="139"/>
      <c r="AG64" s="139"/>
      <c r="AI64" s="139"/>
      <c r="AJ64" s="139"/>
      <c r="AK64" s="139"/>
    </row>
    <row r="65" spans="1:37" s="138" customFormat="1" ht="30" hidden="1" x14ac:dyDescent="0.25">
      <c r="A65" s="138" t="s">
        <v>56</v>
      </c>
      <c r="B65" s="138">
        <v>2022</v>
      </c>
      <c r="C65" s="138" t="s">
        <v>335</v>
      </c>
      <c r="D65" s="138" t="s">
        <v>9</v>
      </c>
      <c r="E65" s="138" t="s">
        <v>10</v>
      </c>
      <c r="F65" s="138" t="s">
        <v>29</v>
      </c>
      <c r="G65" s="138">
        <v>92906.173360566696</v>
      </c>
      <c r="H65" s="138">
        <v>21765.391740425017</v>
      </c>
      <c r="I65" s="138">
        <v>8361.5556024510042</v>
      </c>
      <c r="J65" s="138">
        <v>2779.2261877332803</v>
      </c>
      <c r="K65" s="141">
        <f t="shared" ref="K65:K66" si="124">H65/G65</f>
        <v>0.23427282550917297</v>
      </c>
      <c r="L65" s="141">
        <f t="shared" ref="L65:L66" si="125">I65/G65</f>
        <v>9.0000000000000011E-2</v>
      </c>
      <c r="M65" s="141">
        <f t="shared" ref="M65:M66" si="126">J65/G65</f>
        <v>2.9914332785477754E-2</v>
      </c>
      <c r="N65" s="140">
        <f t="shared" ref="N65:N66" si="127">G65-H65-I65-J65</f>
        <v>59999.999829957393</v>
      </c>
      <c r="AA65" s="139"/>
      <c r="AB65" s="139"/>
      <c r="AC65" s="139"/>
      <c r="AD65" s="139"/>
      <c r="AE65" s="139"/>
      <c r="AG65" s="139"/>
      <c r="AI65" s="139"/>
      <c r="AJ65" s="139"/>
      <c r="AK65" s="139"/>
    </row>
    <row r="66" spans="1:37" s="138" customFormat="1" ht="30" hidden="1" x14ac:dyDescent="0.25">
      <c r="A66" s="138" t="s">
        <v>56</v>
      </c>
      <c r="B66" s="138">
        <v>2022</v>
      </c>
      <c r="C66" s="138" t="s">
        <v>335</v>
      </c>
      <c r="D66" s="138" t="s">
        <v>9</v>
      </c>
      <c r="E66" s="138" t="s">
        <v>12</v>
      </c>
      <c r="F66" s="138" t="s">
        <v>30</v>
      </c>
      <c r="G66" s="138">
        <v>887107.14457809541</v>
      </c>
      <c r="H66" s="138">
        <v>169511.28898937002</v>
      </c>
      <c r="I66" s="138">
        <v>79839.643012028551</v>
      </c>
      <c r="J66" s="138">
        <v>19041.52786511571</v>
      </c>
      <c r="K66" s="141">
        <f t="shared" si="124"/>
        <v>0.19108321923163959</v>
      </c>
      <c r="L66" s="141">
        <f t="shared" si="125"/>
        <v>8.9999999999999955E-2</v>
      </c>
      <c r="M66" s="141">
        <f t="shared" si="126"/>
        <v>2.1464744119687802E-2</v>
      </c>
      <c r="N66" s="140">
        <f t="shared" si="127"/>
        <v>618714.68471158121</v>
      </c>
      <c r="AA66" s="139"/>
      <c r="AB66" s="139"/>
      <c r="AC66" s="139"/>
      <c r="AD66" s="139"/>
      <c r="AE66" s="139"/>
      <c r="AG66" s="139"/>
      <c r="AI66" s="139"/>
      <c r="AJ66" s="139"/>
      <c r="AK66" s="139"/>
    </row>
    <row r="67" spans="1:37" s="138" customFormat="1" ht="30" hidden="1" x14ac:dyDescent="0.25">
      <c r="A67" s="138" t="s">
        <v>56</v>
      </c>
      <c r="B67" s="138">
        <v>2022</v>
      </c>
      <c r="C67" s="138" t="s">
        <v>335</v>
      </c>
      <c r="D67" s="138" t="s">
        <v>4</v>
      </c>
      <c r="E67" s="138" t="s">
        <v>5</v>
      </c>
      <c r="F67" s="138" t="s">
        <v>27</v>
      </c>
      <c r="G67" s="138">
        <v>128960.3</v>
      </c>
      <c r="H67" s="138">
        <v>24651.942499999997</v>
      </c>
      <c r="I67" s="138">
        <v>11606.427</v>
      </c>
      <c r="J67" s="138">
        <v>1289.6100000000001</v>
      </c>
      <c r="K67" s="141">
        <f t="shared" ref="K67:K68" si="128">H67/G67</f>
        <v>0.19115915905902822</v>
      </c>
      <c r="L67" s="141">
        <f t="shared" ref="L67:L68" si="129">I67/G67</f>
        <v>0.09</v>
      </c>
      <c r="M67" s="141">
        <f t="shared" ref="M67:M68" si="130">J67/G67</f>
        <v>1.0000054280270751E-2</v>
      </c>
      <c r="N67" s="140">
        <f t="shared" ref="N67:N68" si="131">G67-H67-I67-J67</f>
        <v>91412.320500000016</v>
      </c>
      <c r="AA67" s="139"/>
      <c r="AB67" s="139"/>
      <c r="AC67" s="139"/>
      <c r="AD67" s="139"/>
      <c r="AE67" s="139"/>
      <c r="AG67" s="139"/>
      <c r="AI67" s="139"/>
      <c r="AJ67" s="139"/>
      <c r="AK67" s="139"/>
    </row>
    <row r="68" spans="1:37" s="138" customFormat="1" ht="30" hidden="1" x14ac:dyDescent="0.25">
      <c r="A68" s="138" t="s">
        <v>56</v>
      </c>
      <c r="B68" s="138">
        <v>2022</v>
      </c>
      <c r="C68" s="138" t="s">
        <v>335</v>
      </c>
      <c r="D68" s="138" t="s">
        <v>4</v>
      </c>
      <c r="E68" s="138" t="s">
        <v>7</v>
      </c>
      <c r="F68" s="138" t="s">
        <v>28</v>
      </c>
      <c r="K68" s="141" t="e">
        <f t="shared" si="128"/>
        <v>#DIV/0!</v>
      </c>
      <c r="L68" s="141" t="e">
        <f t="shared" si="129"/>
        <v>#DIV/0!</v>
      </c>
      <c r="M68" s="141" t="e">
        <f t="shared" si="130"/>
        <v>#DIV/0!</v>
      </c>
      <c r="N68" s="140">
        <f t="shared" si="131"/>
        <v>0</v>
      </c>
      <c r="AA68" s="139"/>
      <c r="AB68" s="139"/>
      <c r="AC68" s="139"/>
      <c r="AD68" s="139"/>
      <c r="AE68" s="139"/>
      <c r="AG68" s="139"/>
      <c r="AI68" s="139"/>
      <c r="AJ68" s="139"/>
      <c r="AK68" s="139"/>
    </row>
    <row r="69" spans="1:37" s="138" customFormat="1" ht="30" hidden="1" x14ac:dyDescent="0.25">
      <c r="A69" s="138" t="s">
        <v>55</v>
      </c>
      <c r="B69" s="138">
        <v>2022</v>
      </c>
      <c r="C69" s="138" t="s">
        <v>335</v>
      </c>
      <c r="D69" s="138" t="s">
        <v>4</v>
      </c>
      <c r="E69" s="138" t="s">
        <v>5</v>
      </c>
      <c r="F69" s="138" t="s">
        <v>27</v>
      </c>
      <c r="G69" s="138">
        <v>43629.290800000002</v>
      </c>
      <c r="H69" s="138">
        <v>7663.2726600000005</v>
      </c>
      <c r="I69" s="138">
        <v>3926.6361719999995</v>
      </c>
      <c r="J69" s="138">
        <v>1090.5999999999999</v>
      </c>
      <c r="K69" s="141">
        <f t="shared" ref="K69:K70" si="132">H69/G69</f>
        <v>0.17564513471303092</v>
      </c>
      <c r="L69" s="141">
        <f t="shared" ref="L69:L70" si="133">I69/G69</f>
        <v>8.9999999999999983E-2</v>
      </c>
      <c r="M69" s="141">
        <f t="shared" ref="M69:M70" si="134">J69/G69</f>
        <v>2.4996968321107798E-2</v>
      </c>
      <c r="N69" s="140">
        <f t="shared" ref="N69:N70" si="135">G69-H69-I69-J69</f>
        <v>30948.781968000003</v>
      </c>
      <c r="AA69" s="139"/>
      <c r="AB69" s="139"/>
      <c r="AC69" s="139"/>
      <c r="AD69" s="139"/>
      <c r="AE69" s="139"/>
      <c r="AG69" s="139"/>
      <c r="AI69" s="139"/>
      <c r="AJ69" s="139"/>
      <c r="AK69" s="139"/>
    </row>
    <row r="70" spans="1:37" s="138" customFormat="1" ht="30" hidden="1" x14ac:dyDescent="0.25">
      <c r="A70" s="138" t="s">
        <v>55</v>
      </c>
      <c r="B70" s="138">
        <v>2022</v>
      </c>
      <c r="C70" s="138" t="s">
        <v>335</v>
      </c>
      <c r="D70" s="138" t="s">
        <v>4</v>
      </c>
      <c r="E70" s="138" t="s">
        <v>7</v>
      </c>
      <c r="F70" s="138" t="s">
        <v>28</v>
      </c>
      <c r="K70" s="141" t="e">
        <f t="shared" si="132"/>
        <v>#DIV/0!</v>
      </c>
      <c r="L70" s="141" t="e">
        <f t="shared" si="133"/>
        <v>#DIV/0!</v>
      </c>
      <c r="M70" s="141" t="e">
        <f t="shared" si="134"/>
        <v>#DIV/0!</v>
      </c>
      <c r="N70" s="140">
        <f t="shared" si="135"/>
        <v>0</v>
      </c>
      <c r="AA70" s="139"/>
      <c r="AB70" s="139"/>
      <c r="AC70" s="139"/>
      <c r="AD70" s="139"/>
      <c r="AE70" s="139"/>
      <c r="AG70" s="139"/>
      <c r="AI70" s="139"/>
      <c r="AJ70" s="139"/>
      <c r="AK70" s="139"/>
    </row>
    <row r="71" spans="1:37" s="138" customFormat="1" ht="30" hidden="1" x14ac:dyDescent="0.25">
      <c r="A71" s="138" t="s">
        <v>56</v>
      </c>
      <c r="B71" s="138">
        <v>2022</v>
      </c>
      <c r="C71" s="138" t="s">
        <v>334</v>
      </c>
      <c r="D71" s="138" t="s">
        <v>24</v>
      </c>
      <c r="E71" s="138" t="s">
        <v>25</v>
      </c>
      <c r="F71" s="138" t="s">
        <v>23</v>
      </c>
      <c r="G71" s="138">
        <v>1794.8608974103329</v>
      </c>
      <c r="H71" s="138">
        <v>358.97217948206662</v>
      </c>
      <c r="I71" s="138">
        <v>179.48608974103331</v>
      </c>
      <c r="J71" s="138">
        <v>5.4021694093616475</v>
      </c>
      <c r="K71" s="141">
        <f t="shared" ref="K71:K72" si="136">H71/G71</f>
        <v>0.20000000000000004</v>
      </c>
      <c r="L71" s="141">
        <f t="shared" ref="L71:L72" si="137">I71/G71</f>
        <v>0.10000000000000002</v>
      </c>
      <c r="M71" s="141">
        <f t="shared" ref="M71:M72" si="138">J71/G71</f>
        <v>3.0097983733201961E-3</v>
      </c>
      <c r="N71" s="140">
        <f t="shared" ref="N71:N72" si="139">G71-H71-I71-J71</f>
        <v>1251.0004587778712</v>
      </c>
      <c r="AA71" s="139"/>
      <c r="AB71" s="139"/>
      <c r="AC71" s="139"/>
      <c r="AD71" s="139"/>
      <c r="AE71" s="139"/>
      <c r="AG71" s="139"/>
      <c r="AI71" s="139"/>
      <c r="AJ71" s="139"/>
      <c r="AK71" s="139"/>
    </row>
    <row r="72" spans="1:37" s="138" customFormat="1" ht="15" hidden="1" x14ac:dyDescent="0.25">
      <c r="A72" s="138" t="s">
        <v>332</v>
      </c>
      <c r="B72" s="138" t="s">
        <v>332</v>
      </c>
      <c r="C72" s="138" t="s">
        <v>332</v>
      </c>
      <c r="D72" s="138" t="s">
        <v>332</v>
      </c>
      <c r="E72" s="138" t="s">
        <v>332</v>
      </c>
      <c r="F72" s="138" t="s">
        <v>332</v>
      </c>
      <c r="K72" s="141" t="e">
        <f t="shared" si="136"/>
        <v>#DIV/0!</v>
      </c>
      <c r="L72" s="141" t="e">
        <f t="shared" si="137"/>
        <v>#DIV/0!</v>
      </c>
      <c r="M72" s="141" t="e">
        <f t="shared" si="138"/>
        <v>#DIV/0!</v>
      </c>
      <c r="N72" s="140">
        <f t="shared" si="139"/>
        <v>0</v>
      </c>
      <c r="AA72" s="139"/>
      <c r="AB72" s="139"/>
      <c r="AC72" s="139"/>
      <c r="AD72" s="139"/>
      <c r="AE72" s="139"/>
      <c r="AG72" s="139"/>
      <c r="AI72" s="139"/>
      <c r="AJ72" s="139"/>
      <c r="AK72" s="139"/>
    </row>
    <row r="73" spans="1:37" s="138" customFormat="1" ht="30" hidden="1" x14ac:dyDescent="0.25">
      <c r="A73" s="138" t="s">
        <v>56</v>
      </c>
      <c r="B73" s="138">
        <v>2022</v>
      </c>
      <c r="C73" s="138" t="s">
        <v>334</v>
      </c>
      <c r="D73" s="138" t="s">
        <v>1</v>
      </c>
      <c r="E73" s="138" t="s">
        <v>2</v>
      </c>
      <c r="F73" s="138" t="s">
        <v>18</v>
      </c>
      <c r="G73" s="138">
        <v>804.41038159035861</v>
      </c>
      <c r="H73" s="138">
        <v>201.10259539758965</v>
      </c>
      <c r="I73" s="138">
        <v>72.396934343132273</v>
      </c>
      <c r="J73" s="138">
        <v>8.0441026944585658</v>
      </c>
      <c r="K73" s="141">
        <f t="shared" ref="K73:K74" si="140">H73/G73</f>
        <v>0.25</v>
      </c>
      <c r="L73" s="141">
        <f t="shared" ref="L73:L74" si="141">I73/G73</f>
        <v>0.09</v>
      </c>
      <c r="M73" s="141">
        <f t="shared" ref="M73:M74" si="142">J73/G73</f>
        <v>9.9999986058794798E-3</v>
      </c>
      <c r="N73" s="140">
        <f t="shared" ref="N73:N74" si="143">G73-H73-I73-J73</f>
        <v>522.86674915517801</v>
      </c>
      <c r="AA73" s="139"/>
      <c r="AB73" s="139"/>
      <c r="AC73" s="139"/>
      <c r="AD73" s="139"/>
      <c r="AE73" s="139"/>
      <c r="AG73" s="139"/>
      <c r="AI73" s="139"/>
      <c r="AJ73" s="139"/>
      <c r="AK73" s="139"/>
    </row>
    <row r="74" spans="1:37" s="138" customFormat="1" ht="15" hidden="1" x14ac:dyDescent="0.25">
      <c r="A74" s="138" t="s">
        <v>332</v>
      </c>
      <c r="B74" s="138" t="s">
        <v>332</v>
      </c>
      <c r="C74" s="138" t="s">
        <v>332</v>
      </c>
      <c r="D74" s="138" t="s">
        <v>332</v>
      </c>
      <c r="E74" s="138" t="s">
        <v>332</v>
      </c>
      <c r="F74" s="138" t="s">
        <v>332</v>
      </c>
      <c r="K74" s="141" t="e">
        <f t="shared" si="140"/>
        <v>#DIV/0!</v>
      </c>
      <c r="L74" s="141" t="e">
        <f t="shared" si="141"/>
        <v>#DIV/0!</v>
      </c>
      <c r="M74" s="141" t="e">
        <f t="shared" si="142"/>
        <v>#DIV/0!</v>
      </c>
      <c r="N74" s="140">
        <f t="shared" si="143"/>
        <v>0</v>
      </c>
      <c r="AA74" s="139"/>
      <c r="AB74" s="139"/>
      <c r="AC74" s="139"/>
      <c r="AD74" s="139"/>
      <c r="AE74" s="139"/>
      <c r="AG74" s="139"/>
      <c r="AI74" s="139"/>
      <c r="AJ74" s="139"/>
      <c r="AK74" s="139"/>
    </row>
    <row r="75" spans="1:37" s="138" customFormat="1" ht="30" hidden="1" x14ac:dyDescent="0.25">
      <c r="A75" s="138" t="s">
        <v>56</v>
      </c>
      <c r="B75" s="138">
        <v>2022</v>
      </c>
      <c r="C75" s="138" t="s">
        <v>334</v>
      </c>
      <c r="D75" s="138" t="s">
        <v>9</v>
      </c>
      <c r="E75" s="138" t="s">
        <v>10</v>
      </c>
      <c r="F75" s="138" t="s">
        <v>21</v>
      </c>
      <c r="G75" s="138">
        <v>274.02852941176468</v>
      </c>
      <c r="H75" s="138">
        <v>54.805705882352939</v>
      </c>
      <c r="I75" s="138">
        <v>24.662567647058822</v>
      </c>
      <c r="J75" s="138">
        <v>0</v>
      </c>
      <c r="K75" s="141">
        <f t="shared" ref="K75:K76" si="144">H75/G75</f>
        <v>0.2</v>
      </c>
      <c r="L75" s="141">
        <f t="shared" ref="L75:L76" si="145">I75/G75</f>
        <v>0.09</v>
      </c>
      <c r="M75" s="141">
        <f t="shared" ref="M75:M76" si="146">J75/G75</f>
        <v>0</v>
      </c>
      <c r="N75" s="140">
        <f t="shared" ref="N75:N76" si="147">G75-H75-I75-J75</f>
        <v>194.56025588235292</v>
      </c>
      <c r="AA75" s="139"/>
      <c r="AB75" s="139"/>
      <c r="AC75" s="139"/>
      <c r="AD75" s="139"/>
      <c r="AE75" s="139"/>
      <c r="AG75" s="139"/>
      <c r="AI75" s="139"/>
      <c r="AJ75" s="139"/>
      <c r="AK75" s="139"/>
    </row>
    <row r="76" spans="1:37" s="138" customFormat="1" ht="30" hidden="1" x14ac:dyDescent="0.25">
      <c r="A76" s="138" t="s">
        <v>56</v>
      </c>
      <c r="B76" s="138">
        <v>2022</v>
      </c>
      <c r="C76" s="138" t="s">
        <v>334</v>
      </c>
      <c r="D76" s="138" t="s">
        <v>9</v>
      </c>
      <c r="E76" s="138" t="s">
        <v>12</v>
      </c>
      <c r="F76" s="138" t="s">
        <v>22</v>
      </c>
      <c r="G76" s="138">
        <v>18275.0318211665</v>
      </c>
      <c r="H76" s="138">
        <v>3272.4600675032075</v>
      </c>
      <c r="I76" s="138">
        <v>1644.7528639049845</v>
      </c>
      <c r="J76" s="138">
        <v>291.67999554197058</v>
      </c>
      <c r="K76" s="141">
        <f t="shared" si="144"/>
        <v>0.17906727055396862</v>
      </c>
      <c r="L76" s="141">
        <f t="shared" si="145"/>
        <v>8.9999999999999969E-2</v>
      </c>
      <c r="M76" s="141">
        <f t="shared" si="146"/>
        <v>1.5960573880048793E-2</v>
      </c>
      <c r="N76" s="140">
        <f t="shared" si="147"/>
        <v>13066.138894216338</v>
      </c>
      <c r="AA76" s="139"/>
      <c r="AB76" s="139"/>
      <c r="AC76" s="139"/>
      <c r="AD76" s="139"/>
      <c r="AE76" s="139"/>
      <c r="AG76" s="139"/>
      <c r="AI76" s="139"/>
      <c r="AJ76" s="139"/>
      <c r="AK76" s="139"/>
    </row>
    <row r="77" spans="1:37" s="138" customFormat="1" ht="30" hidden="1" x14ac:dyDescent="0.25">
      <c r="A77" s="138" t="s">
        <v>56</v>
      </c>
      <c r="B77" s="138">
        <v>2022</v>
      </c>
      <c r="C77" s="138">
        <v>2021</v>
      </c>
      <c r="D77" s="138" t="s">
        <v>4</v>
      </c>
      <c r="E77" s="138" t="s">
        <v>5</v>
      </c>
      <c r="F77" s="138" t="s">
        <v>19</v>
      </c>
      <c r="G77" s="138">
        <v>162.33804749999999</v>
      </c>
      <c r="H77" s="138">
        <v>85.601425500000005</v>
      </c>
      <c r="I77" s="138">
        <v>9.52</v>
      </c>
      <c r="J77" s="138">
        <v>693.67620750000015</v>
      </c>
      <c r="K77" s="141">
        <f t="shared" ref="K77:K78" si="148">H77/G77</f>
        <v>0.5273035299996448</v>
      </c>
      <c r="L77" s="141">
        <f t="shared" ref="L77:L78" si="149">I77/G77</f>
        <v>5.8643060863473796E-2</v>
      </c>
      <c r="M77" s="141">
        <f t="shared" ref="M77:M78" si="150">J77/G77</f>
        <v>4.2730352999964483</v>
      </c>
      <c r="N77" s="140">
        <f t="shared" ref="N77:N78" si="151">G77-H77-I77-J77</f>
        <v>-626.45958550000012</v>
      </c>
      <c r="AA77" s="139"/>
      <c r="AB77" s="139"/>
      <c r="AC77" s="139"/>
      <c r="AD77" s="139"/>
      <c r="AE77" s="139"/>
      <c r="AG77" s="139"/>
      <c r="AI77" s="139"/>
      <c r="AJ77" s="139"/>
      <c r="AK77" s="139"/>
    </row>
    <row r="78" spans="1:37" s="138" customFormat="1" ht="30" x14ac:dyDescent="0.25">
      <c r="A78" s="138" t="s">
        <v>56</v>
      </c>
      <c r="B78" s="138">
        <v>2022</v>
      </c>
      <c r="C78" s="138">
        <v>2021</v>
      </c>
      <c r="D78" s="138" t="s">
        <v>4</v>
      </c>
      <c r="E78" s="138" t="s">
        <v>7</v>
      </c>
      <c r="F78" s="138" t="s">
        <v>20</v>
      </c>
      <c r="K78" s="141" t="e">
        <f t="shared" si="148"/>
        <v>#DIV/0!</v>
      </c>
      <c r="L78" s="141" t="e">
        <f t="shared" si="149"/>
        <v>#DIV/0!</v>
      </c>
      <c r="M78" s="141" t="e">
        <f t="shared" si="150"/>
        <v>#DIV/0!</v>
      </c>
      <c r="N78" s="140">
        <f t="shared" si="151"/>
        <v>0</v>
      </c>
      <c r="AA78" s="139"/>
      <c r="AB78" s="139"/>
      <c r="AC78" s="139"/>
      <c r="AD78" s="139"/>
      <c r="AE78" s="139"/>
      <c r="AG78" s="139"/>
      <c r="AI78" s="139"/>
      <c r="AJ78" s="139"/>
      <c r="AK78" s="139"/>
    </row>
    <row r="79" spans="1:37" s="138" customFormat="1" ht="30" hidden="1" x14ac:dyDescent="0.25">
      <c r="A79" s="138" t="s">
        <v>56</v>
      </c>
      <c r="B79" s="138">
        <v>2022</v>
      </c>
      <c r="C79" s="138" t="s">
        <v>333</v>
      </c>
      <c r="D79" s="138" t="s">
        <v>1</v>
      </c>
      <c r="E79" s="138" t="s">
        <v>2</v>
      </c>
      <c r="F79" s="138" t="s">
        <v>13</v>
      </c>
      <c r="G79" s="138">
        <v>-51.658000000000008</v>
      </c>
      <c r="H79" s="138">
        <v>-7.7487000000000013</v>
      </c>
      <c r="I79" s="138">
        <v>-5.1658000000000008</v>
      </c>
      <c r="J79" s="138">
        <v>-0.92209530000000028</v>
      </c>
      <c r="K79" s="141">
        <f t="shared" ref="K79:K80" si="152">H79/G79</f>
        <v>0.15</v>
      </c>
      <c r="L79" s="141">
        <f t="shared" ref="L79:L80" si="153">I79/G79</f>
        <v>0.1</v>
      </c>
      <c r="M79" s="141">
        <f t="shared" ref="M79:M80" si="154">J79/G79</f>
        <v>1.7850000000000001E-2</v>
      </c>
      <c r="N79" s="140">
        <f t="shared" ref="N79:N80" si="155">G79-H79-I79-J79</f>
        <v>-37.821404700000009</v>
      </c>
      <c r="AA79" s="139"/>
      <c r="AB79" s="139"/>
      <c r="AC79" s="139"/>
      <c r="AD79" s="139"/>
      <c r="AE79" s="139"/>
      <c r="AG79" s="139"/>
      <c r="AI79" s="139"/>
      <c r="AJ79" s="139"/>
      <c r="AK79" s="139"/>
    </row>
    <row r="80" spans="1:37" s="138" customFormat="1" ht="15" hidden="1" x14ac:dyDescent="0.25">
      <c r="A80" s="138" t="s">
        <v>332</v>
      </c>
      <c r="B80" s="138" t="s">
        <v>332</v>
      </c>
      <c r="C80" s="138" t="s">
        <v>332</v>
      </c>
      <c r="D80" s="138" t="s">
        <v>332</v>
      </c>
      <c r="E80" s="138" t="s">
        <v>332</v>
      </c>
      <c r="F80" s="138" t="s">
        <v>332</v>
      </c>
      <c r="K80" s="141" t="e">
        <f t="shared" si="152"/>
        <v>#DIV/0!</v>
      </c>
      <c r="L80" s="141" t="e">
        <f t="shared" si="153"/>
        <v>#DIV/0!</v>
      </c>
      <c r="M80" s="141" t="e">
        <f t="shared" si="154"/>
        <v>#DIV/0!</v>
      </c>
      <c r="N80" s="140">
        <f t="shared" si="155"/>
        <v>0</v>
      </c>
      <c r="AA80" s="139"/>
      <c r="AB80" s="139"/>
      <c r="AC80" s="139"/>
      <c r="AD80" s="139"/>
      <c r="AE80" s="139"/>
      <c r="AG80" s="139"/>
      <c r="AI80" s="139"/>
      <c r="AJ80" s="139"/>
      <c r="AK80" s="139"/>
    </row>
    <row r="81" spans="1:37" s="138" customFormat="1" ht="30" hidden="1" x14ac:dyDescent="0.25">
      <c r="A81" s="138" t="s">
        <v>56</v>
      </c>
      <c r="B81" s="138">
        <v>2022</v>
      </c>
      <c r="C81" s="138" t="s">
        <v>333</v>
      </c>
      <c r="D81" s="138" t="s">
        <v>9</v>
      </c>
      <c r="E81" s="138" t="s">
        <v>10</v>
      </c>
      <c r="F81" s="138" t="s">
        <v>16</v>
      </c>
      <c r="G81" s="138">
        <v>19095.783040000002</v>
      </c>
      <c r="H81" s="138">
        <v>0</v>
      </c>
      <c r="I81" s="138">
        <v>1909.5783040000003</v>
      </c>
      <c r="J81" s="138">
        <v>0</v>
      </c>
      <c r="K81" s="141">
        <f t="shared" ref="K81:K82" si="156">H81/G81</f>
        <v>0</v>
      </c>
      <c r="L81" s="141">
        <f t="shared" ref="L81:L82" si="157">I81/G81</f>
        <v>0.1</v>
      </c>
      <c r="M81" s="141">
        <f t="shared" ref="M81:M82" si="158">J81/G81</f>
        <v>0</v>
      </c>
      <c r="N81" s="140">
        <f t="shared" ref="N81:N82" si="159">G81-H81-I81-J81</f>
        <v>17186.204736000003</v>
      </c>
      <c r="AA81" s="139"/>
      <c r="AB81" s="139"/>
      <c r="AC81" s="139"/>
      <c r="AD81" s="139"/>
      <c r="AE81" s="139"/>
      <c r="AG81" s="139"/>
      <c r="AI81" s="139"/>
      <c r="AJ81" s="139"/>
      <c r="AK81" s="139"/>
    </row>
    <row r="82" spans="1:37" s="138" customFormat="1" ht="30" hidden="1" x14ac:dyDescent="0.25">
      <c r="A82" s="138" t="s">
        <v>56</v>
      </c>
      <c r="B82" s="138">
        <v>2022</v>
      </c>
      <c r="C82" s="138" t="s">
        <v>333</v>
      </c>
      <c r="D82" s="138" t="s">
        <v>9</v>
      </c>
      <c r="E82" s="138" t="s">
        <v>12</v>
      </c>
      <c r="F82" s="138" t="s">
        <v>17</v>
      </c>
      <c r="G82" s="138">
        <v>506.77942566839829</v>
      </c>
      <c r="H82" s="138">
        <v>81.348146282813872</v>
      </c>
      <c r="I82" s="138">
        <v>50.677942566839832</v>
      </c>
      <c r="J82" s="138">
        <v>12.145800342180088</v>
      </c>
      <c r="K82" s="141">
        <f t="shared" si="156"/>
        <v>0.16051982808008178</v>
      </c>
      <c r="L82" s="141">
        <f t="shared" si="157"/>
        <v>0.1</v>
      </c>
      <c r="M82" s="141">
        <f t="shared" si="158"/>
        <v>2.396664056785815E-2</v>
      </c>
      <c r="N82" s="140">
        <f t="shared" si="159"/>
        <v>362.60753647656446</v>
      </c>
      <c r="AA82" s="139"/>
      <c r="AB82" s="139"/>
      <c r="AC82" s="139"/>
      <c r="AD82" s="139"/>
      <c r="AE82" s="139"/>
      <c r="AG82" s="139"/>
      <c r="AI82" s="139"/>
      <c r="AJ82" s="139"/>
      <c r="AK82" s="139"/>
    </row>
    <row r="83" spans="1:37" s="138" customFormat="1" ht="30" hidden="1" x14ac:dyDescent="0.25">
      <c r="A83" s="138" t="s">
        <v>56</v>
      </c>
      <c r="B83" s="138">
        <v>2022</v>
      </c>
      <c r="C83" s="138" t="s">
        <v>333</v>
      </c>
      <c r="D83" s="138" t="s">
        <v>4</v>
      </c>
      <c r="E83" s="138" t="s">
        <v>5</v>
      </c>
      <c r="F83" s="138" t="s">
        <v>14</v>
      </c>
      <c r="K83" s="141" t="e">
        <f t="shared" ref="K83:K84" si="160">H83/G83</f>
        <v>#DIV/0!</v>
      </c>
      <c r="L83" s="141" t="e">
        <f t="shared" ref="L83:L84" si="161">I83/G83</f>
        <v>#DIV/0!</v>
      </c>
      <c r="M83" s="141" t="e">
        <f t="shared" ref="M83:M84" si="162">J83/G83</f>
        <v>#DIV/0!</v>
      </c>
      <c r="N83" s="140">
        <f t="shared" ref="N83:N84" si="163">G83-H83-I83-J83</f>
        <v>0</v>
      </c>
      <c r="AA83" s="139"/>
      <c r="AB83" s="139"/>
      <c r="AC83" s="139"/>
      <c r="AD83" s="139"/>
      <c r="AE83" s="139"/>
      <c r="AG83" s="139"/>
      <c r="AI83" s="139"/>
      <c r="AJ83" s="139"/>
      <c r="AK83" s="139"/>
    </row>
    <row r="84" spans="1:37" s="138" customFormat="1" ht="30" hidden="1" x14ac:dyDescent="0.25">
      <c r="A84" s="138" t="s">
        <v>56</v>
      </c>
      <c r="B84" s="138">
        <v>2022</v>
      </c>
      <c r="C84" s="138" t="s">
        <v>333</v>
      </c>
      <c r="D84" s="138" t="s">
        <v>4</v>
      </c>
      <c r="E84" s="138" t="s">
        <v>7</v>
      </c>
      <c r="F84" s="138" t="s">
        <v>15</v>
      </c>
      <c r="K84" s="141" t="e">
        <f t="shared" si="160"/>
        <v>#DIV/0!</v>
      </c>
      <c r="L84" s="141" t="e">
        <f t="shared" si="161"/>
        <v>#DIV/0!</v>
      </c>
      <c r="M84" s="141" t="e">
        <f t="shared" si="162"/>
        <v>#DIV/0!</v>
      </c>
      <c r="N84" s="140">
        <f t="shared" si="163"/>
        <v>0</v>
      </c>
      <c r="AA84" s="139"/>
      <c r="AB84" s="139"/>
      <c r="AC84" s="139"/>
      <c r="AD84" s="139"/>
      <c r="AE84" s="139"/>
      <c r="AG84" s="139"/>
      <c r="AI84" s="139"/>
      <c r="AJ84" s="139"/>
      <c r="AK84" s="139"/>
    </row>
    <row r="85" spans="1:37" s="138" customFormat="1" ht="30" hidden="1" x14ac:dyDescent="0.25">
      <c r="A85" s="138" t="s">
        <v>56</v>
      </c>
      <c r="B85" s="138">
        <v>2022</v>
      </c>
      <c r="C85" s="138" t="s">
        <v>331</v>
      </c>
      <c r="D85" s="138" t="s">
        <v>1</v>
      </c>
      <c r="E85" s="138" t="s">
        <v>2</v>
      </c>
      <c r="F85" s="138" t="s">
        <v>0</v>
      </c>
      <c r="K85" s="141" t="e">
        <f t="shared" ref="K85:K86" si="164">H85/G85</f>
        <v>#DIV/0!</v>
      </c>
      <c r="L85" s="141" t="e">
        <f t="shared" ref="L85:L86" si="165">I85/G85</f>
        <v>#DIV/0!</v>
      </c>
      <c r="M85" s="141" t="e">
        <f t="shared" ref="M85:M86" si="166">J85/G85</f>
        <v>#DIV/0!</v>
      </c>
      <c r="N85" s="140">
        <f t="shared" ref="N85:N86" si="167">G85-H85-I85-J85</f>
        <v>0</v>
      </c>
      <c r="AA85" s="139"/>
      <c r="AB85" s="139"/>
      <c r="AC85" s="139"/>
      <c r="AD85" s="139"/>
      <c r="AE85" s="139"/>
      <c r="AG85" s="139"/>
      <c r="AI85" s="139"/>
      <c r="AJ85" s="139"/>
      <c r="AK85" s="139"/>
    </row>
    <row r="86" spans="1:37" s="138" customFormat="1" ht="15" hidden="1" x14ac:dyDescent="0.25">
      <c r="A86" s="138" t="s">
        <v>332</v>
      </c>
      <c r="B86" s="138" t="s">
        <v>332</v>
      </c>
      <c r="C86" s="138" t="s">
        <v>332</v>
      </c>
      <c r="D86" s="138" t="s">
        <v>332</v>
      </c>
      <c r="E86" s="138" t="s">
        <v>332</v>
      </c>
      <c r="F86" s="138" t="s">
        <v>332</v>
      </c>
      <c r="K86" s="141" t="e">
        <f t="shared" si="164"/>
        <v>#DIV/0!</v>
      </c>
      <c r="L86" s="141" t="e">
        <f t="shared" si="165"/>
        <v>#DIV/0!</v>
      </c>
      <c r="M86" s="141" t="e">
        <f t="shared" si="166"/>
        <v>#DIV/0!</v>
      </c>
      <c r="N86" s="140">
        <f t="shared" si="167"/>
        <v>0</v>
      </c>
      <c r="AA86" s="139"/>
      <c r="AB86" s="139"/>
      <c r="AC86" s="139"/>
      <c r="AD86" s="139"/>
      <c r="AE86" s="139"/>
      <c r="AG86" s="139"/>
      <c r="AI86" s="139"/>
      <c r="AJ86" s="139"/>
      <c r="AK86" s="139"/>
    </row>
    <row r="87" spans="1:37" s="138" customFormat="1" ht="30" hidden="1" x14ac:dyDescent="0.25">
      <c r="A87" s="138" t="s">
        <v>56</v>
      </c>
      <c r="B87" s="138">
        <v>2022</v>
      </c>
      <c r="C87" s="138" t="s">
        <v>331</v>
      </c>
      <c r="D87" s="138" t="s">
        <v>9</v>
      </c>
      <c r="E87" s="138" t="s">
        <v>10</v>
      </c>
      <c r="F87" s="138" t="s">
        <v>8</v>
      </c>
      <c r="K87" s="141" t="e">
        <f t="shared" ref="K87:K88" si="168">H87/G87</f>
        <v>#DIV/0!</v>
      </c>
      <c r="L87" s="141" t="e">
        <f t="shared" ref="L87:L88" si="169">I87/G87</f>
        <v>#DIV/0!</v>
      </c>
      <c r="M87" s="141" t="e">
        <f t="shared" ref="M87:M88" si="170">J87/G87</f>
        <v>#DIV/0!</v>
      </c>
      <c r="N87" s="140">
        <f t="shared" ref="N87:N88" si="171">G87-H87-I87-J87</f>
        <v>0</v>
      </c>
      <c r="AA87" s="139"/>
      <c r="AB87" s="139"/>
      <c r="AC87" s="139"/>
      <c r="AD87" s="139"/>
      <c r="AE87" s="139"/>
      <c r="AG87" s="139"/>
      <c r="AI87" s="139"/>
      <c r="AJ87" s="139"/>
      <c r="AK87" s="139"/>
    </row>
    <row r="88" spans="1:37" s="138" customFormat="1" ht="30" hidden="1" x14ac:dyDescent="0.25">
      <c r="A88" s="138" t="s">
        <v>56</v>
      </c>
      <c r="B88" s="138">
        <v>2022</v>
      </c>
      <c r="C88" s="138" t="s">
        <v>331</v>
      </c>
      <c r="D88" s="138" t="s">
        <v>9</v>
      </c>
      <c r="E88" s="138" t="s">
        <v>12</v>
      </c>
      <c r="F88" s="138" t="s">
        <v>11</v>
      </c>
      <c r="G88" s="138">
        <v>-287.08054201526937</v>
      </c>
      <c r="H88" s="138">
        <v>-35.885067751908672</v>
      </c>
      <c r="I88" s="138">
        <v>-35.885067751908672</v>
      </c>
      <c r="J88" s="138">
        <v>-6.6736590482230396</v>
      </c>
      <c r="K88" s="141">
        <f t="shared" si="168"/>
        <v>0.125</v>
      </c>
      <c r="L88" s="141">
        <f t="shared" si="169"/>
        <v>0.125</v>
      </c>
      <c r="M88" s="141">
        <f t="shared" si="170"/>
        <v>2.3246643612189078E-2</v>
      </c>
      <c r="N88" s="140">
        <f t="shared" si="171"/>
        <v>-208.63674746322897</v>
      </c>
      <c r="AA88" s="139"/>
      <c r="AB88" s="139"/>
      <c r="AC88" s="139"/>
      <c r="AD88" s="139"/>
      <c r="AE88" s="139"/>
      <c r="AG88" s="139"/>
      <c r="AI88" s="139"/>
      <c r="AJ88" s="139"/>
      <c r="AK88" s="139"/>
    </row>
    <row r="89" spans="1:37" s="138" customFormat="1" ht="30" hidden="1" x14ac:dyDescent="0.25">
      <c r="A89" s="138" t="s">
        <v>56</v>
      </c>
      <c r="B89" s="138">
        <v>2022</v>
      </c>
      <c r="C89" s="138" t="s">
        <v>331</v>
      </c>
      <c r="D89" s="138" t="s">
        <v>4</v>
      </c>
      <c r="E89" s="138" t="s">
        <v>5</v>
      </c>
      <c r="F89" s="138" t="s">
        <v>3</v>
      </c>
      <c r="K89" s="141" t="e">
        <f t="shared" ref="K89:K90" si="172">H89/G89</f>
        <v>#DIV/0!</v>
      </c>
      <c r="L89" s="141" t="e">
        <f t="shared" ref="L89:L90" si="173">I89/G89</f>
        <v>#DIV/0!</v>
      </c>
      <c r="M89" s="141" t="e">
        <f t="shared" ref="M89:M90" si="174">J89/G89</f>
        <v>#DIV/0!</v>
      </c>
      <c r="N89" s="140">
        <f t="shared" ref="N89:N90" si="175">G89-H89-I89-J89</f>
        <v>0</v>
      </c>
      <c r="AA89" s="139"/>
      <c r="AB89" s="139"/>
      <c r="AC89" s="139"/>
      <c r="AD89" s="139"/>
      <c r="AE89" s="139"/>
      <c r="AG89" s="139"/>
      <c r="AI89" s="139"/>
      <c r="AJ89" s="139"/>
      <c r="AK89" s="139"/>
    </row>
    <row r="90" spans="1:37" s="138" customFormat="1" ht="30" hidden="1" x14ac:dyDescent="0.25">
      <c r="A90" s="138" t="s">
        <v>56</v>
      </c>
      <c r="B90" s="138">
        <v>2022</v>
      </c>
      <c r="C90" s="138" t="s">
        <v>331</v>
      </c>
      <c r="D90" s="138" t="s">
        <v>4</v>
      </c>
      <c r="E90" s="138" t="s">
        <v>7</v>
      </c>
      <c r="F90" s="138" t="s">
        <v>6</v>
      </c>
      <c r="G90" s="138">
        <v>0</v>
      </c>
      <c r="H90" s="138">
        <v>0</v>
      </c>
      <c r="I90" s="138">
        <v>0</v>
      </c>
      <c r="J90" s="138">
        <v>0</v>
      </c>
      <c r="K90" s="141" t="e">
        <f t="shared" si="172"/>
        <v>#DIV/0!</v>
      </c>
      <c r="L90" s="141" t="e">
        <f t="shared" si="173"/>
        <v>#DIV/0!</v>
      </c>
      <c r="M90" s="141" t="e">
        <f t="shared" si="174"/>
        <v>#DIV/0!</v>
      </c>
      <c r="N90" s="140">
        <f t="shared" si="175"/>
        <v>0</v>
      </c>
      <c r="AA90" s="139"/>
      <c r="AB90" s="139"/>
      <c r="AC90" s="139"/>
      <c r="AD90" s="139"/>
      <c r="AE90" s="139"/>
      <c r="AG90" s="139"/>
      <c r="AI90" s="139"/>
      <c r="AJ90" s="139"/>
      <c r="AK90" s="139"/>
    </row>
    <row r="91" spans="1:37" s="138" customFormat="1" ht="30" hidden="1" x14ac:dyDescent="0.25">
      <c r="A91" s="138" t="s">
        <v>53</v>
      </c>
      <c r="B91" s="138">
        <v>2022</v>
      </c>
      <c r="C91" s="138" t="s">
        <v>335</v>
      </c>
      <c r="D91" s="138" t="s">
        <v>1</v>
      </c>
      <c r="E91" s="138" t="s">
        <v>2</v>
      </c>
      <c r="F91" s="138" t="s">
        <v>26</v>
      </c>
      <c r="G91" s="138">
        <v>16420.774971804873</v>
      </c>
      <c r="H91" s="138">
        <v>2473.9347622647997</v>
      </c>
      <c r="I91" s="138">
        <v>1477.8697474624387</v>
      </c>
      <c r="J91" s="138">
        <v>376.64804113991232</v>
      </c>
      <c r="K91" s="141">
        <f t="shared" ref="K91:K92" si="176">H91/G91</f>
        <v>0.15065883105472455</v>
      </c>
      <c r="L91" s="141">
        <f t="shared" ref="L91:L92" si="177">I91/G91</f>
        <v>9.0000000000000011E-2</v>
      </c>
      <c r="M91" s="141">
        <f t="shared" ref="M91:M92" si="178">J91/G91</f>
        <v>2.2937287782496995E-2</v>
      </c>
      <c r="N91" s="140">
        <f t="shared" ref="N91:N92" si="179">G91-H91-I91-J91</f>
        <v>12092.322420937722</v>
      </c>
      <c r="AA91" s="139"/>
      <c r="AB91" s="139"/>
      <c r="AC91" s="139"/>
      <c r="AD91" s="139"/>
      <c r="AE91" s="139"/>
      <c r="AG91" s="139"/>
      <c r="AI91" s="139"/>
      <c r="AJ91" s="139"/>
      <c r="AK91" s="139"/>
    </row>
    <row r="92" spans="1:37" s="138" customFormat="1" ht="15" hidden="1" x14ac:dyDescent="0.25">
      <c r="A92" s="138" t="s">
        <v>332</v>
      </c>
      <c r="B92" s="138" t="s">
        <v>332</v>
      </c>
      <c r="C92" s="138" t="s">
        <v>332</v>
      </c>
      <c r="D92" s="138" t="s">
        <v>332</v>
      </c>
      <c r="E92" s="138" t="s">
        <v>332</v>
      </c>
      <c r="F92" s="138" t="s">
        <v>332</v>
      </c>
      <c r="K92" s="141" t="e">
        <f t="shared" si="176"/>
        <v>#DIV/0!</v>
      </c>
      <c r="L92" s="141" t="e">
        <f t="shared" si="177"/>
        <v>#DIV/0!</v>
      </c>
      <c r="M92" s="141" t="e">
        <f t="shared" si="178"/>
        <v>#DIV/0!</v>
      </c>
      <c r="N92" s="140">
        <f t="shared" si="179"/>
        <v>0</v>
      </c>
      <c r="AA92" s="139"/>
      <c r="AB92" s="139"/>
      <c r="AC92" s="139"/>
      <c r="AD92" s="139"/>
      <c r="AE92" s="139"/>
      <c r="AG92" s="139"/>
      <c r="AI92" s="139"/>
      <c r="AJ92" s="139"/>
      <c r="AK92" s="139"/>
    </row>
    <row r="93" spans="1:37" s="138" customFormat="1" ht="30" hidden="1" x14ac:dyDescent="0.25">
      <c r="A93" t="s">
        <v>55</v>
      </c>
      <c r="B93" s="138">
        <v>2022</v>
      </c>
      <c r="C93" s="138" t="s">
        <v>335</v>
      </c>
      <c r="D93" s="138" t="s">
        <v>1</v>
      </c>
      <c r="E93" s="138" t="s">
        <v>2</v>
      </c>
      <c r="F93" s="138" t="s">
        <v>26</v>
      </c>
      <c r="G93" s="138">
        <v>50848.82239999999</v>
      </c>
      <c r="H93" s="138">
        <v>9152.7880319999986</v>
      </c>
      <c r="I93" s="138">
        <v>4576.3940159999993</v>
      </c>
      <c r="J93" s="138">
        <v>875.62</v>
      </c>
      <c r="K93" s="141">
        <f t="shared" ref="K93:K94" si="180">H93/G93</f>
        <v>0.18</v>
      </c>
      <c r="L93" s="141">
        <f t="shared" ref="L93:L94" si="181">I93/G93</f>
        <v>0.09</v>
      </c>
      <c r="M93" s="141">
        <f t="shared" ref="M93:M94" si="182">J93/G93</f>
        <v>1.7220064470952236E-2</v>
      </c>
      <c r="N93" s="140">
        <f t="shared" ref="N93:N94" si="183">G93-H93-I93-J93</f>
        <v>36244.020351999992</v>
      </c>
      <c r="AA93" s="139"/>
      <c r="AB93" s="139"/>
      <c r="AC93" s="139"/>
      <c r="AD93" s="139"/>
      <c r="AE93" s="139"/>
      <c r="AG93" s="139"/>
      <c r="AI93" s="139"/>
      <c r="AJ93" s="139"/>
      <c r="AK93" s="139"/>
    </row>
    <row r="94" spans="1:37" s="138" customFormat="1" ht="15" hidden="1" x14ac:dyDescent="0.25">
      <c r="A94" s="138" t="s">
        <v>332</v>
      </c>
      <c r="B94" s="138" t="s">
        <v>332</v>
      </c>
      <c r="C94" s="138" t="s">
        <v>332</v>
      </c>
      <c r="D94" s="138" t="s">
        <v>332</v>
      </c>
      <c r="E94" s="138" t="s">
        <v>332</v>
      </c>
      <c r="F94" s="138" t="s">
        <v>332</v>
      </c>
      <c r="K94" s="141" t="e">
        <f t="shared" si="180"/>
        <v>#DIV/0!</v>
      </c>
      <c r="L94" s="141" t="e">
        <f t="shared" si="181"/>
        <v>#DIV/0!</v>
      </c>
      <c r="M94" s="141" t="e">
        <f t="shared" si="182"/>
        <v>#DIV/0!</v>
      </c>
      <c r="N94" s="140">
        <f t="shared" si="183"/>
        <v>0</v>
      </c>
      <c r="AA94" s="139"/>
      <c r="AB94" s="139"/>
      <c r="AC94" s="139"/>
      <c r="AD94" s="139"/>
      <c r="AE94" s="139"/>
      <c r="AG94" s="139"/>
      <c r="AI94" s="139"/>
      <c r="AJ94" s="139"/>
      <c r="AK94" s="139"/>
    </row>
    <row r="95" spans="1:37" s="138" customFormat="1" ht="30" hidden="1" x14ac:dyDescent="0.25">
      <c r="A95" s="138" t="s">
        <v>54</v>
      </c>
      <c r="B95" s="138">
        <v>2022</v>
      </c>
      <c r="C95" s="138" t="s">
        <v>335</v>
      </c>
      <c r="D95" s="138" t="s">
        <v>1</v>
      </c>
      <c r="E95" s="138" t="s">
        <v>2</v>
      </c>
      <c r="F95" s="138" t="s">
        <v>26</v>
      </c>
      <c r="K95" s="141" t="e">
        <f t="shared" ref="K95:K96" si="184">H95/G95</f>
        <v>#DIV/0!</v>
      </c>
      <c r="L95" s="141" t="e">
        <f t="shared" ref="L95:L96" si="185">I95/G95</f>
        <v>#DIV/0!</v>
      </c>
      <c r="M95" s="141" t="e">
        <f t="shared" ref="M95:M96" si="186">J95/G95</f>
        <v>#DIV/0!</v>
      </c>
      <c r="N95" s="140">
        <f t="shared" ref="N95:N96" si="187">G95-H95-I95-J95</f>
        <v>0</v>
      </c>
      <c r="AA95" s="139"/>
      <c r="AB95" s="139"/>
      <c r="AC95" s="139"/>
      <c r="AD95" s="139"/>
      <c r="AE95" s="139"/>
      <c r="AG95" s="139"/>
      <c r="AI95" s="139"/>
      <c r="AJ95" s="139"/>
      <c r="AK95" s="139"/>
    </row>
    <row r="96" spans="1:37" s="138" customFormat="1" ht="15" hidden="1" x14ac:dyDescent="0.25">
      <c r="A96" s="138" t="s">
        <v>332</v>
      </c>
      <c r="B96" s="138" t="s">
        <v>332</v>
      </c>
      <c r="C96" s="138" t="s">
        <v>332</v>
      </c>
      <c r="D96" s="138" t="s">
        <v>332</v>
      </c>
      <c r="E96" s="138" t="s">
        <v>332</v>
      </c>
      <c r="F96" s="138" t="s">
        <v>332</v>
      </c>
      <c r="K96" s="141" t="e">
        <f t="shared" si="184"/>
        <v>#DIV/0!</v>
      </c>
      <c r="L96" s="141" t="e">
        <f t="shared" si="185"/>
        <v>#DIV/0!</v>
      </c>
      <c r="M96" s="141" t="e">
        <f t="shared" si="186"/>
        <v>#DIV/0!</v>
      </c>
      <c r="N96" s="140">
        <f t="shared" si="187"/>
        <v>0</v>
      </c>
      <c r="AA96" s="139"/>
      <c r="AB96" s="139"/>
      <c r="AC96" s="139"/>
      <c r="AD96" s="139"/>
      <c r="AE96" s="139"/>
      <c r="AG96" s="139"/>
      <c r="AI96" s="139"/>
      <c r="AJ96" s="139"/>
      <c r="AK96" s="139"/>
    </row>
    <row r="97" spans="1:37" s="138" customFormat="1" ht="30" hidden="1" x14ac:dyDescent="0.25">
      <c r="A97" s="138" t="s">
        <v>53</v>
      </c>
      <c r="B97" s="138">
        <v>2022</v>
      </c>
      <c r="C97" s="138" t="s">
        <v>335</v>
      </c>
      <c r="D97" s="138" t="s">
        <v>1</v>
      </c>
      <c r="E97" s="138" t="s">
        <v>2</v>
      </c>
      <c r="F97" s="138" t="s">
        <v>26</v>
      </c>
      <c r="G97" s="138">
        <v>2473.9347622647997</v>
      </c>
      <c r="H97" s="138">
        <v>1477.8697474624387</v>
      </c>
      <c r="I97" s="138">
        <v>376.64804113991232</v>
      </c>
      <c r="J97" s="138">
        <v>12092.32242093772</v>
      </c>
      <c r="K97" s="141">
        <f t="shared" ref="K97:K98" si="188">H97/G97</f>
        <v>0.59737620005367531</v>
      </c>
      <c r="L97" s="141">
        <f t="shared" ref="L97:L98" si="189">I97/G97</f>
        <v>0.15224655350050717</v>
      </c>
      <c r="M97" s="141">
        <f t="shared" ref="M97:M98" si="190">J97/G97</f>
        <v>4.8878905803755419</v>
      </c>
      <c r="N97" s="140">
        <f t="shared" ref="N97:N98" si="191">G97-H97-I97-J97</f>
        <v>-11472.905447275272</v>
      </c>
      <c r="AA97" s="139"/>
      <c r="AB97" s="139"/>
      <c r="AC97" s="139"/>
      <c r="AD97" s="139"/>
      <c r="AE97" s="139"/>
      <c r="AG97" s="139"/>
      <c r="AI97" s="139"/>
      <c r="AJ97" s="139"/>
      <c r="AK97" s="139"/>
    </row>
    <row r="98" spans="1:37" s="138" customFormat="1" ht="15" hidden="1" x14ac:dyDescent="0.25">
      <c r="A98" s="138" t="s">
        <v>332</v>
      </c>
      <c r="B98" s="138" t="s">
        <v>332</v>
      </c>
      <c r="C98" s="138" t="s">
        <v>332</v>
      </c>
      <c r="D98" s="138" t="s">
        <v>332</v>
      </c>
      <c r="E98" s="138" t="s">
        <v>332</v>
      </c>
      <c r="F98" s="138" t="s">
        <v>332</v>
      </c>
      <c r="K98" s="141" t="e">
        <f t="shared" si="188"/>
        <v>#DIV/0!</v>
      </c>
      <c r="L98" s="141" t="e">
        <f t="shared" si="189"/>
        <v>#DIV/0!</v>
      </c>
      <c r="M98" s="141" t="e">
        <f t="shared" si="190"/>
        <v>#DIV/0!</v>
      </c>
      <c r="N98" s="140">
        <f t="shared" si="191"/>
        <v>0</v>
      </c>
      <c r="AA98" s="139"/>
      <c r="AB98" s="139"/>
      <c r="AC98" s="139"/>
      <c r="AD98" s="139"/>
      <c r="AE98" s="139"/>
      <c r="AG98" s="139"/>
      <c r="AI98" s="139"/>
      <c r="AJ98" s="139"/>
      <c r="AK98" s="139"/>
    </row>
    <row r="99" spans="1:37" s="138" customFormat="1" ht="30" hidden="1" x14ac:dyDescent="0.25">
      <c r="A99" s="138" t="s">
        <v>55</v>
      </c>
      <c r="B99" s="138">
        <v>2022</v>
      </c>
      <c r="C99" s="138" t="s">
        <v>335</v>
      </c>
      <c r="D99" s="138" t="s">
        <v>9</v>
      </c>
      <c r="E99" s="138" t="s">
        <v>10</v>
      </c>
      <c r="F99" s="138" t="s">
        <v>29</v>
      </c>
      <c r="G99" s="138">
        <v>202568.32071921014</v>
      </c>
      <c r="H99" s="138">
        <v>40902.896203550561</v>
      </c>
      <c r="I99" s="138">
        <v>18231.148864728908</v>
      </c>
      <c r="J99" s="138">
        <v>5281.9210719276398</v>
      </c>
      <c r="K99" s="141">
        <f t="shared" ref="K99:K100" si="192">H99/G99</f>
        <v>0.20192148534542115</v>
      </c>
      <c r="L99" s="141">
        <f t="shared" ref="L99:L100" si="193">I99/G99</f>
        <v>8.9999999999999983E-2</v>
      </c>
      <c r="M99" s="141">
        <f t="shared" ref="M99:M100" si="194">J99/G99</f>
        <v>2.6074763581859225E-2</v>
      </c>
      <c r="N99" s="140">
        <f t="shared" ref="N99:N100" si="195">G99-H99-I99-J99</f>
        <v>138152.354579003</v>
      </c>
      <c r="AA99" s="139"/>
      <c r="AB99" s="139"/>
      <c r="AC99" s="139"/>
      <c r="AD99" s="139"/>
      <c r="AE99" s="139"/>
      <c r="AG99" s="139"/>
      <c r="AI99" s="139"/>
      <c r="AJ99" s="139"/>
      <c r="AK99" s="139"/>
    </row>
    <row r="100" spans="1:37" s="138" customFormat="1" ht="30" hidden="1" x14ac:dyDescent="0.25">
      <c r="A100" s="138" t="s">
        <v>55</v>
      </c>
      <c r="B100" s="138">
        <v>2022</v>
      </c>
      <c r="C100" s="138" t="s">
        <v>335</v>
      </c>
      <c r="D100" s="138" t="s">
        <v>9</v>
      </c>
      <c r="E100" s="138" t="s">
        <v>12</v>
      </c>
      <c r="F100" s="138" t="s">
        <v>30</v>
      </c>
      <c r="G100" s="138">
        <v>358430.23992816836</v>
      </c>
      <c r="H100" s="138">
        <v>57873.321594012064</v>
      </c>
      <c r="I100" s="138">
        <v>32258.721593535152</v>
      </c>
      <c r="J100" s="138">
        <v>6768.490481655298</v>
      </c>
      <c r="K100" s="141">
        <f t="shared" si="192"/>
        <v>0.16146327833725815</v>
      </c>
      <c r="L100" s="141">
        <f t="shared" si="193"/>
        <v>0.09</v>
      </c>
      <c r="M100" s="141">
        <f t="shared" si="194"/>
        <v>1.8883703794109963E-2</v>
      </c>
      <c r="N100" s="140">
        <f t="shared" si="195"/>
        <v>261529.70625896583</v>
      </c>
      <c r="AA100" s="139"/>
      <c r="AB100" s="139"/>
      <c r="AC100" s="139"/>
      <c r="AD100" s="139"/>
      <c r="AE100" s="139"/>
      <c r="AG100" s="139"/>
      <c r="AI100" s="139"/>
      <c r="AJ100" s="139"/>
      <c r="AK100" s="139"/>
    </row>
    <row r="101" spans="1:37" s="138" customFormat="1" ht="30" hidden="1" x14ac:dyDescent="0.25">
      <c r="A101" s="138" t="s">
        <v>54</v>
      </c>
      <c r="B101" s="138">
        <v>2022</v>
      </c>
      <c r="C101" s="138" t="s">
        <v>335</v>
      </c>
      <c r="D101" s="138" t="s">
        <v>9</v>
      </c>
      <c r="E101" s="138" t="s">
        <v>10</v>
      </c>
      <c r="F101" s="138" t="s">
        <v>29</v>
      </c>
      <c r="G101" s="138">
        <v>10513.993190819296</v>
      </c>
      <c r="H101" s="138">
        <v>1603.5502562370523</v>
      </c>
      <c r="I101" s="138">
        <v>946.2593871737364</v>
      </c>
      <c r="J101" s="138">
        <v>114.01864445285877</v>
      </c>
      <c r="K101" s="141">
        <f t="shared" ref="K101:K102" si="196">H101/G101</f>
        <v>0.15251581650606877</v>
      </c>
      <c r="L101" s="141">
        <f t="shared" ref="L101:L102" si="197">I101/G101</f>
        <v>8.9999999999999983E-2</v>
      </c>
      <c r="M101" s="141">
        <f t="shared" ref="M101:M102" si="198">J101/G101</f>
        <v>1.0844466263533307E-2</v>
      </c>
      <c r="N101" s="140">
        <f t="shared" ref="N101:N102" si="199">G101-H101-I101-J101</f>
        <v>7850.1649029556474</v>
      </c>
      <c r="AA101" s="139"/>
      <c r="AB101" s="139"/>
      <c r="AC101" s="139"/>
      <c r="AD101" s="139"/>
      <c r="AE101" s="139"/>
      <c r="AG101" s="139"/>
      <c r="AI101" s="139"/>
      <c r="AJ101" s="139"/>
      <c r="AK101" s="139"/>
    </row>
    <row r="102" spans="1:37" s="138" customFormat="1" ht="30" hidden="1" x14ac:dyDescent="0.25">
      <c r="A102" s="138" t="s">
        <v>54</v>
      </c>
      <c r="B102" s="138">
        <v>2022</v>
      </c>
      <c r="C102" s="138" t="s">
        <v>335</v>
      </c>
      <c r="D102" s="138" t="s">
        <v>9</v>
      </c>
      <c r="E102" s="138" t="s">
        <v>12</v>
      </c>
      <c r="F102" s="138" t="s">
        <v>30</v>
      </c>
      <c r="G102" s="138">
        <v>372077.92814555333</v>
      </c>
      <c r="H102" s="138">
        <v>64921.031791230649</v>
      </c>
      <c r="I102" s="138">
        <v>33487.013533099802</v>
      </c>
      <c r="J102" s="138">
        <v>9173.7501033342596</v>
      </c>
      <c r="K102" s="141">
        <f t="shared" si="196"/>
        <v>0.17448235135795037</v>
      </c>
      <c r="L102" s="141">
        <f t="shared" si="197"/>
        <v>9.0000000000000011E-2</v>
      </c>
      <c r="M102" s="141">
        <f t="shared" si="198"/>
        <v>2.4655453627836738E-2</v>
      </c>
      <c r="N102" s="140">
        <f t="shared" si="199"/>
        <v>264496.13271788863</v>
      </c>
      <c r="AA102" s="139"/>
      <c r="AB102" s="139"/>
      <c r="AC102" s="139"/>
      <c r="AD102" s="139"/>
      <c r="AE102" s="139"/>
      <c r="AG102" s="139"/>
      <c r="AI102" s="139"/>
      <c r="AJ102" s="139"/>
      <c r="AK102" s="139"/>
    </row>
    <row r="103" spans="1:37" s="138" customFormat="1" ht="30" hidden="1" x14ac:dyDescent="0.25">
      <c r="A103" s="138" t="s">
        <v>53</v>
      </c>
      <c r="B103" s="138">
        <v>2022</v>
      </c>
      <c r="C103" s="138" t="s">
        <v>335</v>
      </c>
      <c r="D103" s="138" t="s">
        <v>9</v>
      </c>
      <c r="E103" s="138" t="s">
        <v>10</v>
      </c>
      <c r="F103" s="138" t="s">
        <v>29</v>
      </c>
      <c r="G103" s="138">
        <v>79044.99078813316</v>
      </c>
      <c r="H103" s="138">
        <v>7268.3353234277092</v>
      </c>
      <c r="I103" s="138">
        <v>7114.0491709319831</v>
      </c>
      <c r="J103" s="138">
        <v>1903.6918605411197</v>
      </c>
      <c r="K103" s="141">
        <f t="shared" ref="K103:K104" si="200">H103/G103</f>
        <v>9.195187767064536E-2</v>
      </c>
      <c r="L103" s="141">
        <f t="shared" ref="L103:L104" si="201">I103/G103</f>
        <v>8.9999999999999983E-2</v>
      </c>
      <c r="M103" s="141">
        <f t="shared" ref="M103:M104" si="202">J103/G103</f>
        <v>2.4083649597020595E-2</v>
      </c>
      <c r="N103" s="140">
        <f t="shared" ref="N103:N104" si="203">G103-H103-I103-J103</f>
        <v>62758.914433232356</v>
      </c>
      <c r="AA103" s="139"/>
      <c r="AB103" s="139"/>
      <c r="AC103" s="139"/>
      <c r="AD103" s="139"/>
      <c r="AE103" s="139"/>
      <c r="AG103" s="139"/>
      <c r="AI103" s="139"/>
      <c r="AJ103" s="139"/>
      <c r="AK103" s="139"/>
    </row>
    <row r="104" spans="1:37" s="138" customFormat="1" ht="30" hidden="1" x14ac:dyDescent="0.25">
      <c r="A104" s="138" t="s">
        <v>53</v>
      </c>
      <c r="B104" s="138">
        <v>2022</v>
      </c>
      <c r="C104" s="138" t="s">
        <v>335</v>
      </c>
      <c r="D104" s="138" t="s">
        <v>9</v>
      </c>
      <c r="E104" s="138" t="s">
        <v>12</v>
      </c>
      <c r="F104" s="138" t="s">
        <v>30</v>
      </c>
      <c r="G104" s="138">
        <v>374747.13095154264</v>
      </c>
      <c r="H104" s="138">
        <v>54474.370774260875</v>
      </c>
      <c r="I104" s="138">
        <v>33727.241785638857</v>
      </c>
      <c r="J104" s="138">
        <v>8340.1107143556037</v>
      </c>
      <c r="K104" s="141">
        <f t="shared" si="200"/>
        <v>0.14536300954710921</v>
      </c>
      <c r="L104" s="141">
        <f t="shared" si="201"/>
        <v>9.0000000000000052E-2</v>
      </c>
      <c r="M104" s="141">
        <f t="shared" si="202"/>
        <v>2.2255302377309025E-2</v>
      </c>
      <c r="N104" s="140">
        <f t="shared" si="203"/>
        <v>278205.40767728729</v>
      </c>
      <c r="AA104" s="139"/>
      <c r="AB104" s="139"/>
      <c r="AC104" s="139"/>
      <c r="AD104" s="139"/>
      <c r="AE104" s="139"/>
      <c r="AG104" s="139"/>
      <c r="AI104" s="139"/>
      <c r="AJ104" s="139"/>
      <c r="AK104" s="139"/>
    </row>
    <row r="105" spans="1:37" s="138" customFormat="1" ht="30" hidden="1" x14ac:dyDescent="0.25">
      <c r="A105" s="138" t="s">
        <v>54</v>
      </c>
      <c r="B105" s="138">
        <v>2022</v>
      </c>
      <c r="C105" s="138" t="s">
        <v>335</v>
      </c>
      <c r="D105" s="138" t="s">
        <v>4</v>
      </c>
      <c r="E105" s="138" t="s">
        <v>5</v>
      </c>
      <c r="F105" s="138" t="s">
        <v>27</v>
      </c>
      <c r="K105" s="141" t="e">
        <f t="shared" ref="K105:K106" si="204">H105/G105</f>
        <v>#DIV/0!</v>
      </c>
      <c r="L105" s="141" t="e">
        <f t="shared" ref="L105:L106" si="205">I105/G105</f>
        <v>#DIV/0!</v>
      </c>
      <c r="M105" s="141" t="e">
        <f t="shared" ref="M105:M106" si="206">J105/G105</f>
        <v>#DIV/0!</v>
      </c>
      <c r="N105" s="140">
        <f t="shared" ref="N105:N106" si="207">G105-H105-I105-J105</f>
        <v>0</v>
      </c>
      <c r="AA105" s="139"/>
      <c r="AB105" s="139"/>
      <c r="AC105" s="139"/>
      <c r="AD105" s="139"/>
      <c r="AE105" s="139"/>
      <c r="AG105" s="139"/>
      <c r="AI105" s="139"/>
      <c r="AJ105" s="139"/>
      <c r="AK105" s="139"/>
    </row>
    <row r="106" spans="1:37" s="138" customFormat="1" ht="30" hidden="1" x14ac:dyDescent="0.25">
      <c r="A106" s="138" t="s">
        <v>54</v>
      </c>
      <c r="B106" s="138">
        <v>2022</v>
      </c>
      <c r="C106" s="138" t="s">
        <v>335</v>
      </c>
      <c r="D106" s="138" t="s">
        <v>4</v>
      </c>
      <c r="E106" s="138" t="s">
        <v>7</v>
      </c>
      <c r="F106" s="138" t="s">
        <v>28</v>
      </c>
      <c r="K106" s="141" t="e">
        <f t="shared" si="204"/>
        <v>#DIV/0!</v>
      </c>
      <c r="L106" s="141" t="e">
        <f t="shared" si="205"/>
        <v>#DIV/0!</v>
      </c>
      <c r="M106" s="141" t="e">
        <f t="shared" si="206"/>
        <v>#DIV/0!</v>
      </c>
      <c r="N106" s="140">
        <f t="shared" si="207"/>
        <v>0</v>
      </c>
      <c r="AA106" s="139"/>
      <c r="AB106" s="139"/>
      <c r="AC106" s="139"/>
      <c r="AD106" s="139"/>
      <c r="AE106" s="139"/>
      <c r="AG106" s="139"/>
      <c r="AI106" s="139"/>
      <c r="AJ106" s="139"/>
      <c r="AK106" s="139"/>
    </row>
    <row r="107" spans="1:37" s="138" customFormat="1" ht="30" hidden="1" x14ac:dyDescent="0.25">
      <c r="A107" s="138" t="s">
        <v>53</v>
      </c>
      <c r="B107" s="138">
        <v>2022</v>
      </c>
      <c r="C107" s="138" t="s">
        <v>335</v>
      </c>
      <c r="D107" s="138" t="s">
        <v>4</v>
      </c>
      <c r="E107" s="138" t="s">
        <v>5</v>
      </c>
      <c r="F107" s="138" t="s">
        <v>27</v>
      </c>
      <c r="G107" s="138">
        <v>27314.752499999999</v>
      </c>
      <c r="H107" s="138">
        <v>8034.1132500000003</v>
      </c>
      <c r="I107" s="138">
        <v>3124.37</v>
      </c>
      <c r="J107" s="138">
        <v>50794.681874999995</v>
      </c>
      <c r="K107" s="141">
        <f t="shared" ref="K107:K108" si="208">H107/G107</f>
        <v>0.29413091881392667</v>
      </c>
      <c r="L107" s="141">
        <f t="shared" ref="L107:L108" si="209">I107/G107</f>
        <v>0.11438397620479995</v>
      </c>
      <c r="M107" s="141">
        <f t="shared" ref="M107:M108" si="210">J107/G107</f>
        <v>1.859606155135398</v>
      </c>
      <c r="N107" s="140">
        <f t="shared" ref="N107:N108" si="211">G107-H107-I107-J107</f>
        <v>-34638.412624999997</v>
      </c>
      <c r="AA107" s="139"/>
      <c r="AB107" s="139"/>
      <c r="AC107" s="139"/>
      <c r="AD107" s="139"/>
      <c r="AE107" s="139"/>
      <c r="AG107" s="139"/>
      <c r="AI107" s="139"/>
      <c r="AJ107" s="139"/>
      <c r="AK107" s="139"/>
    </row>
    <row r="108" spans="1:37" s="138" customFormat="1" ht="30" hidden="1" x14ac:dyDescent="0.25">
      <c r="A108" s="138" t="s">
        <v>53</v>
      </c>
      <c r="B108" s="138">
        <v>2022</v>
      </c>
      <c r="C108" s="138" t="s">
        <v>335</v>
      </c>
      <c r="D108" s="138" t="s">
        <v>4</v>
      </c>
      <c r="E108" s="138" t="s">
        <v>7</v>
      </c>
      <c r="F108" s="138" t="s">
        <v>28</v>
      </c>
      <c r="K108" s="141" t="e">
        <f t="shared" si="208"/>
        <v>#DIV/0!</v>
      </c>
      <c r="L108" s="141" t="e">
        <f t="shared" si="209"/>
        <v>#DIV/0!</v>
      </c>
      <c r="M108" s="141" t="e">
        <f t="shared" si="210"/>
        <v>#DIV/0!</v>
      </c>
      <c r="N108" s="140">
        <f t="shared" si="211"/>
        <v>0</v>
      </c>
      <c r="AA108" s="139"/>
      <c r="AB108" s="139"/>
      <c r="AC108" s="139"/>
      <c r="AD108" s="139"/>
      <c r="AE108" s="139"/>
      <c r="AG108" s="139"/>
      <c r="AI108" s="139"/>
      <c r="AJ108" s="139"/>
      <c r="AK108" s="139"/>
    </row>
    <row r="109" spans="1:37" s="138" customFormat="1" ht="30" hidden="1" x14ac:dyDescent="0.25">
      <c r="A109" s="138" t="s">
        <v>55</v>
      </c>
      <c r="B109" s="138">
        <v>2022</v>
      </c>
      <c r="C109" s="138" t="s">
        <v>334</v>
      </c>
      <c r="D109" s="138" t="s">
        <v>24</v>
      </c>
      <c r="E109" s="138" t="s">
        <v>25</v>
      </c>
      <c r="F109" s="138" t="s">
        <v>23</v>
      </c>
      <c r="K109" s="141" t="e">
        <f t="shared" ref="K109:K110" si="212">H109/G109</f>
        <v>#DIV/0!</v>
      </c>
      <c r="L109" s="141" t="e">
        <f t="shared" ref="L109:L110" si="213">I109/G109</f>
        <v>#DIV/0!</v>
      </c>
      <c r="M109" s="141" t="e">
        <f t="shared" ref="M109:M110" si="214">J109/G109</f>
        <v>#DIV/0!</v>
      </c>
      <c r="N109" s="140">
        <f t="shared" ref="N109:N110" si="215">G109-H109-I109-J109</f>
        <v>0</v>
      </c>
      <c r="AA109" s="139"/>
      <c r="AB109" s="139"/>
      <c r="AC109" s="139"/>
      <c r="AD109" s="139"/>
      <c r="AE109" s="139"/>
      <c r="AG109" s="139"/>
      <c r="AI109" s="139"/>
      <c r="AJ109" s="139"/>
      <c r="AK109" s="139"/>
    </row>
    <row r="110" spans="1:37" s="138" customFormat="1" ht="15" hidden="1" x14ac:dyDescent="0.25">
      <c r="A110" s="138" t="s">
        <v>332</v>
      </c>
      <c r="B110" s="138" t="s">
        <v>332</v>
      </c>
      <c r="C110" s="138" t="s">
        <v>332</v>
      </c>
      <c r="D110" s="138" t="s">
        <v>332</v>
      </c>
      <c r="E110" s="138" t="s">
        <v>332</v>
      </c>
      <c r="F110" s="138" t="s">
        <v>332</v>
      </c>
      <c r="K110" s="141" t="e">
        <f t="shared" si="212"/>
        <v>#DIV/0!</v>
      </c>
      <c r="L110" s="141" t="e">
        <f t="shared" si="213"/>
        <v>#DIV/0!</v>
      </c>
      <c r="M110" s="141" t="e">
        <f t="shared" si="214"/>
        <v>#DIV/0!</v>
      </c>
      <c r="N110" s="140">
        <f t="shared" si="215"/>
        <v>0</v>
      </c>
      <c r="AA110" s="139"/>
      <c r="AB110" s="139"/>
      <c r="AC110" s="139"/>
      <c r="AD110" s="139"/>
      <c r="AE110" s="139"/>
      <c r="AG110" s="139"/>
      <c r="AI110" s="139"/>
      <c r="AJ110" s="139"/>
      <c r="AK110" s="139"/>
    </row>
    <row r="111" spans="1:37" s="138" customFormat="1" ht="30" hidden="1" x14ac:dyDescent="0.25">
      <c r="A111" s="138" t="s">
        <v>54</v>
      </c>
      <c r="B111" s="138">
        <v>2022</v>
      </c>
      <c r="C111" s="138" t="s">
        <v>334</v>
      </c>
      <c r="D111" s="138" t="s">
        <v>24</v>
      </c>
      <c r="E111" s="138" t="s">
        <v>25</v>
      </c>
      <c r="F111" s="138" t="s">
        <v>23</v>
      </c>
      <c r="K111" s="141" t="e">
        <f t="shared" ref="K111:K112" si="216">H111/G111</f>
        <v>#DIV/0!</v>
      </c>
      <c r="L111" s="141" t="e">
        <f t="shared" ref="L111:L112" si="217">I111/G111</f>
        <v>#DIV/0!</v>
      </c>
      <c r="M111" s="141" t="e">
        <f t="shared" ref="M111:M112" si="218">J111/G111</f>
        <v>#DIV/0!</v>
      </c>
      <c r="N111" s="140">
        <f t="shared" ref="N111:N112" si="219">G111-H111-I111-J111</f>
        <v>0</v>
      </c>
      <c r="AA111" s="139"/>
      <c r="AB111" s="139"/>
      <c r="AC111" s="139"/>
      <c r="AD111" s="139"/>
      <c r="AE111" s="139"/>
      <c r="AG111" s="139"/>
      <c r="AI111" s="139"/>
      <c r="AJ111" s="139"/>
      <c r="AK111" s="139"/>
    </row>
    <row r="112" spans="1:37" s="138" customFormat="1" ht="15" hidden="1" x14ac:dyDescent="0.25">
      <c r="A112" s="138" t="s">
        <v>332</v>
      </c>
      <c r="B112" s="138" t="s">
        <v>332</v>
      </c>
      <c r="C112" s="138" t="s">
        <v>332</v>
      </c>
      <c r="D112" s="138" t="s">
        <v>332</v>
      </c>
      <c r="E112" s="138" t="s">
        <v>332</v>
      </c>
      <c r="F112" s="138" t="s">
        <v>332</v>
      </c>
      <c r="K112" s="141" t="e">
        <f t="shared" si="216"/>
        <v>#DIV/0!</v>
      </c>
      <c r="L112" s="141" t="e">
        <f t="shared" si="217"/>
        <v>#DIV/0!</v>
      </c>
      <c r="M112" s="141" t="e">
        <f t="shared" si="218"/>
        <v>#DIV/0!</v>
      </c>
      <c r="N112" s="140">
        <f t="shared" si="219"/>
        <v>0</v>
      </c>
      <c r="AA112" s="139"/>
      <c r="AB112" s="139"/>
      <c r="AC112" s="139"/>
      <c r="AD112" s="139"/>
      <c r="AE112" s="139"/>
      <c r="AG112" s="139"/>
      <c r="AI112" s="139"/>
      <c r="AJ112" s="139"/>
      <c r="AK112" s="139"/>
    </row>
    <row r="113" spans="1:37" s="138" customFormat="1" ht="30" hidden="1" x14ac:dyDescent="0.25">
      <c r="A113" s="138" t="s">
        <v>53</v>
      </c>
      <c r="B113" s="138">
        <v>2022</v>
      </c>
      <c r="C113" s="138" t="s">
        <v>334</v>
      </c>
      <c r="D113" s="138" t="s">
        <v>24</v>
      </c>
      <c r="E113" s="138" t="s">
        <v>25</v>
      </c>
      <c r="F113" s="138" t="s">
        <v>23</v>
      </c>
      <c r="G113" s="138">
        <v>4157.2165165854694</v>
      </c>
      <c r="H113" s="138">
        <v>831.44330331709386</v>
      </c>
      <c r="I113" s="138">
        <v>415.72165165854693</v>
      </c>
      <c r="J113" s="138">
        <v>103.27373997745021</v>
      </c>
      <c r="K113" s="141">
        <f t="shared" ref="K113:K114" si="220">H113/G113</f>
        <v>0.19999999999999998</v>
      </c>
      <c r="L113" s="141">
        <f t="shared" ref="L113:L114" si="221">I113/G113</f>
        <v>9.9999999999999992E-2</v>
      </c>
      <c r="M113" s="141">
        <f t="shared" ref="M113:M114" si="222">J113/G113</f>
        <v>2.4842040236642309E-2</v>
      </c>
      <c r="N113" s="140">
        <f t="shared" ref="N113:N114" si="223">G113-H113-I113-J113</f>
        <v>2806.7778216323786</v>
      </c>
      <c r="AA113" s="139"/>
      <c r="AB113" s="139"/>
      <c r="AC113" s="139"/>
      <c r="AD113" s="139"/>
      <c r="AE113" s="139"/>
      <c r="AG113" s="139"/>
      <c r="AI113" s="139"/>
      <c r="AJ113" s="139"/>
      <c r="AK113" s="139"/>
    </row>
    <row r="114" spans="1:37" s="138" customFormat="1" ht="15" hidden="1" x14ac:dyDescent="0.25">
      <c r="A114" s="138" t="s">
        <v>332</v>
      </c>
      <c r="B114" s="138" t="s">
        <v>332</v>
      </c>
      <c r="C114" s="138" t="s">
        <v>332</v>
      </c>
      <c r="D114" s="138" t="s">
        <v>332</v>
      </c>
      <c r="E114" s="138" t="s">
        <v>332</v>
      </c>
      <c r="F114" s="138" t="s">
        <v>332</v>
      </c>
      <c r="K114" s="141" t="e">
        <f t="shared" si="220"/>
        <v>#DIV/0!</v>
      </c>
      <c r="L114" s="141" t="e">
        <f t="shared" si="221"/>
        <v>#DIV/0!</v>
      </c>
      <c r="M114" s="141" t="e">
        <f t="shared" si="222"/>
        <v>#DIV/0!</v>
      </c>
      <c r="N114" s="140">
        <f t="shared" si="223"/>
        <v>0</v>
      </c>
      <c r="AA114" s="139"/>
      <c r="AB114" s="139"/>
      <c r="AC114" s="139"/>
      <c r="AD114" s="139"/>
      <c r="AE114" s="139"/>
      <c r="AG114" s="139"/>
      <c r="AI114" s="139"/>
      <c r="AJ114" s="139"/>
      <c r="AK114" s="139"/>
    </row>
    <row r="115" spans="1:37" s="138" customFormat="1" ht="30" hidden="1" x14ac:dyDescent="0.25">
      <c r="A115" s="138" t="s">
        <v>55</v>
      </c>
      <c r="B115" s="138">
        <v>2022</v>
      </c>
      <c r="C115" s="138" t="s">
        <v>334</v>
      </c>
      <c r="D115" s="138" t="s">
        <v>1</v>
      </c>
      <c r="E115" s="138" t="s">
        <v>2</v>
      </c>
      <c r="F115" s="138" t="s">
        <v>18</v>
      </c>
      <c r="G115" s="138">
        <v>286.97060428641208</v>
      </c>
      <c r="H115" s="138">
        <v>67.96659107160302</v>
      </c>
      <c r="I115" s="138">
        <v>25.827354385777088</v>
      </c>
      <c r="J115" s="138">
        <v>3.1621000428641208</v>
      </c>
      <c r="K115" s="141">
        <f t="shared" ref="K115:K116" si="224">H115/G115</f>
        <v>0.2368416487835413</v>
      </c>
      <c r="L115" s="141">
        <f t="shared" ref="L115:L116" si="225">I115/G115</f>
        <v>0.09</v>
      </c>
      <c r="M115" s="141">
        <f t="shared" ref="M115:M116" si="226">J115/G115</f>
        <v>1.1018898784867091E-2</v>
      </c>
      <c r="N115" s="140">
        <f t="shared" ref="N115:N116" si="227">G115-H115-I115-J115</f>
        <v>190.01455878616784</v>
      </c>
      <c r="AA115" s="139"/>
      <c r="AB115" s="139"/>
      <c r="AC115" s="139"/>
      <c r="AD115" s="139"/>
      <c r="AE115" s="139"/>
      <c r="AG115" s="139"/>
      <c r="AI115" s="139"/>
      <c r="AJ115" s="139"/>
      <c r="AK115" s="139"/>
    </row>
    <row r="116" spans="1:37" s="138" customFormat="1" ht="15" hidden="1" x14ac:dyDescent="0.25">
      <c r="A116" s="138" t="s">
        <v>332</v>
      </c>
      <c r="B116" s="138" t="s">
        <v>332</v>
      </c>
      <c r="C116" s="138" t="s">
        <v>332</v>
      </c>
      <c r="D116" s="138" t="s">
        <v>332</v>
      </c>
      <c r="E116" s="138" t="s">
        <v>332</v>
      </c>
      <c r="F116" s="138" t="s">
        <v>332</v>
      </c>
      <c r="K116" s="141" t="e">
        <f t="shared" si="224"/>
        <v>#DIV/0!</v>
      </c>
      <c r="L116" s="141" t="e">
        <f t="shared" si="225"/>
        <v>#DIV/0!</v>
      </c>
      <c r="M116" s="141" t="e">
        <f t="shared" si="226"/>
        <v>#DIV/0!</v>
      </c>
      <c r="N116" s="140">
        <f t="shared" si="227"/>
        <v>0</v>
      </c>
      <c r="AA116" s="139"/>
      <c r="AB116" s="139"/>
      <c r="AC116" s="139"/>
      <c r="AD116" s="139"/>
      <c r="AE116" s="139"/>
      <c r="AG116" s="139"/>
      <c r="AI116" s="139"/>
      <c r="AJ116" s="139"/>
      <c r="AK116" s="139"/>
    </row>
    <row r="117" spans="1:37" s="138" customFormat="1" ht="30" hidden="1" x14ac:dyDescent="0.25">
      <c r="A117" s="138" t="s">
        <v>54</v>
      </c>
      <c r="B117" s="138">
        <v>2022</v>
      </c>
      <c r="C117" s="138" t="s">
        <v>334</v>
      </c>
      <c r="D117" s="138" t="s">
        <v>1</v>
      </c>
      <c r="E117" s="138" t="s">
        <v>2</v>
      </c>
      <c r="F117" s="138" t="s">
        <v>18</v>
      </c>
      <c r="G117" s="138">
        <v>743.77384072562973</v>
      </c>
      <c r="H117" s="138">
        <v>187.55199994734213</v>
      </c>
      <c r="I117" s="138">
        <v>66.939645665306685</v>
      </c>
      <c r="J117" s="138">
        <v>7.4377373258796293</v>
      </c>
      <c r="K117" s="141">
        <f t="shared" ref="K117:K118" si="228">H117/G117</f>
        <v>0.25216267321846841</v>
      </c>
      <c r="L117" s="141">
        <f t="shared" ref="L117:L118" si="229">I117/G117</f>
        <v>9.0000000000000011E-2</v>
      </c>
      <c r="M117" s="141">
        <f t="shared" ref="M117:M118" si="230">J117/G117</f>
        <v>9.9999985460947818E-3</v>
      </c>
      <c r="N117" s="140">
        <f t="shared" ref="N117:N118" si="231">G117-H117-I117-J117</f>
        <v>481.84445778710131</v>
      </c>
      <c r="AA117" s="139"/>
      <c r="AB117" s="139"/>
      <c r="AC117" s="139"/>
      <c r="AD117" s="139"/>
      <c r="AE117" s="139"/>
      <c r="AG117" s="139"/>
      <c r="AI117" s="139"/>
      <c r="AJ117" s="139"/>
      <c r="AK117" s="139"/>
    </row>
    <row r="118" spans="1:37" s="138" customFormat="1" ht="15" hidden="1" x14ac:dyDescent="0.25">
      <c r="A118" s="138" t="s">
        <v>332</v>
      </c>
      <c r="B118" s="138" t="s">
        <v>332</v>
      </c>
      <c r="C118" s="138" t="s">
        <v>332</v>
      </c>
      <c r="D118" s="138" t="s">
        <v>332</v>
      </c>
      <c r="E118" s="138" t="s">
        <v>332</v>
      </c>
      <c r="F118" s="138" t="s">
        <v>332</v>
      </c>
      <c r="K118" s="141" t="e">
        <f t="shared" si="228"/>
        <v>#DIV/0!</v>
      </c>
      <c r="L118" s="141" t="e">
        <f t="shared" si="229"/>
        <v>#DIV/0!</v>
      </c>
      <c r="M118" s="141" t="e">
        <f t="shared" si="230"/>
        <v>#DIV/0!</v>
      </c>
      <c r="N118" s="140">
        <f t="shared" si="231"/>
        <v>0</v>
      </c>
      <c r="AA118" s="139"/>
      <c r="AB118" s="139"/>
      <c r="AC118" s="139"/>
      <c r="AD118" s="139"/>
      <c r="AE118" s="139"/>
      <c r="AG118" s="139"/>
      <c r="AI118" s="139"/>
      <c r="AJ118" s="139"/>
      <c r="AK118" s="139"/>
    </row>
    <row r="119" spans="1:37" s="138" customFormat="1" ht="30" hidden="1" x14ac:dyDescent="0.25">
      <c r="A119" s="138" t="s">
        <v>53</v>
      </c>
      <c r="B119" s="138">
        <v>2022</v>
      </c>
      <c r="C119" s="138" t="s">
        <v>334</v>
      </c>
      <c r="D119" s="138" t="s">
        <v>1</v>
      </c>
      <c r="E119" s="138" t="s">
        <v>2</v>
      </c>
      <c r="F119" s="138" t="s">
        <v>18</v>
      </c>
      <c r="G119" s="138">
        <v>-620.50158383175358</v>
      </c>
      <c r="H119" s="138">
        <v>-177.69698345793836</v>
      </c>
      <c r="I119" s="138">
        <v>-55.845142544857858</v>
      </c>
      <c r="J119" s="138">
        <v>-3.139332216872516</v>
      </c>
      <c r="K119" s="141">
        <f t="shared" ref="K119:K120" si="232">H119/G119</f>
        <v>0.28637635759221552</v>
      </c>
      <c r="L119" s="141">
        <f t="shared" ref="L119:L120" si="233">I119/G119</f>
        <v>9.0000000000000052E-2</v>
      </c>
      <c r="M119" s="141">
        <f t="shared" ref="M119:M120" si="234">J119/G119</f>
        <v>5.059346017275812E-3</v>
      </c>
      <c r="N119" s="140">
        <f t="shared" ref="N119:N120" si="235">G119-H119-I119-J119</f>
        <v>-383.82012561208484</v>
      </c>
      <c r="AA119" s="139"/>
      <c r="AB119" s="139"/>
      <c r="AC119" s="139"/>
      <c r="AD119" s="139"/>
      <c r="AE119" s="139"/>
      <c r="AG119" s="139"/>
      <c r="AI119" s="139"/>
      <c r="AJ119" s="139"/>
      <c r="AK119" s="139"/>
    </row>
    <row r="120" spans="1:37" s="138" customFormat="1" ht="15" hidden="1" x14ac:dyDescent="0.25">
      <c r="A120" s="138" t="s">
        <v>332</v>
      </c>
      <c r="B120" s="138" t="s">
        <v>332</v>
      </c>
      <c r="C120" s="138" t="s">
        <v>332</v>
      </c>
      <c r="D120" s="138" t="s">
        <v>332</v>
      </c>
      <c r="E120" s="138" t="s">
        <v>332</v>
      </c>
      <c r="F120" s="138" t="s">
        <v>332</v>
      </c>
      <c r="K120" s="141" t="e">
        <f t="shared" si="232"/>
        <v>#DIV/0!</v>
      </c>
      <c r="L120" s="141" t="e">
        <f t="shared" si="233"/>
        <v>#DIV/0!</v>
      </c>
      <c r="M120" s="141" t="e">
        <f t="shared" si="234"/>
        <v>#DIV/0!</v>
      </c>
      <c r="N120" s="140">
        <f t="shared" si="235"/>
        <v>0</v>
      </c>
      <c r="AA120" s="139"/>
      <c r="AB120" s="139"/>
      <c r="AC120" s="139"/>
      <c r="AD120" s="139"/>
      <c r="AE120" s="139"/>
      <c r="AG120" s="139"/>
      <c r="AI120" s="139"/>
      <c r="AJ120" s="139"/>
      <c r="AK120" s="139"/>
    </row>
    <row r="121" spans="1:37" s="138" customFormat="1" ht="30" hidden="1" x14ac:dyDescent="0.25">
      <c r="A121" s="138" t="s">
        <v>53</v>
      </c>
      <c r="B121" s="138">
        <v>2022</v>
      </c>
      <c r="C121" s="138" t="s">
        <v>334</v>
      </c>
      <c r="D121" s="138" t="s">
        <v>1</v>
      </c>
      <c r="E121" s="138" t="s">
        <v>2</v>
      </c>
      <c r="F121" s="138" t="s">
        <v>18</v>
      </c>
      <c r="G121" s="138">
        <v>-177.69698345793836</v>
      </c>
      <c r="H121" s="138">
        <v>-55.845142544857858</v>
      </c>
      <c r="I121" s="138">
        <v>-3.139332216872516</v>
      </c>
      <c r="J121" s="138">
        <v>-383.82012561208472</v>
      </c>
      <c r="K121" s="141">
        <f t="shared" ref="K121:K122" si="236">H121/G121</f>
        <v>0.31427175328542728</v>
      </c>
      <c r="L121" s="141">
        <f t="shared" ref="L121:L122" si="237">I121/G121</f>
        <v>1.7666772703632358E-2</v>
      </c>
      <c r="M121" s="141">
        <f t="shared" ref="M121:M122" si="238">J121/G121</f>
        <v>2.1599698438490185</v>
      </c>
      <c r="N121" s="140">
        <f t="shared" ref="N121:N122" si="239">G121-H121-I121-J121</f>
        <v>265.10761691587675</v>
      </c>
      <c r="AA121" s="139"/>
      <c r="AB121" s="139"/>
      <c r="AC121" s="139"/>
      <c r="AD121" s="139"/>
      <c r="AE121" s="139"/>
      <c r="AG121" s="139"/>
      <c r="AI121" s="139"/>
      <c r="AJ121" s="139"/>
      <c r="AK121" s="139"/>
    </row>
    <row r="122" spans="1:37" s="138" customFormat="1" ht="15" hidden="1" x14ac:dyDescent="0.25">
      <c r="A122" s="138" t="s">
        <v>332</v>
      </c>
      <c r="B122" s="138" t="s">
        <v>332</v>
      </c>
      <c r="C122" s="138" t="s">
        <v>332</v>
      </c>
      <c r="D122" s="138" t="s">
        <v>332</v>
      </c>
      <c r="E122" s="138" t="s">
        <v>332</v>
      </c>
      <c r="F122" s="138" t="s">
        <v>332</v>
      </c>
      <c r="K122" s="141" t="e">
        <f t="shared" si="236"/>
        <v>#DIV/0!</v>
      </c>
      <c r="L122" s="141" t="e">
        <f t="shared" si="237"/>
        <v>#DIV/0!</v>
      </c>
      <c r="M122" s="141" t="e">
        <f t="shared" si="238"/>
        <v>#DIV/0!</v>
      </c>
      <c r="N122" s="140">
        <f t="shared" si="239"/>
        <v>0</v>
      </c>
      <c r="AA122" s="139"/>
      <c r="AB122" s="139"/>
      <c r="AC122" s="139"/>
      <c r="AD122" s="139"/>
      <c r="AE122" s="139"/>
      <c r="AG122" s="139"/>
      <c r="AI122" s="139"/>
      <c r="AJ122" s="139"/>
      <c r="AK122" s="139"/>
    </row>
    <row r="123" spans="1:37" s="138" customFormat="1" ht="30" hidden="1" x14ac:dyDescent="0.25">
      <c r="A123" s="138" t="s">
        <v>55</v>
      </c>
      <c r="B123" s="138">
        <v>2022</v>
      </c>
      <c r="C123" s="138" t="s">
        <v>334</v>
      </c>
      <c r="D123" s="138" t="s">
        <v>9</v>
      </c>
      <c r="E123" s="138" t="s">
        <v>10</v>
      </c>
      <c r="F123" s="138" t="s">
        <v>21</v>
      </c>
      <c r="G123" s="138">
        <v>-1370.4245000000001</v>
      </c>
      <c r="H123" s="138">
        <v>-274.0849</v>
      </c>
      <c r="I123" s="138">
        <v>-123.338205</v>
      </c>
      <c r="J123" s="138">
        <v>-47.96</v>
      </c>
      <c r="K123" s="141">
        <f t="shared" ref="K123:K124" si="240">H123/G123</f>
        <v>0.19999999999999998</v>
      </c>
      <c r="L123" s="141">
        <f t="shared" ref="L123:L124" si="241">I123/G123</f>
        <v>0.09</v>
      </c>
      <c r="M123" s="141">
        <f t="shared" ref="M123:M124" si="242">J123/G123</f>
        <v>3.499645547784646E-2</v>
      </c>
      <c r="N123" s="140">
        <f t="shared" ref="N123:N124" si="243">G123-H123-I123-J123</f>
        <v>-925.04139499999997</v>
      </c>
      <c r="AA123" s="139"/>
      <c r="AB123" s="139"/>
      <c r="AC123" s="139"/>
      <c r="AD123" s="139"/>
      <c r="AE123" s="139"/>
      <c r="AG123" s="139"/>
      <c r="AI123" s="139"/>
      <c r="AJ123" s="139"/>
      <c r="AK123" s="139"/>
    </row>
    <row r="124" spans="1:37" s="138" customFormat="1" ht="30" hidden="1" x14ac:dyDescent="0.25">
      <c r="A124" s="138" t="s">
        <v>55</v>
      </c>
      <c r="B124" s="138">
        <v>2022</v>
      </c>
      <c r="C124" s="138" t="s">
        <v>334</v>
      </c>
      <c r="D124" s="138" t="s">
        <v>9</v>
      </c>
      <c r="E124" s="138" t="s">
        <v>12</v>
      </c>
      <c r="F124" s="138" t="s">
        <v>22</v>
      </c>
      <c r="G124" s="138">
        <v>13281.824908379211</v>
      </c>
      <c r="H124" s="138">
        <v>2195.3440568794863</v>
      </c>
      <c r="I124" s="138">
        <v>1195.3642417541291</v>
      </c>
      <c r="J124" s="138">
        <v>25.360233376699512</v>
      </c>
      <c r="K124" s="141">
        <f t="shared" si="240"/>
        <v>0.16528933877862612</v>
      </c>
      <c r="L124" s="141">
        <f t="shared" si="241"/>
        <v>9.0000000000000011E-2</v>
      </c>
      <c r="M124" s="141">
        <f t="shared" si="242"/>
        <v>1.9093937430766986E-3</v>
      </c>
      <c r="N124" s="140">
        <f t="shared" si="243"/>
        <v>9865.7563763688959</v>
      </c>
      <c r="AA124" s="139"/>
      <c r="AB124" s="139"/>
      <c r="AC124" s="139"/>
      <c r="AD124" s="139"/>
      <c r="AE124" s="139"/>
      <c r="AG124" s="139"/>
      <c r="AI124" s="139"/>
      <c r="AJ124" s="139"/>
      <c r="AK124" s="139"/>
    </row>
    <row r="125" spans="1:37" s="138" customFormat="1" ht="30" hidden="1" x14ac:dyDescent="0.25">
      <c r="A125" s="138" t="s">
        <v>54</v>
      </c>
      <c r="B125" s="138">
        <v>2022</v>
      </c>
      <c r="C125" s="138" t="s">
        <v>334</v>
      </c>
      <c r="D125" s="138" t="s">
        <v>9</v>
      </c>
      <c r="E125" s="138" t="s">
        <v>10</v>
      </c>
      <c r="F125" s="138" t="s">
        <v>21</v>
      </c>
      <c r="K125" s="141" t="e">
        <f t="shared" ref="K125:K126" si="244">H125/G125</f>
        <v>#DIV/0!</v>
      </c>
      <c r="L125" s="141" t="e">
        <f t="shared" ref="L125:L126" si="245">I125/G125</f>
        <v>#DIV/0!</v>
      </c>
      <c r="M125" s="141" t="e">
        <f t="shared" ref="M125:M126" si="246">J125/G125</f>
        <v>#DIV/0!</v>
      </c>
      <c r="N125" s="140">
        <f t="shared" ref="N125:N126" si="247">G125-H125-I125-J125</f>
        <v>0</v>
      </c>
      <c r="AA125" s="139"/>
      <c r="AB125" s="139"/>
      <c r="AC125" s="139"/>
      <c r="AD125" s="139"/>
      <c r="AE125" s="139"/>
      <c r="AG125" s="139"/>
      <c r="AI125" s="139"/>
      <c r="AJ125" s="139"/>
      <c r="AK125" s="139"/>
    </row>
    <row r="126" spans="1:37" s="138" customFormat="1" ht="30" hidden="1" x14ac:dyDescent="0.25">
      <c r="A126" s="138" t="s">
        <v>54</v>
      </c>
      <c r="B126" s="138">
        <v>2022</v>
      </c>
      <c r="C126" s="138" t="s">
        <v>334</v>
      </c>
      <c r="D126" s="138" t="s">
        <v>9</v>
      </c>
      <c r="E126" s="138" t="s">
        <v>12</v>
      </c>
      <c r="F126" s="138" t="s">
        <v>22</v>
      </c>
      <c r="G126" s="138">
        <v>26615.41203265743</v>
      </c>
      <c r="H126" s="138">
        <v>6019.3273426321966</v>
      </c>
      <c r="I126" s="138">
        <v>2395.3870829391662</v>
      </c>
      <c r="J126" s="138">
        <v>186.99945374549324</v>
      </c>
      <c r="K126" s="141">
        <f t="shared" si="244"/>
        <v>0.22615946487119604</v>
      </c>
      <c r="L126" s="141">
        <f t="shared" si="245"/>
        <v>8.9999999999999913E-2</v>
      </c>
      <c r="M126" s="141">
        <f t="shared" si="246"/>
        <v>7.025983799012492E-3</v>
      </c>
      <c r="N126" s="140">
        <f t="shared" si="247"/>
        <v>18013.698153340571</v>
      </c>
      <c r="AA126" s="139"/>
      <c r="AB126" s="139"/>
      <c r="AC126" s="139"/>
      <c r="AD126" s="139"/>
      <c r="AE126" s="139"/>
      <c r="AG126" s="139"/>
      <c r="AI126" s="139"/>
      <c r="AJ126" s="139"/>
      <c r="AK126" s="139"/>
    </row>
    <row r="127" spans="1:37" s="138" customFormat="1" ht="30" hidden="1" x14ac:dyDescent="0.25">
      <c r="A127" s="138" t="s">
        <v>53</v>
      </c>
      <c r="B127" s="138">
        <v>2022</v>
      </c>
      <c r="C127" s="138" t="s">
        <v>334</v>
      </c>
      <c r="D127" s="138" t="s">
        <v>9</v>
      </c>
      <c r="E127" s="138" t="s">
        <v>10</v>
      </c>
      <c r="F127" s="138" t="s">
        <v>21</v>
      </c>
      <c r="G127" s="138">
        <v>39843.147616688191</v>
      </c>
      <c r="H127" s="138">
        <v>7482.3091135581826</v>
      </c>
      <c r="I127" s="138">
        <v>3585.8832855019368</v>
      </c>
      <c r="J127" s="138">
        <v>921.65216319942397</v>
      </c>
      <c r="K127" s="141">
        <f t="shared" ref="K127:K128" si="248">H127/G127</f>
        <v>0.18779412674776322</v>
      </c>
      <c r="L127" s="141">
        <f t="shared" ref="L127:L128" si="249">I127/G127</f>
        <v>0.09</v>
      </c>
      <c r="M127" s="141">
        <f t="shared" ref="M127:M128" si="250">J127/G127</f>
        <v>2.3132011859760611E-2</v>
      </c>
      <c r="N127" s="140">
        <f t="shared" ref="N127:N128" si="251">G127-H127-I127-J127</f>
        <v>27853.303054428648</v>
      </c>
      <c r="AA127" s="139"/>
      <c r="AB127" s="139"/>
      <c r="AC127" s="139"/>
      <c r="AD127" s="139"/>
      <c r="AE127" s="139"/>
      <c r="AG127" s="139"/>
      <c r="AI127" s="139"/>
      <c r="AJ127" s="139"/>
      <c r="AK127" s="139"/>
    </row>
    <row r="128" spans="1:37" s="138" customFormat="1" ht="30" hidden="1" x14ac:dyDescent="0.25">
      <c r="A128" s="138" t="s">
        <v>53</v>
      </c>
      <c r="B128" s="138">
        <v>2022</v>
      </c>
      <c r="C128" s="138" t="s">
        <v>334</v>
      </c>
      <c r="D128" s="138" t="s">
        <v>9</v>
      </c>
      <c r="E128" s="138" t="s">
        <v>12</v>
      </c>
      <c r="F128" s="138" t="s">
        <v>22</v>
      </c>
      <c r="G128" s="138">
        <v>26391.370403924964</v>
      </c>
      <c r="H128" s="138">
        <v>3725.0936132280367</v>
      </c>
      <c r="I128" s="138">
        <v>2375.2233363532487</v>
      </c>
      <c r="J128" s="138">
        <v>409.73384556367546</v>
      </c>
      <c r="K128" s="141">
        <f t="shared" si="248"/>
        <v>0.14114816912554246</v>
      </c>
      <c r="L128" s="141">
        <f t="shared" si="249"/>
        <v>9.0000000000000066E-2</v>
      </c>
      <c r="M128" s="141">
        <f t="shared" si="250"/>
        <v>1.5525296310597771E-2</v>
      </c>
      <c r="N128" s="140">
        <f t="shared" si="251"/>
        <v>19881.319608780006</v>
      </c>
      <c r="AA128" s="139"/>
      <c r="AB128" s="139"/>
      <c r="AC128" s="139"/>
      <c r="AD128" s="139"/>
      <c r="AE128" s="139"/>
      <c r="AG128" s="139"/>
      <c r="AI128" s="139"/>
      <c r="AJ128" s="139"/>
      <c r="AK128" s="139"/>
    </row>
    <row r="129" spans="1:37" s="138" customFormat="1" ht="30" hidden="1" x14ac:dyDescent="0.25">
      <c r="A129" s="138" t="s">
        <v>55</v>
      </c>
      <c r="B129" s="138">
        <v>2022</v>
      </c>
      <c r="C129" s="138" t="s">
        <v>334</v>
      </c>
      <c r="D129" s="138" t="s">
        <v>4</v>
      </c>
      <c r="E129" s="138" t="s">
        <v>5</v>
      </c>
      <c r="F129" s="138" t="s">
        <v>19</v>
      </c>
      <c r="G129" s="138">
        <v>180.94200000000001</v>
      </c>
      <c r="H129" s="138">
        <v>162.84779999999998</v>
      </c>
      <c r="I129" s="138">
        <v>19.27</v>
      </c>
      <c r="J129" s="138">
        <v>1446.3602000000001</v>
      </c>
      <c r="K129" s="141">
        <f t="shared" ref="K129:K130" si="252">H129/G129</f>
        <v>0.8999999999999998</v>
      </c>
      <c r="L129" s="141">
        <f t="shared" ref="L129:L130" si="253">I129/G129</f>
        <v>0.10649821489759148</v>
      </c>
      <c r="M129" s="141">
        <f t="shared" ref="M129:M130" si="254">J129/G129</f>
        <v>7.9935017851024091</v>
      </c>
      <c r="N129" s="140">
        <f t="shared" ref="N129:N130" si="255">G129-H129-I129-J129</f>
        <v>-1447.5360000000001</v>
      </c>
      <c r="AA129" s="139"/>
      <c r="AB129" s="139"/>
      <c r="AC129" s="139"/>
      <c r="AD129" s="139"/>
      <c r="AE129" s="139"/>
      <c r="AG129" s="139"/>
      <c r="AI129" s="139"/>
      <c r="AJ129" s="139"/>
      <c r="AK129" s="139"/>
    </row>
    <row r="130" spans="1:37" s="138" customFormat="1" ht="30" x14ac:dyDescent="0.25">
      <c r="A130" s="138" t="s">
        <v>55</v>
      </c>
      <c r="B130" s="138">
        <v>2022</v>
      </c>
      <c r="C130" s="138" t="s">
        <v>334</v>
      </c>
      <c r="D130" s="138" t="s">
        <v>4</v>
      </c>
      <c r="E130" s="138" t="s">
        <v>7</v>
      </c>
      <c r="F130" s="138" t="s">
        <v>20</v>
      </c>
      <c r="K130" s="141" t="e">
        <f t="shared" si="252"/>
        <v>#DIV/0!</v>
      </c>
      <c r="L130" s="141" t="e">
        <f t="shared" si="253"/>
        <v>#DIV/0!</v>
      </c>
      <c r="M130" s="141" t="e">
        <f t="shared" si="254"/>
        <v>#DIV/0!</v>
      </c>
      <c r="N130" s="140">
        <f t="shared" si="255"/>
        <v>0</v>
      </c>
      <c r="AA130" s="139"/>
      <c r="AB130" s="139"/>
      <c r="AC130" s="139"/>
      <c r="AD130" s="139"/>
      <c r="AE130" s="139"/>
      <c r="AG130" s="139"/>
      <c r="AI130" s="139"/>
      <c r="AJ130" s="139"/>
      <c r="AK130" s="139"/>
    </row>
    <row r="131" spans="1:37" s="138" customFormat="1" ht="30" hidden="1" x14ac:dyDescent="0.25">
      <c r="A131" s="138" t="s">
        <v>54</v>
      </c>
      <c r="B131" s="138">
        <v>2022</v>
      </c>
      <c r="C131" s="138" t="s">
        <v>334</v>
      </c>
      <c r="D131" s="138" t="s">
        <v>4</v>
      </c>
      <c r="E131" s="138" t="s">
        <v>5</v>
      </c>
      <c r="F131" s="138" t="s">
        <v>19</v>
      </c>
      <c r="K131" s="141" t="e">
        <f t="shared" ref="K131:K132" si="256">H131/G131</f>
        <v>#DIV/0!</v>
      </c>
      <c r="L131" s="141" t="e">
        <f t="shared" ref="L131:L132" si="257">I131/G131</f>
        <v>#DIV/0!</v>
      </c>
      <c r="M131" s="141" t="e">
        <f t="shared" ref="M131:M132" si="258">J131/G131</f>
        <v>#DIV/0!</v>
      </c>
      <c r="N131" s="140">
        <f t="shared" ref="N131:N132" si="259">G131-H131-I131-J131</f>
        <v>0</v>
      </c>
      <c r="AA131" s="139"/>
      <c r="AB131" s="139"/>
      <c r="AC131" s="139"/>
      <c r="AD131" s="139"/>
      <c r="AE131" s="139"/>
      <c r="AG131" s="139"/>
      <c r="AI131" s="139"/>
      <c r="AJ131" s="139"/>
      <c r="AK131" s="139"/>
    </row>
    <row r="132" spans="1:37" s="138" customFormat="1" ht="30" x14ac:dyDescent="0.25">
      <c r="A132" s="138" t="s">
        <v>54</v>
      </c>
      <c r="B132" s="138">
        <v>2022</v>
      </c>
      <c r="C132" s="138" t="s">
        <v>334</v>
      </c>
      <c r="D132" s="138" t="s">
        <v>4</v>
      </c>
      <c r="E132" s="138" t="s">
        <v>7</v>
      </c>
      <c r="F132" s="138" t="s">
        <v>20</v>
      </c>
      <c r="K132" s="141" t="e">
        <f t="shared" si="256"/>
        <v>#DIV/0!</v>
      </c>
      <c r="L132" s="141" t="e">
        <f t="shared" si="257"/>
        <v>#DIV/0!</v>
      </c>
      <c r="M132" s="141" t="e">
        <f t="shared" si="258"/>
        <v>#DIV/0!</v>
      </c>
      <c r="N132" s="140">
        <f t="shared" si="259"/>
        <v>0</v>
      </c>
      <c r="AA132" s="139"/>
      <c r="AB132" s="139"/>
      <c r="AC132" s="139"/>
      <c r="AD132" s="139"/>
      <c r="AE132" s="139"/>
      <c r="AG132" s="139"/>
      <c r="AI132" s="139"/>
      <c r="AJ132" s="139"/>
      <c r="AK132" s="139"/>
    </row>
    <row r="133" spans="1:37" s="138" customFormat="1" ht="30" hidden="1" x14ac:dyDescent="0.25">
      <c r="A133" s="138" t="s">
        <v>53</v>
      </c>
      <c r="B133" s="138">
        <v>2022</v>
      </c>
      <c r="C133" s="138" t="s">
        <v>334</v>
      </c>
      <c r="D133" s="138" t="s">
        <v>4</v>
      </c>
      <c r="E133" s="138" t="s">
        <v>5</v>
      </c>
      <c r="F133" s="138" t="s">
        <v>19</v>
      </c>
      <c r="K133" s="141" t="e">
        <f t="shared" ref="K133:K134" si="260">H133/G133</f>
        <v>#DIV/0!</v>
      </c>
      <c r="L133" s="141" t="e">
        <f t="shared" ref="L133:L134" si="261">I133/G133</f>
        <v>#DIV/0!</v>
      </c>
      <c r="M133" s="141" t="e">
        <f t="shared" ref="M133:M134" si="262">J133/G133</f>
        <v>#DIV/0!</v>
      </c>
      <c r="N133" s="140">
        <f t="shared" ref="N133:N134" si="263">G133-H133-I133-J133</f>
        <v>0</v>
      </c>
      <c r="AA133" s="139"/>
      <c r="AB133" s="139"/>
      <c r="AC133" s="139"/>
      <c r="AD133" s="139"/>
      <c r="AE133" s="139"/>
      <c r="AG133" s="139"/>
      <c r="AI133" s="139"/>
      <c r="AJ133" s="139"/>
      <c r="AK133" s="139"/>
    </row>
    <row r="134" spans="1:37" s="138" customFormat="1" ht="30" x14ac:dyDescent="0.25">
      <c r="A134" s="138" t="s">
        <v>53</v>
      </c>
      <c r="B134" s="138">
        <v>2022</v>
      </c>
      <c r="C134" s="138" t="s">
        <v>334</v>
      </c>
      <c r="D134" s="138" t="s">
        <v>4</v>
      </c>
      <c r="E134" s="138" t="s">
        <v>7</v>
      </c>
      <c r="F134" s="138" t="s">
        <v>20</v>
      </c>
      <c r="K134" s="141" t="e">
        <f t="shared" si="260"/>
        <v>#DIV/0!</v>
      </c>
      <c r="L134" s="141" t="e">
        <f t="shared" si="261"/>
        <v>#DIV/0!</v>
      </c>
      <c r="M134" s="141" t="e">
        <f t="shared" si="262"/>
        <v>#DIV/0!</v>
      </c>
      <c r="N134" s="140">
        <f t="shared" si="263"/>
        <v>0</v>
      </c>
      <c r="AA134" s="139"/>
      <c r="AB134" s="139"/>
      <c r="AC134" s="139"/>
      <c r="AD134" s="139"/>
      <c r="AE134" s="139"/>
      <c r="AG134" s="139"/>
      <c r="AI134" s="139"/>
      <c r="AJ134" s="139"/>
      <c r="AK134" s="139"/>
    </row>
    <row r="135" spans="1:37" s="138" customFormat="1" ht="30" hidden="1" x14ac:dyDescent="0.25">
      <c r="A135" s="138" t="s">
        <v>55</v>
      </c>
      <c r="B135" s="138">
        <v>2022</v>
      </c>
      <c r="C135" s="138" t="s">
        <v>333</v>
      </c>
      <c r="D135" s="138" t="s">
        <v>1</v>
      </c>
      <c r="E135" s="138" t="s">
        <v>2</v>
      </c>
      <c r="F135" s="138" t="s">
        <v>13</v>
      </c>
      <c r="K135" s="141" t="e">
        <f t="shared" ref="K135:K136" si="264">H135/G135</f>
        <v>#DIV/0!</v>
      </c>
      <c r="L135" s="141" t="e">
        <f t="shared" ref="L135:L136" si="265">I135/G135</f>
        <v>#DIV/0!</v>
      </c>
      <c r="M135" s="141" t="e">
        <f t="shared" ref="M135:M136" si="266">J135/G135</f>
        <v>#DIV/0!</v>
      </c>
      <c r="N135" s="140">
        <f t="shared" ref="N135:N136" si="267">G135-H135-I135-J135</f>
        <v>0</v>
      </c>
      <c r="AA135" s="139"/>
      <c r="AB135" s="139"/>
      <c r="AC135" s="139"/>
      <c r="AD135" s="139"/>
      <c r="AE135" s="139"/>
      <c r="AG135" s="139"/>
      <c r="AI135" s="139"/>
      <c r="AJ135" s="139"/>
      <c r="AK135" s="139"/>
    </row>
    <row r="136" spans="1:37" s="138" customFormat="1" ht="15" hidden="1" x14ac:dyDescent="0.25">
      <c r="A136" s="138" t="s">
        <v>332</v>
      </c>
      <c r="B136" s="138" t="s">
        <v>332</v>
      </c>
      <c r="C136" s="138" t="s">
        <v>332</v>
      </c>
      <c r="D136" s="138" t="s">
        <v>332</v>
      </c>
      <c r="E136" s="138" t="s">
        <v>332</v>
      </c>
      <c r="F136" s="138" t="s">
        <v>332</v>
      </c>
      <c r="K136" s="141" t="e">
        <f t="shared" si="264"/>
        <v>#DIV/0!</v>
      </c>
      <c r="L136" s="141" t="e">
        <f t="shared" si="265"/>
        <v>#DIV/0!</v>
      </c>
      <c r="M136" s="141" t="e">
        <f t="shared" si="266"/>
        <v>#DIV/0!</v>
      </c>
      <c r="N136" s="140">
        <f t="shared" si="267"/>
        <v>0</v>
      </c>
      <c r="AA136" s="139"/>
      <c r="AB136" s="139"/>
      <c r="AC136" s="139"/>
      <c r="AD136" s="139"/>
      <c r="AE136" s="139"/>
      <c r="AG136" s="139"/>
      <c r="AI136" s="139"/>
      <c r="AJ136" s="139"/>
      <c r="AK136" s="139"/>
    </row>
    <row r="137" spans="1:37" s="138" customFormat="1" ht="30" hidden="1" x14ac:dyDescent="0.25">
      <c r="A137" s="138" t="s">
        <v>54</v>
      </c>
      <c r="B137" s="138">
        <v>2022</v>
      </c>
      <c r="C137" s="138" t="s">
        <v>333</v>
      </c>
      <c r="D137" s="138" t="s">
        <v>1</v>
      </c>
      <c r="E137" s="138" t="s">
        <v>2</v>
      </c>
      <c r="F137" s="138" t="s">
        <v>13</v>
      </c>
      <c r="K137" s="141" t="e">
        <f t="shared" ref="K137:K138" si="268">H137/G137</f>
        <v>#DIV/0!</v>
      </c>
      <c r="L137" s="141" t="e">
        <f t="shared" ref="L137:L138" si="269">I137/G137</f>
        <v>#DIV/0!</v>
      </c>
      <c r="M137" s="141" t="e">
        <f t="shared" ref="M137:M138" si="270">J137/G137</f>
        <v>#DIV/0!</v>
      </c>
      <c r="N137" s="140">
        <f t="shared" ref="N137:N138" si="271">G137-H137-I137-J137</f>
        <v>0</v>
      </c>
      <c r="AA137" s="139"/>
      <c r="AB137" s="139"/>
      <c r="AC137" s="139"/>
      <c r="AD137" s="139"/>
      <c r="AE137" s="139"/>
      <c r="AG137" s="139"/>
      <c r="AI137" s="139"/>
      <c r="AJ137" s="139"/>
      <c r="AK137" s="139"/>
    </row>
    <row r="138" spans="1:37" s="138" customFormat="1" ht="15" hidden="1" x14ac:dyDescent="0.25">
      <c r="A138" s="138" t="s">
        <v>332</v>
      </c>
      <c r="B138" s="138" t="s">
        <v>332</v>
      </c>
      <c r="C138" s="138" t="s">
        <v>332</v>
      </c>
      <c r="D138" s="138" t="s">
        <v>332</v>
      </c>
      <c r="E138" s="138" t="s">
        <v>332</v>
      </c>
      <c r="F138" s="138" t="s">
        <v>332</v>
      </c>
      <c r="K138" s="141" t="e">
        <f t="shared" si="268"/>
        <v>#DIV/0!</v>
      </c>
      <c r="L138" s="141" t="e">
        <f t="shared" si="269"/>
        <v>#DIV/0!</v>
      </c>
      <c r="M138" s="141" t="e">
        <f t="shared" si="270"/>
        <v>#DIV/0!</v>
      </c>
      <c r="N138" s="140">
        <f t="shared" si="271"/>
        <v>0</v>
      </c>
      <c r="AA138" s="139"/>
      <c r="AB138" s="139"/>
      <c r="AC138" s="139"/>
      <c r="AD138" s="139"/>
      <c r="AE138" s="139"/>
      <c r="AG138" s="139"/>
      <c r="AI138" s="139"/>
      <c r="AJ138" s="139"/>
      <c r="AK138" s="139"/>
    </row>
    <row r="139" spans="1:37" s="138" customFormat="1" ht="30" hidden="1" x14ac:dyDescent="0.25">
      <c r="A139" s="138" t="s">
        <v>53</v>
      </c>
      <c r="B139" s="138">
        <v>2022</v>
      </c>
      <c r="C139" s="138" t="s">
        <v>333</v>
      </c>
      <c r="D139" s="138" t="s">
        <v>1</v>
      </c>
      <c r="E139" s="138" t="s">
        <v>2</v>
      </c>
      <c r="F139" s="138" t="s">
        <v>13</v>
      </c>
      <c r="K139" s="141" t="e">
        <f t="shared" ref="K139:K140" si="272">H139/G139</f>
        <v>#DIV/0!</v>
      </c>
      <c r="L139" s="141" t="e">
        <f t="shared" ref="L139:L140" si="273">I139/G139</f>
        <v>#DIV/0!</v>
      </c>
      <c r="M139" s="141" t="e">
        <f t="shared" ref="M139:M140" si="274">J139/G139</f>
        <v>#DIV/0!</v>
      </c>
      <c r="N139" s="140">
        <f t="shared" ref="N139:N140" si="275">G139-H139-I139-J139</f>
        <v>0</v>
      </c>
      <c r="AA139" s="139"/>
      <c r="AB139" s="139"/>
      <c r="AC139" s="139"/>
      <c r="AD139" s="139"/>
      <c r="AE139" s="139"/>
      <c r="AG139" s="139"/>
      <c r="AI139" s="139"/>
      <c r="AJ139" s="139"/>
      <c r="AK139" s="139"/>
    </row>
    <row r="140" spans="1:37" s="138" customFormat="1" ht="15" hidden="1" x14ac:dyDescent="0.25">
      <c r="A140" s="138" t="s">
        <v>332</v>
      </c>
      <c r="B140" s="138" t="s">
        <v>332</v>
      </c>
      <c r="C140" s="138" t="s">
        <v>332</v>
      </c>
      <c r="D140" s="138" t="s">
        <v>332</v>
      </c>
      <c r="E140" s="138" t="s">
        <v>332</v>
      </c>
      <c r="F140" s="138" t="s">
        <v>332</v>
      </c>
      <c r="K140" s="141" t="e">
        <f t="shared" si="272"/>
        <v>#DIV/0!</v>
      </c>
      <c r="L140" s="141" t="e">
        <f t="shared" si="273"/>
        <v>#DIV/0!</v>
      </c>
      <c r="M140" s="141" t="e">
        <f t="shared" si="274"/>
        <v>#DIV/0!</v>
      </c>
      <c r="N140" s="140">
        <f t="shared" si="275"/>
        <v>0</v>
      </c>
      <c r="AA140" s="139"/>
      <c r="AB140" s="139"/>
      <c r="AC140" s="139"/>
      <c r="AD140" s="139"/>
      <c r="AE140" s="139"/>
      <c r="AG140" s="139"/>
      <c r="AI140" s="139"/>
      <c r="AJ140" s="139"/>
      <c r="AK140" s="139"/>
    </row>
    <row r="141" spans="1:37" s="138" customFormat="1" ht="30" hidden="1" x14ac:dyDescent="0.25">
      <c r="A141" s="138" t="s">
        <v>55</v>
      </c>
      <c r="B141" s="138">
        <v>2022</v>
      </c>
      <c r="C141" s="138" t="s">
        <v>333</v>
      </c>
      <c r="D141" s="138" t="s">
        <v>9</v>
      </c>
      <c r="E141" s="138" t="s">
        <v>10</v>
      </c>
      <c r="F141" s="138" t="s">
        <v>16</v>
      </c>
      <c r="K141" s="141" t="e">
        <f t="shared" ref="K141:K142" si="276">H141/G141</f>
        <v>#DIV/0!</v>
      </c>
      <c r="L141" s="141" t="e">
        <f t="shared" ref="L141:L142" si="277">I141/G141</f>
        <v>#DIV/0!</v>
      </c>
      <c r="M141" s="141" t="e">
        <f t="shared" ref="M141:M142" si="278">J141/G141</f>
        <v>#DIV/0!</v>
      </c>
      <c r="N141" s="140">
        <f t="shared" ref="N141:N142" si="279">G141-H141-I141-J141</f>
        <v>0</v>
      </c>
      <c r="AA141" s="139"/>
      <c r="AB141" s="139"/>
      <c r="AC141" s="139"/>
      <c r="AD141" s="139"/>
      <c r="AE141" s="139"/>
      <c r="AG141" s="139"/>
      <c r="AI141" s="139"/>
      <c r="AJ141" s="139"/>
      <c r="AK141" s="139"/>
    </row>
    <row r="142" spans="1:37" s="138" customFormat="1" ht="30" hidden="1" x14ac:dyDescent="0.25">
      <c r="A142" s="138" t="s">
        <v>55</v>
      </c>
      <c r="B142" s="138">
        <v>2022</v>
      </c>
      <c r="C142" s="138" t="s">
        <v>333</v>
      </c>
      <c r="D142" s="138" t="s">
        <v>9</v>
      </c>
      <c r="E142" s="138" t="s">
        <v>12</v>
      </c>
      <c r="F142" s="138" t="s">
        <v>17</v>
      </c>
      <c r="K142" s="141" t="e">
        <f t="shared" si="276"/>
        <v>#DIV/0!</v>
      </c>
      <c r="L142" s="141" t="e">
        <f t="shared" si="277"/>
        <v>#DIV/0!</v>
      </c>
      <c r="M142" s="141" t="e">
        <f t="shared" si="278"/>
        <v>#DIV/0!</v>
      </c>
      <c r="N142" s="140">
        <f t="shared" si="279"/>
        <v>0</v>
      </c>
      <c r="AA142" s="139"/>
      <c r="AB142" s="139"/>
      <c r="AC142" s="139"/>
      <c r="AD142" s="139"/>
      <c r="AE142" s="139"/>
      <c r="AG142" s="139"/>
      <c r="AI142" s="139"/>
      <c r="AJ142" s="139"/>
      <c r="AK142" s="139"/>
    </row>
    <row r="143" spans="1:37" s="138" customFormat="1" ht="30" hidden="1" x14ac:dyDescent="0.25">
      <c r="A143" s="138" t="s">
        <v>54</v>
      </c>
      <c r="B143" s="138">
        <v>2022</v>
      </c>
      <c r="C143" s="138" t="s">
        <v>333</v>
      </c>
      <c r="D143" s="138" t="s">
        <v>9</v>
      </c>
      <c r="E143" s="138" t="s">
        <v>10</v>
      </c>
      <c r="F143" s="138" t="s">
        <v>16</v>
      </c>
      <c r="G143" s="138">
        <v>7150.28712</v>
      </c>
      <c r="H143" s="138">
        <v>0</v>
      </c>
      <c r="I143" s="138">
        <v>715.02871200000004</v>
      </c>
      <c r="J143" s="138">
        <v>0</v>
      </c>
      <c r="K143" s="141">
        <f t="shared" ref="K143:K144" si="280">H143/G143</f>
        <v>0</v>
      </c>
      <c r="L143" s="141">
        <f t="shared" ref="L143:L144" si="281">I143/G143</f>
        <v>0.1</v>
      </c>
      <c r="M143" s="141">
        <f t="shared" ref="M143:M144" si="282">J143/G143</f>
        <v>0</v>
      </c>
      <c r="N143" s="140">
        <f t="shared" ref="N143:N144" si="283">G143-H143-I143-J143</f>
        <v>6435.2584079999997</v>
      </c>
      <c r="AA143" s="139"/>
      <c r="AB143" s="139"/>
      <c r="AC143" s="139"/>
      <c r="AD143" s="139"/>
      <c r="AE143" s="139"/>
      <c r="AG143" s="139"/>
      <c r="AI143" s="139"/>
      <c r="AJ143" s="139"/>
      <c r="AK143" s="139"/>
    </row>
    <row r="144" spans="1:37" s="138" customFormat="1" ht="30" hidden="1" x14ac:dyDescent="0.25">
      <c r="A144" s="138" t="s">
        <v>54</v>
      </c>
      <c r="B144" s="138">
        <v>2022</v>
      </c>
      <c r="C144" s="138" t="s">
        <v>333</v>
      </c>
      <c r="D144" s="138" t="s">
        <v>9</v>
      </c>
      <c r="E144" s="138" t="s">
        <v>12</v>
      </c>
      <c r="F144" s="138" t="s">
        <v>17</v>
      </c>
      <c r="G144" s="138">
        <v>296.48752033154943</v>
      </c>
      <c r="H144" s="138">
        <v>43.049760442080952</v>
      </c>
      <c r="I144" s="138">
        <v>29.648752033154942</v>
      </c>
      <c r="J144" s="138">
        <v>2.964874494641685</v>
      </c>
      <c r="K144" s="141">
        <f t="shared" si="280"/>
        <v>0.1451992326487814</v>
      </c>
      <c r="L144" s="141">
        <f t="shared" si="281"/>
        <v>9.9999999999999992E-2</v>
      </c>
      <c r="M144" s="141">
        <f t="shared" si="282"/>
        <v>9.9999976097685031E-3</v>
      </c>
      <c r="N144" s="140">
        <f t="shared" si="283"/>
        <v>220.82413336167184</v>
      </c>
      <c r="AA144" s="139"/>
      <c r="AB144" s="139"/>
      <c r="AC144" s="139"/>
      <c r="AD144" s="139"/>
      <c r="AE144" s="139"/>
      <c r="AG144" s="139"/>
      <c r="AI144" s="139"/>
      <c r="AJ144" s="139"/>
      <c r="AK144" s="139"/>
    </row>
    <row r="145" spans="1:37" s="138" customFormat="1" ht="30" hidden="1" x14ac:dyDescent="0.25">
      <c r="A145" s="138" t="s">
        <v>53</v>
      </c>
      <c r="B145" s="138">
        <v>2022</v>
      </c>
      <c r="C145" s="138" t="s">
        <v>333</v>
      </c>
      <c r="D145" s="138" t="s">
        <v>9</v>
      </c>
      <c r="E145" s="138" t="s">
        <v>10</v>
      </c>
      <c r="F145" s="138" t="s">
        <v>16</v>
      </c>
      <c r="G145" s="138">
        <v>-28156.392538087133</v>
      </c>
      <c r="H145" s="138">
        <v>-5703.7351892695224</v>
      </c>
      <c r="I145" s="138">
        <v>-2815.639253808713</v>
      </c>
      <c r="J145" s="138">
        <v>-646.30912492034463</v>
      </c>
      <c r="K145" s="141">
        <f t="shared" ref="K145:K146" si="284">H145/G145</f>
        <v>0.20257336523327993</v>
      </c>
      <c r="L145" s="141">
        <f t="shared" ref="L145:L146" si="285">I145/G145</f>
        <v>9.9999999999999992E-2</v>
      </c>
      <c r="M145" s="141">
        <f t="shared" ref="M145:M146" si="286">J145/G145</f>
        <v>2.2954258932357287E-2</v>
      </c>
      <c r="N145" s="140">
        <f t="shared" ref="N145:N146" si="287">G145-H145-I145-J145</f>
        <v>-18990.708970088552</v>
      </c>
      <c r="AA145" s="139"/>
      <c r="AB145" s="139"/>
      <c r="AC145" s="139"/>
      <c r="AD145" s="139"/>
      <c r="AE145" s="139"/>
      <c r="AG145" s="139"/>
      <c r="AI145" s="139"/>
      <c r="AJ145" s="139"/>
      <c r="AK145" s="139"/>
    </row>
    <row r="146" spans="1:37" s="138" customFormat="1" ht="30" hidden="1" x14ac:dyDescent="0.25">
      <c r="A146" s="138" t="s">
        <v>53</v>
      </c>
      <c r="B146" s="138">
        <v>2022</v>
      </c>
      <c r="C146" s="138" t="s">
        <v>333</v>
      </c>
      <c r="D146" s="138" t="s">
        <v>9</v>
      </c>
      <c r="E146" s="138" t="s">
        <v>12</v>
      </c>
      <c r="F146" s="138" t="s">
        <v>17</v>
      </c>
      <c r="G146" s="138">
        <v>2420.1908693604983</v>
      </c>
      <c r="H146" s="138">
        <v>393.78127903536893</v>
      </c>
      <c r="I146" s="138">
        <v>242.01908693604986</v>
      </c>
      <c r="J146" s="138">
        <v>65.823319630089145</v>
      </c>
      <c r="K146" s="141">
        <f t="shared" si="284"/>
        <v>0.16270670384746147</v>
      </c>
      <c r="L146" s="141">
        <f t="shared" si="285"/>
        <v>0.10000000000000002</v>
      </c>
      <c r="M146" s="141">
        <f t="shared" si="286"/>
        <v>2.7197573738257281E-2</v>
      </c>
      <c r="N146" s="140">
        <f t="shared" si="287"/>
        <v>1718.5671837589903</v>
      </c>
      <c r="AA146" s="139"/>
      <c r="AB146" s="139"/>
      <c r="AC146" s="139"/>
      <c r="AD146" s="139"/>
      <c r="AE146" s="139"/>
      <c r="AG146" s="139"/>
      <c r="AI146" s="139"/>
      <c r="AJ146" s="139"/>
      <c r="AK146" s="139"/>
    </row>
    <row r="147" spans="1:37" s="138" customFormat="1" ht="30" hidden="1" x14ac:dyDescent="0.25">
      <c r="A147" s="138" t="s">
        <v>55</v>
      </c>
      <c r="B147" s="138">
        <v>2022</v>
      </c>
      <c r="C147" s="138" t="s">
        <v>333</v>
      </c>
      <c r="D147" s="138" t="s">
        <v>4</v>
      </c>
      <c r="E147" s="138" t="s">
        <v>5</v>
      </c>
      <c r="F147" s="138" t="s">
        <v>14</v>
      </c>
      <c r="K147" s="141" t="e">
        <f t="shared" ref="K147:K148" si="288">H147/G147</f>
        <v>#DIV/0!</v>
      </c>
      <c r="L147" s="141" t="e">
        <f t="shared" ref="L147:L148" si="289">I147/G147</f>
        <v>#DIV/0!</v>
      </c>
      <c r="M147" s="141" t="e">
        <f t="shared" ref="M147:M148" si="290">J147/G147</f>
        <v>#DIV/0!</v>
      </c>
      <c r="N147" s="140">
        <f t="shared" ref="N147:N148" si="291">G147-H147-I147-J147</f>
        <v>0</v>
      </c>
      <c r="AA147" s="139"/>
      <c r="AB147" s="139"/>
      <c r="AC147" s="139"/>
      <c r="AD147" s="139"/>
      <c r="AE147" s="139"/>
      <c r="AG147" s="139"/>
      <c r="AI147" s="139"/>
      <c r="AJ147" s="139"/>
      <c r="AK147" s="139"/>
    </row>
    <row r="148" spans="1:37" s="138" customFormat="1" ht="30" hidden="1" x14ac:dyDescent="0.25">
      <c r="A148" s="138" t="s">
        <v>55</v>
      </c>
      <c r="B148" s="138">
        <v>2022</v>
      </c>
      <c r="C148" s="138" t="s">
        <v>333</v>
      </c>
      <c r="D148" s="138" t="s">
        <v>4</v>
      </c>
      <c r="E148" s="138" t="s">
        <v>7</v>
      </c>
      <c r="F148" s="138" t="s">
        <v>15</v>
      </c>
      <c r="K148" s="141" t="e">
        <f t="shared" si="288"/>
        <v>#DIV/0!</v>
      </c>
      <c r="L148" s="141" t="e">
        <f t="shared" si="289"/>
        <v>#DIV/0!</v>
      </c>
      <c r="M148" s="141" t="e">
        <f t="shared" si="290"/>
        <v>#DIV/0!</v>
      </c>
      <c r="N148" s="140">
        <f t="shared" si="291"/>
        <v>0</v>
      </c>
      <c r="AA148" s="139"/>
      <c r="AB148" s="139"/>
      <c r="AC148" s="139"/>
      <c r="AD148" s="139"/>
      <c r="AE148" s="139"/>
      <c r="AG148" s="139"/>
      <c r="AI148" s="139"/>
      <c r="AJ148" s="139"/>
      <c r="AK148" s="139"/>
    </row>
    <row r="149" spans="1:37" s="138" customFormat="1" ht="30" hidden="1" x14ac:dyDescent="0.25">
      <c r="A149" s="138" t="s">
        <v>54</v>
      </c>
      <c r="B149" s="138">
        <v>2022</v>
      </c>
      <c r="C149" s="138" t="s">
        <v>333</v>
      </c>
      <c r="D149" s="138" t="s">
        <v>4</v>
      </c>
      <c r="E149" s="138" t="s">
        <v>5</v>
      </c>
      <c r="F149" s="138" t="s">
        <v>14</v>
      </c>
      <c r="K149" s="141" t="e">
        <f t="shared" ref="K149:K150" si="292">H149/G149</f>
        <v>#DIV/0!</v>
      </c>
      <c r="L149" s="141" t="e">
        <f t="shared" ref="L149:L150" si="293">I149/G149</f>
        <v>#DIV/0!</v>
      </c>
      <c r="M149" s="141" t="e">
        <f t="shared" ref="M149:M150" si="294">J149/G149</f>
        <v>#DIV/0!</v>
      </c>
      <c r="N149" s="140">
        <f t="shared" ref="N149:N150" si="295">G149-H149-I149-J149</f>
        <v>0</v>
      </c>
      <c r="AA149" s="139"/>
      <c r="AB149" s="139"/>
      <c r="AC149" s="139"/>
      <c r="AD149" s="139"/>
      <c r="AE149" s="139"/>
      <c r="AG149" s="139"/>
      <c r="AI149" s="139"/>
      <c r="AJ149" s="139"/>
      <c r="AK149" s="139"/>
    </row>
    <row r="150" spans="1:37" s="138" customFormat="1" ht="30" hidden="1" x14ac:dyDescent="0.25">
      <c r="A150" s="138" t="s">
        <v>54</v>
      </c>
      <c r="B150" s="138">
        <v>2022</v>
      </c>
      <c r="C150" s="138" t="s">
        <v>333</v>
      </c>
      <c r="D150" s="138" t="s">
        <v>4</v>
      </c>
      <c r="E150" s="138" t="s">
        <v>7</v>
      </c>
      <c r="F150" s="138" t="s">
        <v>15</v>
      </c>
      <c r="K150" s="141" t="e">
        <f t="shared" si="292"/>
        <v>#DIV/0!</v>
      </c>
      <c r="L150" s="141" t="e">
        <f t="shared" si="293"/>
        <v>#DIV/0!</v>
      </c>
      <c r="M150" s="141" t="e">
        <f t="shared" si="294"/>
        <v>#DIV/0!</v>
      </c>
      <c r="N150" s="140">
        <f t="shared" si="295"/>
        <v>0</v>
      </c>
      <c r="AA150" s="139"/>
      <c r="AB150" s="139"/>
      <c r="AC150" s="139"/>
      <c r="AD150" s="139"/>
      <c r="AE150" s="139"/>
      <c r="AG150" s="139"/>
      <c r="AI150" s="139"/>
      <c r="AJ150" s="139"/>
      <c r="AK150" s="139"/>
    </row>
    <row r="151" spans="1:37" s="138" customFormat="1" ht="30" hidden="1" x14ac:dyDescent="0.25">
      <c r="A151" s="138" t="s">
        <v>53</v>
      </c>
      <c r="B151" s="138">
        <v>2022</v>
      </c>
      <c r="C151" s="138" t="s">
        <v>333</v>
      </c>
      <c r="D151" s="138" t="s">
        <v>4</v>
      </c>
      <c r="E151" s="138" t="s">
        <v>5</v>
      </c>
      <c r="F151" s="138" t="s">
        <v>14</v>
      </c>
      <c r="K151" s="141" t="e">
        <f t="shared" ref="K151:K152" si="296">H151/G151</f>
        <v>#DIV/0!</v>
      </c>
      <c r="L151" s="141" t="e">
        <f t="shared" ref="L151:L152" si="297">I151/G151</f>
        <v>#DIV/0!</v>
      </c>
      <c r="M151" s="141" t="e">
        <f t="shared" ref="M151:M152" si="298">J151/G151</f>
        <v>#DIV/0!</v>
      </c>
      <c r="N151" s="140">
        <f t="shared" ref="N151:N152" si="299">G151-H151-I151-J151</f>
        <v>0</v>
      </c>
      <c r="AA151" s="139"/>
      <c r="AB151" s="139"/>
      <c r="AC151" s="139"/>
      <c r="AD151" s="139"/>
      <c r="AE151" s="139"/>
      <c r="AG151" s="139"/>
      <c r="AI151" s="139"/>
      <c r="AJ151" s="139"/>
      <c r="AK151" s="139"/>
    </row>
    <row r="152" spans="1:37" s="138" customFormat="1" ht="30" hidden="1" x14ac:dyDescent="0.25">
      <c r="A152" s="138" t="s">
        <v>53</v>
      </c>
      <c r="B152" s="138">
        <v>2022</v>
      </c>
      <c r="C152" s="138" t="s">
        <v>333</v>
      </c>
      <c r="D152" s="138" t="s">
        <v>4</v>
      </c>
      <c r="E152" s="138" t="s">
        <v>7</v>
      </c>
      <c r="F152" s="138" t="s">
        <v>15</v>
      </c>
      <c r="K152" s="141" t="e">
        <f t="shared" si="296"/>
        <v>#DIV/0!</v>
      </c>
      <c r="L152" s="141" t="e">
        <f t="shared" si="297"/>
        <v>#DIV/0!</v>
      </c>
      <c r="M152" s="141" t="e">
        <f t="shared" si="298"/>
        <v>#DIV/0!</v>
      </c>
      <c r="N152" s="140">
        <f t="shared" si="299"/>
        <v>0</v>
      </c>
      <c r="AA152" s="139"/>
      <c r="AB152" s="139"/>
      <c r="AC152" s="139"/>
      <c r="AD152" s="139"/>
      <c r="AE152" s="139"/>
      <c r="AG152" s="139"/>
      <c r="AI152" s="139"/>
      <c r="AJ152" s="139"/>
      <c r="AK152" s="139"/>
    </row>
    <row r="153" spans="1:37" s="138" customFormat="1" ht="30" hidden="1" x14ac:dyDescent="0.25">
      <c r="A153" s="138" t="s">
        <v>55</v>
      </c>
      <c r="B153" s="138">
        <v>2022</v>
      </c>
      <c r="C153" s="138" t="s">
        <v>331</v>
      </c>
      <c r="D153" s="138" t="s">
        <v>1</v>
      </c>
      <c r="E153" s="138" t="s">
        <v>2</v>
      </c>
      <c r="F153" s="138" t="s">
        <v>0</v>
      </c>
      <c r="G153" s="138">
        <v>1224.1065340136911</v>
      </c>
      <c r="H153" s="138">
        <v>206.03207397424052</v>
      </c>
      <c r="I153" s="138">
        <v>153.01331675171139</v>
      </c>
      <c r="J153" s="138">
        <v>27.104322136245443</v>
      </c>
      <c r="K153" s="141">
        <f t="shared" ref="K153:K154" si="300">H153/G153</f>
        <v>0.16831220833262553</v>
      </c>
      <c r="L153" s="141">
        <f t="shared" ref="L153:L154" si="301">I153/G153</f>
        <v>0.125</v>
      </c>
      <c r="M153" s="141">
        <f t="shared" ref="M153:M154" si="302">J153/G153</f>
        <v>2.2142126835459155E-2</v>
      </c>
      <c r="N153" s="140">
        <f t="shared" ref="N153:N154" si="303">G153-H153-I153-J153</f>
        <v>837.95682115149373</v>
      </c>
      <c r="AA153" s="139"/>
      <c r="AB153" s="139"/>
      <c r="AC153" s="139"/>
      <c r="AD153" s="139"/>
      <c r="AE153" s="139"/>
      <c r="AG153" s="139"/>
      <c r="AI153" s="139"/>
      <c r="AJ153" s="139"/>
      <c r="AK153" s="139"/>
    </row>
    <row r="154" spans="1:37" s="138" customFormat="1" ht="15" hidden="1" x14ac:dyDescent="0.25">
      <c r="A154" s="138" t="s">
        <v>332</v>
      </c>
      <c r="B154" s="138" t="s">
        <v>332</v>
      </c>
      <c r="C154" s="138" t="s">
        <v>332</v>
      </c>
      <c r="D154" s="138" t="s">
        <v>332</v>
      </c>
      <c r="E154" s="138" t="s">
        <v>332</v>
      </c>
      <c r="F154" s="138" t="s">
        <v>332</v>
      </c>
      <c r="K154" s="141" t="e">
        <f t="shared" si="300"/>
        <v>#DIV/0!</v>
      </c>
      <c r="L154" s="141" t="e">
        <f t="shared" si="301"/>
        <v>#DIV/0!</v>
      </c>
      <c r="M154" s="141" t="e">
        <f t="shared" si="302"/>
        <v>#DIV/0!</v>
      </c>
      <c r="N154" s="140">
        <f t="shared" si="303"/>
        <v>0</v>
      </c>
      <c r="AA154" s="139"/>
      <c r="AB154" s="139"/>
      <c r="AC154" s="139"/>
      <c r="AD154" s="139"/>
      <c r="AE154" s="139"/>
      <c r="AG154" s="139"/>
      <c r="AI154" s="139"/>
      <c r="AJ154" s="139"/>
      <c r="AK154" s="139"/>
    </row>
    <row r="155" spans="1:37" s="138" customFormat="1" ht="30" hidden="1" x14ac:dyDescent="0.25">
      <c r="A155" s="138" t="s">
        <v>54</v>
      </c>
      <c r="B155" s="138">
        <v>2022</v>
      </c>
      <c r="C155" s="138" t="s">
        <v>331</v>
      </c>
      <c r="D155" s="138" t="s">
        <v>1</v>
      </c>
      <c r="E155" s="138" t="s">
        <v>2</v>
      </c>
      <c r="F155" s="138" t="s">
        <v>0</v>
      </c>
      <c r="G155" s="138">
        <v>3056.4421176470591</v>
      </c>
      <c r="H155" s="138">
        <v>535.01290885341177</v>
      </c>
      <c r="I155" s="138">
        <v>382.05526470588239</v>
      </c>
      <c r="J155" s="138">
        <v>88.738588235294131</v>
      </c>
      <c r="K155" s="141">
        <f t="shared" ref="K155:K156" si="304">H155/G155</f>
        <v>0.17504434511106684</v>
      </c>
      <c r="L155" s="141">
        <f t="shared" ref="L155:L156" si="305">I155/G155</f>
        <v>0.125</v>
      </c>
      <c r="M155" s="141">
        <f t="shared" ref="M155:M156" si="306">J155/G155</f>
        <v>2.9033295845173002E-2</v>
      </c>
      <c r="N155" s="140">
        <f t="shared" ref="N155:N156" si="307">G155-H155-I155-J155</f>
        <v>2050.6353558524706</v>
      </c>
      <c r="AA155" s="139"/>
      <c r="AB155" s="139"/>
      <c r="AC155" s="139"/>
      <c r="AD155" s="139"/>
      <c r="AE155" s="139"/>
      <c r="AG155" s="139"/>
      <c r="AI155" s="139"/>
      <c r="AJ155" s="139"/>
      <c r="AK155" s="139"/>
    </row>
    <row r="156" spans="1:37" s="138" customFormat="1" ht="15" hidden="1" x14ac:dyDescent="0.25">
      <c r="A156" s="138" t="s">
        <v>332</v>
      </c>
      <c r="B156" s="138" t="s">
        <v>332</v>
      </c>
      <c r="C156" s="138" t="s">
        <v>332</v>
      </c>
      <c r="D156" s="138" t="s">
        <v>332</v>
      </c>
      <c r="E156" s="138" t="s">
        <v>332</v>
      </c>
      <c r="F156" s="138" t="s">
        <v>332</v>
      </c>
      <c r="K156" s="141" t="e">
        <f t="shared" si="304"/>
        <v>#DIV/0!</v>
      </c>
      <c r="L156" s="141" t="e">
        <f t="shared" si="305"/>
        <v>#DIV/0!</v>
      </c>
      <c r="M156" s="141" t="e">
        <f t="shared" si="306"/>
        <v>#DIV/0!</v>
      </c>
      <c r="N156" s="140">
        <f t="shared" si="307"/>
        <v>0</v>
      </c>
      <c r="AA156" s="139"/>
      <c r="AB156" s="139"/>
      <c r="AC156" s="139"/>
      <c r="AD156" s="139"/>
      <c r="AE156" s="139"/>
      <c r="AG156" s="139"/>
      <c r="AI156" s="139"/>
      <c r="AJ156" s="139"/>
      <c r="AK156" s="139"/>
    </row>
    <row r="157" spans="1:37" s="138" customFormat="1" ht="30" hidden="1" x14ac:dyDescent="0.25">
      <c r="A157" s="138" t="s">
        <v>53</v>
      </c>
      <c r="B157" s="138">
        <v>2022</v>
      </c>
      <c r="C157" s="138" t="s">
        <v>331</v>
      </c>
      <c r="D157" s="138" t="s">
        <v>1</v>
      </c>
      <c r="E157" s="138" t="s">
        <v>2</v>
      </c>
      <c r="F157" s="138" t="s">
        <v>0</v>
      </c>
      <c r="K157" s="141" t="e">
        <f t="shared" ref="K157:K158" si="308">H157/G157</f>
        <v>#DIV/0!</v>
      </c>
      <c r="L157" s="141" t="e">
        <f t="shared" ref="L157:L158" si="309">I157/G157</f>
        <v>#DIV/0!</v>
      </c>
      <c r="M157" s="141" t="e">
        <f t="shared" ref="M157:M158" si="310">J157/G157</f>
        <v>#DIV/0!</v>
      </c>
      <c r="N157" s="140">
        <f t="shared" ref="N157:N158" si="311">G157-H157-I157-J157</f>
        <v>0</v>
      </c>
      <c r="AA157" s="139"/>
      <c r="AB157" s="139"/>
      <c r="AC157" s="139"/>
      <c r="AD157" s="139"/>
      <c r="AE157" s="139"/>
      <c r="AG157" s="139"/>
      <c r="AI157" s="139"/>
      <c r="AJ157" s="139"/>
      <c r="AK157" s="139"/>
    </row>
    <row r="158" spans="1:37" s="138" customFormat="1" ht="15" hidden="1" x14ac:dyDescent="0.25">
      <c r="A158" s="138" t="s">
        <v>332</v>
      </c>
      <c r="B158" s="138" t="s">
        <v>332</v>
      </c>
      <c r="C158" s="138" t="s">
        <v>332</v>
      </c>
      <c r="D158" s="138" t="s">
        <v>332</v>
      </c>
      <c r="E158" s="138" t="s">
        <v>332</v>
      </c>
      <c r="F158" s="138" t="s">
        <v>332</v>
      </c>
      <c r="K158" s="141" t="e">
        <f t="shared" si="308"/>
        <v>#DIV/0!</v>
      </c>
      <c r="L158" s="141" t="e">
        <f t="shared" si="309"/>
        <v>#DIV/0!</v>
      </c>
      <c r="M158" s="141" t="e">
        <f t="shared" si="310"/>
        <v>#DIV/0!</v>
      </c>
      <c r="N158" s="140">
        <f t="shared" si="311"/>
        <v>0</v>
      </c>
      <c r="AA158" s="139"/>
      <c r="AB158" s="139"/>
      <c r="AC158" s="139"/>
      <c r="AD158" s="139"/>
      <c r="AE158" s="139"/>
      <c r="AG158" s="139"/>
      <c r="AI158" s="139"/>
      <c r="AJ158" s="139"/>
      <c r="AK158" s="139"/>
    </row>
    <row r="159" spans="1:37" s="138" customFormat="1" ht="30" hidden="1" x14ac:dyDescent="0.25">
      <c r="A159" s="138" t="s">
        <v>55</v>
      </c>
      <c r="B159" s="138">
        <v>2022</v>
      </c>
      <c r="C159" s="138" t="s">
        <v>331</v>
      </c>
      <c r="D159" s="138" t="s">
        <v>9</v>
      </c>
      <c r="E159" s="138" t="s">
        <v>10</v>
      </c>
      <c r="F159" s="138" t="s">
        <v>8</v>
      </c>
      <c r="K159" s="141" t="e">
        <f t="shared" ref="K159:K160" si="312">H159/G159</f>
        <v>#DIV/0!</v>
      </c>
      <c r="L159" s="141" t="e">
        <f t="shared" ref="L159:L160" si="313">I159/G159</f>
        <v>#DIV/0!</v>
      </c>
      <c r="M159" s="141" t="e">
        <f t="shared" ref="M159:M160" si="314">J159/G159</f>
        <v>#DIV/0!</v>
      </c>
      <c r="N159" s="140">
        <f t="shared" ref="N159:N160" si="315">G159-H159-I159-J159</f>
        <v>0</v>
      </c>
      <c r="AA159" s="139"/>
      <c r="AB159" s="139"/>
      <c r="AC159" s="139"/>
      <c r="AD159" s="139"/>
      <c r="AE159" s="139"/>
      <c r="AG159" s="139"/>
      <c r="AI159" s="139"/>
      <c r="AJ159" s="139"/>
      <c r="AK159" s="139"/>
    </row>
    <row r="160" spans="1:37" s="138" customFormat="1" ht="30" hidden="1" x14ac:dyDescent="0.25">
      <c r="A160" s="138" t="s">
        <v>55</v>
      </c>
      <c r="B160" s="138">
        <v>2022</v>
      </c>
      <c r="C160" s="138" t="s">
        <v>331</v>
      </c>
      <c r="D160" s="138" t="s">
        <v>9</v>
      </c>
      <c r="E160" s="138" t="s">
        <v>12</v>
      </c>
      <c r="F160" s="138" t="s">
        <v>11</v>
      </c>
      <c r="K160" s="141" t="e">
        <f t="shared" si="312"/>
        <v>#DIV/0!</v>
      </c>
      <c r="L160" s="141" t="e">
        <f t="shared" si="313"/>
        <v>#DIV/0!</v>
      </c>
      <c r="M160" s="141" t="e">
        <f t="shared" si="314"/>
        <v>#DIV/0!</v>
      </c>
      <c r="N160" s="140">
        <f t="shared" si="315"/>
        <v>0</v>
      </c>
      <c r="AA160" s="139"/>
      <c r="AB160" s="139"/>
      <c r="AC160" s="139"/>
      <c r="AD160" s="139"/>
      <c r="AE160" s="139"/>
      <c r="AG160" s="139"/>
      <c r="AI160" s="139"/>
      <c r="AJ160" s="139"/>
      <c r="AK160" s="139"/>
    </row>
    <row r="161" spans="1:37" s="138" customFormat="1" ht="30" hidden="1" x14ac:dyDescent="0.25">
      <c r="A161" s="138" t="s">
        <v>54</v>
      </c>
      <c r="B161" s="138">
        <v>2022</v>
      </c>
      <c r="C161" s="138" t="s">
        <v>331</v>
      </c>
      <c r="D161" s="138" t="s">
        <v>9</v>
      </c>
      <c r="E161" s="138" t="s">
        <v>10</v>
      </c>
      <c r="F161" s="138" t="s">
        <v>8</v>
      </c>
      <c r="K161" s="141" t="e">
        <f t="shared" ref="K161:K162" si="316">H161/G161</f>
        <v>#DIV/0!</v>
      </c>
      <c r="L161" s="141" t="e">
        <f t="shared" ref="L161:L162" si="317">I161/G161</f>
        <v>#DIV/0!</v>
      </c>
      <c r="M161" s="141" t="e">
        <f t="shared" ref="M161:M162" si="318">J161/G161</f>
        <v>#DIV/0!</v>
      </c>
      <c r="N161" s="140">
        <f t="shared" ref="N161:N162" si="319">G161-H161-I161-J161</f>
        <v>0</v>
      </c>
      <c r="AA161" s="139"/>
      <c r="AB161" s="139"/>
      <c r="AC161" s="139"/>
      <c r="AD161" s="139"/>
      <c r="AE161" s="139"/>
      <c r="AG161" s="139"/>
      <c r="AI161" s="139"/>
      <c r="AJ161" s="139"/>
      <c r="AK161" s="139"/>
    </row>
    <row r="162" spans="1:37" s="138" customFormat="1" ht="30" hidden="1" x14ac:dyDescent="0.25">
      <c r="A162" s="138" t="s">
        <v>54</v>
      </c>
      <c r="B162" s="138">
        <v>2022</v>
      </c>
      <c r="C162" s="138" t="s">
        <v>331</v>
      </c>
      <c r="D162" s="138" t="s">
        <v>9</v>
      </c>
      <c r="E162" s="138" t="s">
        <v>12</v>
      </c>
      <c r="F162" s="138" t="s">
        <v>11</v>
      </c>
      <c r="G162" s="138">
        <v>-14.582212749000002</v>
      </c>
      <c r="H162" s="138">
        <v>0</v>
      </c>
      <c r="I162" s="138">
        <v>-1.8227765936250002</v>
      </c>
      <c r="J162" s="138">
        <v>0</v>
      </c>
      <c r="K162" s="141">
        <f t="shared" si="316"/>
        <v>0</v>
      </c>
      <c r="L162" s="141">
        <f t="shared" si="317"/>
        <v>0.125</v>
      </c>
      <c r="M162" s="141">
        <f t="shared" si="318"/>
        <v>0</v>
      </c>
      <c r="N162" s="140">
        <f t="shared" si="319"/>
        <v>-12.759436155375001</v>
      </c>
      <c r="AA162" s="139"/>
      <c r="AB162" s="139"/>
      <c r="AC162" s="139"/>
      <c r="AD162" s="139"/>
      <c r="AE162" s="139"/>
      <c r="AG162" s="139"/>
      <c r="AI162" s="139"/>
      <c r="AJ162" s="139"/>
      <c r="AK162" s="139"/>
    </row>
    <row r="163" spans="1:37" s="138" customFormat="1" ht="30" hidden="1" x14ac:dyDescent="0.25">
      <c r="A163" s="138" t="s">
        <v>53</v>
      </c>
      <c r="B163" s="138">
        <v>2022</v>
      </c>
      <c r="C163" s="138" t="s">
        <v>331</v>
      </c>
      <c r="D163" s="138" t="s">
        <v>9</v>
      </c>
      <c r="E163" s="138" t="s">
        <v>10</v>
      </c>
      <c r="F163" s="138" t="s">
        <v>8</v>
      </c>
      <c r="K163" s="141" t="e">
        <f t="shared" ref="K163:K164" si="320">H163/G163</f>
        <v>#DIV/0!</v>
      </c>
      <c r="L163" s="141" t="e">
        <f t="shared" ref="L163:L164" si="321">I163/G163</f>
        <v>#DIV/0!</v>
      </c>
      <c r="M163" s="141" t="e">
        <f t="shared" ref="M163:M164" si="322">J163/G163</f>
        <v>#DIV/0!</v>
      </c>
      <c r="N163" s="140">
        <f t="shared" ref="N163:N164" si="323">G163-H163-I163-J163</f>
        <v>0</v>
      </c>
      <c r="AA163" s="139"/>
      <c r="AB163" s="139"/>
      <c r="AC163" s="139"/>
      <c r="AD163" s="139"/>
      <c r="AE163" s="139"/>
      <c r="AG163" s="139"/>
      <c r="AI163" s="139"/>
      <c r="AJ163" s="139"/>
      <c r="AK163" s="139"/>
    </row>
    <row r="164" spans="1:37" s="138" customFormat="1" ht="30" hidden="1" x14ac:dyDescent="0.25">
      <c r="A164" s="138" t="s">
        <v>53</v>
      </c>
      <c r="B164" s="138">
        <v>2022</v>
      </c>
      <c r="C164" s="138" t="s">
        <v>331</v>
      </c>
      <c r="D164" s="138" t="s">
        <v>9</v>
      </c>
      <c r="E164" s="138" t="s">
        <v>12</v>
      </c>
      <c r="F164" s="138" t="s">
        <v>11</v>
      </c>
      <c r="G164" s="138">
        <v>22.873476185985034</v>
      </c>
      <c r="H164" s="138">
        <v>3.1056583918466329</v>
      </c>
      <c r="I164" s="138">
        <v>2.8591845232481292</v>
      </c>
      <c r="J164" s="138">
        <v>0.23164312949914367</v>
      </c>
      <c r="K164" s="141">
        <f t="shared" si="320"/>
        <v>0.1357755317379141</v>
      </c>
      <c r="L164" s="141">
        <f t="shared" si="321"/>
        <v>0.125</v>
      </c>
      <c r="M164" s="141">
        <f t="shared" si="322"/>
        <v>1.0127150224812587E-2</v>
      </c>
      <c r="N164" s="140">
        <f t="shared" si="323"/>
        <v>16.67699014139113</v>
      </c>
      <c r="AA164" s="139"/>
      <c r="AB164" s="139"/>
      <c r="AC164" s="139"/>
      <c r="AD164" s="139"/>
      <c r="AE164" s="139"/>
      <c r="AG164" s="139"/>
      <c r="AI164" s="139"/>
      <c r="AJ164" s="139"/>
      <c r="AK164" s="139"/>
    </row>
    <row r="165" spans="1:37" s="138" customFormat="1" ht="30" hidden="1" x14ac:dyDescent="0.25">
      <c r="A165" s="138" t="s">
        <v>55</v>
      </c>
      <c r="B165" s="138">
        <v>2022</v>
      </c>
      <c r="C165" s="138" t="s">
        <v>331</v>
      </c>
      <c r="D165" s="138" t="s">
        <v>4</v>
      </c>
      <c r="E165" s="138" t="s">
        <v>5</v>
      </c>
      <c r="F165" s="138" t="s">
        <v>3</v>
      </c>
      <c r="K165" s="141" t="e">
        <f t="shared" ref="K165:K166" si="324">H165/G165</f>
        <v>#DIV/0!</v>
      </c>
      <c r="L165" s="141" t="e">
        <f t="shared" ref="L165:L166" si="325">I165/G165</f>
        <v>#DIV/0!</v>
      </c>
      <c r="M165" s="141" t="e">
        <f t="shared" ref="M165:M166" si="326">J165/G165</f>
        <v>#DIV/0!</v>
      </c>
      <c r="N165" s="140">
        <f t="shared" ref="N165:N166" si="327">G165-H165-I165-J165</f>
        <v>0</v>
      </c>
      <c r="AA165" s="139"/>
      <c r="AB165" s="139"/>
      <c r="AC165" s="139"/>
      <c r="AD165" s="139"/>
      <c r="AE165" s="139"/>
      <c r="AG165" s="139"/>
      <c r="AI165" s="139"/>
      <c r="AJ165" s="139"/>
      <c r="AK165" s="139"/>
    </row>
    <row r="166" spans="1:37" s="138" customFormat="1" ht="30" hidden="1" x14ac:dyDescent="0.25">
      <c r="A166" s="138" t="s">
        <v>55</v>
      </c>
      <c r="B166" s="138">
        <v>2022</v>
      </c>
      <c r="C166" s="138" t="s">
        <v>331</v>
      </c>
      <c r="D166" s="138" t="s">
        <v>4</v>
      </c>
      <c r="E166" s="138" t="s">
        <v>7</v>
      </c>
      <c r="F166" s="138" t="s">
        <v>6</v>
      </c>
      <c r="K166" s="141" t="e">
        <f t="shared" si="324"/>
        <v>#DIV/0!</v>
      </c>
      <c r="L166" s="141" t="e">
        <f t="shared" si="325"/>
        <v>#DIV/0!</v>
      </c>
      <c r="M166" s="141" t="e">
        <f t="shared" si="326"/>
        <v>#DIV/0!</v>
      </c>
      <c r="N166" s="140">
        <f t="shared" si="327"/>
        <v>0</v>
      </c>
      <c r="AA166" s="139"/>
      <c r="AB166" s="139"/>
      <c r="AC166" s="139"/>
      <c r="AD166" s="139"/>
      <c r="AE166" s="139"/>
      <c r="AG166" s="139"/>
      <c r="AI166" s="139"/>
      <c r="AJ166" s="139"/>
      <c r="AK166" s="139"/>
    </row>
    <row r="167" spans="1:37" s="138" customFormat="1" ht="30" hidden="1" x14ac:dyDescent="0.25">
      <c r="A167" s="138" t="s">
        <v>54</v>
      </c>
      <c r="B167" s="138">
        <v>2022</v>
      </c>
      <c r="C167" s="138" t="s">
        <v>331</v>
      </c>
      <c r="D167" s="138" t="s">
        <v>4</v>
      </c>
      <c r="E167" s="138" t="s">
        <v>5</v>
      </c>
      <c r="F167" s="138" t="s">
        <v>3</v>
      </c>
      <c r="K167" s="141" t="e">
        <f t="shared" ref="K167:K168" si="328">H167/G167</f>
        <v>#DIV/0!</v>
      </c>
      <c r="L167" s="141" t="e">
        <f t="shared" ref="L167:L168" si="329">I167/G167</f>
        <v>#DIV/0!</v>
      </c>
      <c r="M167" s="141" t="e">
        <f t="shared" ref="M167:M168" si="330">J167/G167</f>
        <v>#DIV/0!</v>
      </c>
      <c r="N167" s="140">
        <f t="shared" ref="N167:N168" si="331">G167-H167-I167-J167</f>
        <v>0</v>
      </c>
      <c r="AA167" s="139"/>
      <c r="AB167" s="139"/>
      <c r="AC167" s="139"/>
      <c r="AD167" s="139"/>
      <c r="AE167" s="139"/>
      <c r="AG167" s="139"/>
      <c r="AI167" s="139"/>
      <c r="AJ167" s="139"/>
      <c r="AK167" s="139"/>
    </row>
    <row r="168" spans="1:37" s="138" customFormat="1" ht="30" hidden="1" x14ac:dyDescent="0.25">
      <c r="A168" s="138" t="s">
        <v>54</v>
      </c>
      <c r="B168" s="138">
        <v>2022</v>
      </c>
      <c r="C168" s="138" t="s">
        <v>331</v>
      </c>
      <c r="D168" s="138" t="s">
        <v>4</v>
      </c>
      <c r="E168" s="138" t="s">
        <v>7</v>
      </c>
      <c r="F168" s="138" t="s">
        <v>6</v>
      </c>
      <c r="K168" s="141" t="e">
        <f t="shared" si="328"/>
        <v>#DIV/0!</v>
      </c>
      <c r="L168" s="141" t="e">
        <f t="shared" si="329"/>
        <v>#DIV/0!</v>
      </c>
      <c r="M168" s="141" t="e">
        <f t="shared" si="330"/>
        <v>#DIV/0!</v>
      </c>
      <c r="N168" s="140">
        <f t="shared" si="331"/>
        <v>0</v>
      </c>
      <c r="AA168" s="139"/>
      <c r="AB168" s="139"/>
      <c r="AC168" s="139"/>
      <c r="AD168" s="139"/>
      <c r="AE168" s="139"/>
      <c r="AG168" s="139"/>
      <c r="AI168" s="139"/>
      <c r="AJ168" s="139"/>
      <c r="AK168" s="139"/>
    </row>
    <row r="169" spans="1:37" s="138" customFormat="1" ht="30" hidden="1" x14ac:dyDescent="0.25">
      <c r="A169" s="138" t="s">
        <v>53</v>
      </c>
      <c r="B169" s="138">
        <v>2022</v>
      </c>
      <c r="C169" s="138" t="s">
        <v>331</v>
      </c>
      <c r="D169" s="138" t="s">
        <v>4</v>
      </c>
      <c r="E169" s="138" t="s">
        <v>5</v>
      </c>
      <c r="F169" s="138" t="s">
        <v>3</v>
      </c>
      <c r="K169" s="141" t="e">
        <f t="shared" ref="K169:K170" si="332">H169/G169</f>
        <v>#DIV/0!</v>
      </c>
      <c r="L169" s="141" t="e">
        <f t="shared" ref="L169:L170" si="333">I169/G169</f>
        <v>#DIV/0!</v>
      </c>
      <c r="M169" s="141" t="e">
        <f t="shared" ref="M169:M170" si="334">J169/G169</f>
        <v>#DIV/0!</v>
      </c>
      <c r="N169" s="140">
        <f t="shared" ref="N169:N170" si="335">G169-H169-I169-J169</f>
        <v>0</v>
      </c>
      <c r="AA169" s="139"/>
      <c r="AB169" s="139"/>
      <c r="AC169" s="139"/>
      <c r="AD169" s="139"/>
      <c r="AE169" s="139"/>
      <c r="AG169" s="139"/>
      <c r="AI169" s="139"/>
      <c r="AJ169" s="139"/>
      <c r="AK169" s="139"/>
    </row>
    <row r="170" spans="1:37" s="138" customFormat="1" ht="30" hidden="1" x14ac:dyDescent="0.25">
      <c r="A170" s="138" t="s">
        <v>53</v>
      </c>
      <c r="B170" s="138">
        <v>2022</v>
      </c>
      <c r="C170" s="138" t="s">
        <v>331</v>
      </c>
      <c r="D170" s="138" t="s">
        <v>4</v>
      </c>
      <c r="E170" s="138" t="s">
        <v>7</v>
      </c>
      <c r="F170" s="138" t="s">
        <v>6</v>
      </c>
      <c r="G170" s="138">
        <v>18.29787142857143</v>
      </c>
      <c r="H170" s="138">
        <v>5.031914642857144</v>
      </c>
      <c r="I170" s="138">
        <v>2.2872339285714287</v>
      </c>
      <c r="J170" s="138">
        <v>0.27858509250000008</v>
      </c>
      <c r="K170" s="141">
        <f t="shared" si="332"/>
        <v>0.27500000000000002</v>
      </c>
      <c r="L170" s="141">
        <f t="shared" si="333"/>
        <v>0.125</v>
      </c>
      <c r="M170" s="141">
        <f t="shared" si="334"/>
        <v>1.5225000000000002E-2</v>
      </c>
      <c r="N170" s="140">
        <f t="shared" si="335"/>
        <v>10.700137764642857</v>
      </c>
      <c r="AA170" s="139"/>
      <c r="AB170" s="139"/>
      <c r="AC170" s="139"/>
      <c r="AD170" s="139"/>
      <c r="AE170" s="139"/>
      <c r="AG170" s="139"/>
      <c r="AI170" s="139"/>
      <c r="AJ170" s="139"/>
      <c r="AK170" s="139"/>
    </row>
    <row r="171" spans="1:37" s="138" customFormat="1" ht="30" hidden="1" x14ac:dyDescent="0.25">
      <c r="A171" s="138" t="s">
        <v>52</v>
      </c>
      <c r="B171" s="138">
        <v>2022</v>
      </c>
      <c r="C171" s="138" t="s">
        <v>335</v>
      </c>
      <c r="D171" s="138" t="s">
        <v>1</v>
      </c>
      <c r="E171" s="138" t="s">
        <v>2</v>
      </c>
      <c r="F171" s="138" t="s">
        <v>26</v>
      </c>
      <c r="G171" s="138">
        <v>167.57</v>
      </c>
      <c r="H171" s="138">
        <v>33.51</v>
      </c>
      <c r="I171" s="138">
        <v>15.08</v>
      </c>
      <c r="J171" s="138">
        <v>2.82</v>
      </c>
      <c r="K171" s="141">
        <f t="shared" ref="K171:K172" si="336">H171/G171</f>
        <v>0.19997612937876708</v>
      </c>
      <c r="L171" s="141">
        <f t="shared" ref="L171:L172" si="337">I171/G171</f>
        <v>8.9992242048099302E-2</v>
      </c>
      <c r="M171" s="141">
        <f t="shared" ref="M171:M172" si="338">J171/G171</f>
        <v>1.68287879692069E-2</v>
      </c>
      <c r="N171" s="140">
        <f t="shared" ref="N171:N172" si="339">G171-H171-I171-J171</f>
        <v>116.16000000000001</v>
      </c>
      <c r="AA171" s="139"/>
      <c r="AB171" s="139"/>
      <c r="AC171" s="139"/>
      <c r="AD171" s="139"/>
      <c r="AE171" s="139"/>
      <c r="AG171" s="139"/>
      <c r="AI171" s="139"/>
      <c r="AJ171" s="139"/>
      <c r="AK171" s="139"/>
    </row>
    <row r="172" spans="1:37" s="138" customFormat="1" ht="15" hidden="1" x14ac:dyDescent="0.25">
      <c r="A172" s="138" t="s">
        <v>332</v>
      </c>
      <c r="B172" s="138" t="s">
        <v>332</v>
      </c>
      <c r="C172" s="138" t="s">
        <v>332</v>
      </c>
      <c r="D172" s="138" t="s">
        <v>332</v>
      </c>
      <c r="E172" s="138" t="s">
        <v>332</v>
      </c>
      <c r="F172" s="138" t="s">
        <v>332</v>
      </c>
      <c r="K172" s="141" t="e">
        <f t="shared" si="336"/>
        <v>#DIV/0!</v>
      </c>
      <c r="L172" s="141" t="e">
        <f t="shared" si="337"/>
        <v>#DIV/0!</v>
      </c>
      <c r="M172" s="141" t="e">
        <f t="shared" si="338"/>
        <v>#DIV/0!</v>
      </c>
      <c r="N172" s="140">
        <f t="shared" si="339"/>
        <v>0</v>
      </c>
      <c r="AA172" s="139"/>
      <c r="AB172" s="139"/>
      <c r="AC172" s="139"/>
      <c r="AD172" s="139"/>
      <c r="AE172" s="139"/>
      <c r="AG172" s="139"/>
      <c r="AI172" s="139"/>
      <c r="AJ172" s="139"/>
      <c r="AK172" s="139"/>
    </row>
    <row r="173" spans="1:37" s="138" customFormat="1" ht="30" hidden="1" x14ac:dyDescent="0.25">
      <c r="A173" s="138" t="s">
        <v>52</v>
      </c>
      <c r="B173" s="138">
        <v>2022</v>
      </c>
      <c r="C173" s="138" t="s">
        <v>335</v>
      </c>
      <c r="D173" s="138" t="s">
        <v>9</v>
      </c>
      <c r="E173" s="138" t="s">
        <v>10</v>
      </c>
      <c r="F173" s="138" t="s">
        <v>29</v>
      </c>
      <c r="G173" s="138">
        <v>49392.42</v>
      </c>
      <c r="H173" s="138">
        <v>5332.44</v>
      </c>
      <c r="I173" s="138">
        <v>4445.32</v>
      </c>
      <c r="J173" s="138">
        <v>437.43</v>
      </c>
      <c r="K173" s="141">
        <f t="shared" ref="K173:K174" si="340">H173/G173</f>
        <v>0.10796069518359294</v>
      </c>
      <c r="L173" s="141">
        <f t="shared" ref="L173:L174" si="341">I173/G173</f>
        <v>9.0000044541247423E-2</v>
      </c>
      <c r="M173" s="141">
        <f t="shared" ref="M173:M174" si="342">J173/G173</f>
        <v>8.8562172090373391E-3</v>
      </c>
      <c r="N173" s="140">
        <f t="shared" ref="N173:N174" si="343">G173-H173-I173-J173</f>
        <v>39177.229999999996</v>
      </c>
      <c r="AA173" s="139"/>
      <c r="AB173" s="139"/>
      <c r="AC173" s="139"/>
      <c r="AD173" s="139"/>
      <c r="AE173" s="139"/>
      <c r="AG173" s="139"/>
      <c r="AI173" s="139"/>
      <c r="AJ173" s="139"/>
      <c r="AK173" s="139"/>
    </row>
    <row r="174" spans="1:37" s="138" customFormat="1" ht="30" hidden="1" x14ac:dyDescent="0.25">
      <c r="A174" s="138" t="s">
        <v>52</v>
      </c>
      <c r="B174" s="138">
        <v>2022</v>
      </c>
      <c r="C174" s="138" t="s">
        <v>335</v>
      </c>
      <c r="D174" s="138" t="s">
        <v>9</v>
      </c>
      <c r="E174" s="138" t="s">
        <v>12</v>
      </c>
      <c r="F174" s="138" t="s">
        <v>30</v>
      </c>
      <c r="G174" s="138">
        <v>1187881.79</v>
      </c>
      <c r="H174" s="138">
        <v>213791.12</v>
      </c>
      <c r="I174" s="138">
        <v>106909.36</v>
      </c>
      <c r="J174" s="138">
        <v>10281.32</v>
      </c>
      <c r="K174" s="141">
        <f t="shared" si="340"/>
        <v>0.17997676351280711</v>
      </c>
      <c r="L174" s="141">
        <f t="shared" si="341"/>
        <v>8.9999999073981929E-2</v>
      </c>
      <c r="M174" s="141">
        <f t="shared" si="342"/>
        <v>8.6551709829645589E-3</v>
      </c>
      <c r="N174" s="140">
        <f t="shared" si="343"/>
        <v>856899.99000000011</v>
      </c>
      <c r="AA174" s="139"/>
      <c r="AB174" s="139"/>
      <c r="AC174" s="139"/>
      <c r="AD174" s="139"/>
      <c r="AE174" s="139"/>
      <c r="AG174" s="139"/>
      <c r="AI174" s="139"/>
      <c r="AJ174" s="139"/>
      <c r="AK174" s="139"/>
    </row>
    <row r="175" spans="1:37" s="138" customFormat="1" ht="30" hidden="1" x14ac:dyDescent="0.25">
      <c r="A175" s="138" t="s">
        <v>52</v>
      </c>
      <c r="B175" s="138">
        <v>2022</v>
      </c>
      <c r="C175" s="138" t="s">
        <v>335</v>
      </c>
      <c r="D175" s="138" t="s">
        <v>4</v>
      </c>
      <c r="E175" s="138" t="s">
        <v>5</v>
      </c>
      <c r="F175" s="138" t="s">
        <v>27</v>
      </c>
      <c r="K175" s="141" t="e">
        <f t="shared" ref="K175:K176" si="344">H175/G175</f>
        <v>#DIV/0!</v>
      </c>
      <c r="L175" s="141" t="e">
        <f t="shared" ref="L175:L176" si="345">I175/G175</f>
        <v>#DIV/0!</v>
      </c>
      <c r="M175" s="141" t="e">
        <f t="shared" ref="M175:M176" si="346">J175/G175</f>
        <v>#DIV/0!</v>
      </c>
      <c r="N175" s="140">
        <f t="shared" ref="N175:N176" si="347">G175-H175-I175-J175</f>
        <v>0</v>
      </c>
      <c r="AA175" s="139"/>
      <c r="AB175" s="139"/>
      <c r="AC175" s="139"/>
      <c r="AD175" s="139"/>
      <c r="AE175" s="139"/>
      <c r="AG175" s="139"/>
      <c r="AI175" s="139"/>
      <c r="AJ175" s="139"/>
      <c r="AK175" s="139"/>
    </row>
    <row r="176" spans="1:37" s="138" customFormat="1" ht="30" hidden="1" x14ac:dyDescent="0.25">
      <c r="A176" s="138" t="s">
        <v>52</v>
      </c>
      <c r="B176" s="138">
        <v>2022</v>
      </c>
      <c r="C176" s="138" t="s">
        <v>335</v>
      </c>
      <c r="D176" s="138" t="s">
        <v>4</v>
      </c>
      <c r="E176" s="138" t="s">
        <v>7</v>
      </c>
      <c r="F176" s="138" t="s">
        <v>28</v>
      </c>
      <c r="K176" s="141" t="e">
        <f t="shared" si="344"/>
        <v>#DIV/0!</v>
      </c>
      <c r="L176" s="141" t="e">
        <f t="shared" si="345"/>
        <v>#DIV/0!</v>
      </c>
      <c r="M176" s="141" t="e">
        <f t="shared" si="346"/>
        <v>#DIV/0!</v>
      </c>
      <c r="N176" s="140">
        <f t="shared" si="347"/>
        <v>0</v>
      </c>
      <c r="AA176" s="139"/>
      <c r="AB176" s="139"/>
      <c r="AC176" s="139"/>
      <c r="AD176" s="139"/>
      <c r="AE176" s="139"/>
      <c r="AG176" s="139"/>
      <c r="AI176" s="139"/>
      <c r="AJ176" s="139"/>
      <c r="AK176" s="139"/>
    </row>
    <row r="177" spans="1:37" s="138" customFormat="1" ht="30" hidden="1" x14ac:dyDescent="0.25">
      <c r="A177" s="138" t="s">
        <v>52</v>
      </c>
      <c r="B177" s="138">
        <v>2022</v>
      </c>
      <c r="C177" s="138" t="s">
        <v>334</v>
      </c>
      <c r="D177" s="138" t="s">
        <v>24</v>
      </c>
      <c r="E177" s="138" t="s">
        <v>25</v>
      </c>
      <c r="F177" s="138" t="s">
        <v>23</v>
      </c>
      <c r="G177" s="138">
        <v>72.77</v>
      </c>
      <c r="H177" s="138">
        <v>14.55</v>
      </c>
      <c r="I177" s="138">
        <v>7.28</v>
      </c>
      <c r="J177" s="138">
        <v>1.46</v>
      </c>
      <c r="K177" s="141">
        <f t="shared" ref="K177:K178" si="348">H177/G177</f>
        <v>0.19994503229352759</v>
      </c>
      <c r="L177" s="141">
        <f t="shared" ref="L177:L178" si="349">I177/G177</f>
        <v>0.10004122577985435</v>
      </c>
      <c r="M177" s="141">
        <f t="shared" ref="M177:M178" si="350">J177/G177</f>
        <v>2.0063212862443315E-2</v>
      </c>
      <c r="N177" s="140">
        <f t="shared" ref="N177:N178" si="351">G177-H177-I177-J177</f>
        <v>49.48</v>
      </c>
      <c r="AA177" s="139"/>
      <c r="AB177" s="139"/>
      <c r="AC177" s="139"/>
      <c r="AD177" s="139"/>
      <c r="AE177" s="139"/>
      <c r="AG177" s="139"/>
      <c r="AI177" s="139"/>
      <c r="AJ177" s="139"/>
      <c r="AK177" s="139"/>
    </row>
    <row r="178" spans="1:37" s="138" customFormat="1" ht="15" hidden="1" x14ac:dyDescent="0.25">
      <c r="A178" s="138" t="s">
        <v>332</v>
      </c>
      <c r="B178" s="138" t="s">
        <v>332</v>
      </c>
      <c r="C178" s="138" t="s">
        <v>332</v>
      </c>
      <c r="D178" s="138" t="s">
        <v>332</v>
      </c>
      <c r="E178" s="138" t="s">
        <v>332</v>
      </c>
      <c r="F178" s="138" t="s">
        <v>332</v>
      </c>
      <c r="K178" s="141" t="e">
        <f t="shared" si="348"/>
        <v>#DIV/0!</v>
      </c>
      <c r="L178" s="141" t="e">
        <f t="shared" si="349"/>
        <v>#DIV/0!</v>
      </c>
      <c r="M178" s="141" t="e">
        <f t="shared" si="350"/>
        <v>#DIV/0!</v>
      </c>
      <c r="N178" s="140">
        <f t="shared" si="351"/>
        <v>0</v>
      </c>
      <c r="AA178" s="139"/>
      <c r="AB178" s="139"/>
      <c r="AC178" s="139"/>
      <c r="AD178" s="139"/>
      <c r="AE178" s="139"/>
      <c r="AG178" s="139"/>
      <c r="AI178" s="139"/>
      <c r="AJ178" s="139"/>
      <c r="AK178" s="139"/>
    </row>
    <row r="179" spans="1:37" s="138" customFormat="1" ht="30" hidden="1" x14ac:dyDescent="0.25">
      <c r="A179" s="138" t="s">
        <v>52</v>
      </c>
      <c r="B179" s="138">
        <v>2022</v>
      </c>
      <c r="C179" s="138" t="s">
        <v>334</v>
      </c>
      <c r="D179" s="138" t="s">
        <v>1</v>
      </c>
      <c r="E179" s="138" t="s">
        <v>2</v>
      </c>
      <c r="F179" s="138" t="s">
        <v>18</v>
      </c>
      <c r="G179" s="138">
        <v>3075.72</v>
      </c>
      <c r="H179" s="138">
        <v>768.93</v>
      </c>
      <c r="I179" s="138">
        <v>276.81</v>
      </c>
      <c r="J179" s="138">
        <v>30.76</v>
      </c>
      <c r="K179" s="141">
        <f t="shared" ref="K179:K180" si="352">H179/G179</f>
        <v>0.25</v>
      </c>
      <c r="L179" s="141">
        <f t="shared" ref="L179:L180" si="353">I179/G179</f>
        <v>8.9998439389801413E-2</v>
      </c>
      <c r="M179" s="141">
        <f t="shared" ref="M179:M180" si="354">J179/G179</f>
        <v>1.0000910355949178E-2</v>
      </c>
      <c r="N179" s="140">
        <f t="shared" ref="N179:N180" si="355">G179-H179-I179-J179</f>
        <v>1999.22</v>
      </c>
      <c r="AA179" s="139"/>
      <c r="AB179" s="139"/>
      <c r="AC179" s="139"/>
      <c r="AD179" s="139"/>
      <c r="AE179" s="139"/>
      <c r="AG179" s="139"/>
      <c r="AI179" s="139"/>
      <c r="AJ179" s="139"/>
      <c r="AK179" s="139"/>
    </row>
    <row r="180" spans="1:37" s="138" customFormat="1" ht="15" hidden="1" x14ac:dyDescent="0.25">
      <c r="A180" s="138" t="s">
        <v>332</v>
      </c>
      <c r="B180" s="138" t="s">
        <v>332</v>
      </c>
      <c r="C180" s="138" t="s">
        <v>332</v>
      </c>
      <c r="D180" s="138" t="s">
        <v>332</v>
      </c>
      <c r="E180" s="138" t="s">
        <v>332</v>
      </c>
      <c r="F180" s="138" t="s">
        <v>332</v>
      </c>
      <c r="K180" s="141" t="e">
        <f t="shared" si="352"/>
        <v>#DIV/0!</v>
      </c>
      <c r="L180" s="141" t="e">
        <f t="shared" si="353"/>
        <v>#DIV/0!</v>
      </c>
      <c r="M180" s="141" t="e">
        <f t="shared" si="354"/>
        <v>#DIV/0!</v>
      </c>
      <c r="N180" s="140">
        <f t="shared" si="355"/>
        <v>0</v>
      </c>
      <c r="AA180" s="139"/>
      <c r="AB180" s="139"/>
      <c r="AC180" s="139"/>
      <c r="AD180" s="139"/>
      <c r="AE180" s="139"/>
      <c r="AG180" s="139"/>
      <c r="AI180" s="139"/>
      <c r="AJ180" s="139"/>
      <c r="AK180" s="139"/>
    </row>
    <row r="181" spans="1:37" s="138" customFormat="1" ht="30" hidden="1" x14ac:dyDescent="0.25">
      <c r="A181" s="138" t="s">
        <v>52</v>
      </c>
      <c r="B181" s="138">
        <v>2022</v>
      </c>
      <c r="C181" s="138" t="s">
        <v>334</v>
      </c>
      <c r="D181" s="138" t="s">
        <v>9</v>
      </c>
      <c r="E181" s="138" t="s">
        <v>10</v>
      </c>
      <c r="F181" s="138" t="s">
        <v>21</v>
      </c>
      <c r="K181" s="141" t="e">
        <f t="shared" ref="K181:K182" si="356">H181/G181</f>
        <v>#DIV/0!</v>
      </c>
      <c r="L181" s="141" t="e">
        <f t="shared" ref="L181:L182" si="357">I181/G181</f>
        <v>#DIV/0!</v>
      </c>
      <c r="M181" s="141" t="e">
        <f t="shared" ref="M181:M182" si="358">J181/G181</f>
        <v>#DIV/0!</v>
      </c>
      <c r="N181" s="140">
        <f t="shared" ref="N181:N182" si="359">G181-H181-I181-J181</f>
        <v>0</v>
      </c>
      <c r="AA181" s="139"/>
      <c r="AB181" s="139"/>
      <c r="AC181" s="139"/>
      <c r="AD181" s="139"/>
      <c r="AE181" s="139"/>
      <c r="AG181" s="139"/>
      <c r="AI181" s="139"/>
      <c r="AJ181" s="139"/>
      <c r="AK181" s="139"/>
    </row>
    <row r="182" spans="1:37" s="138" customFormat="1" ht="30" hidden="1" x14ac:dyDescent="0.25">
      <c r="A182" s="138" t="s">
        <v>52</v>
      </c>
      <c r="B182" s="138">
        <v>2022</v>
      </c>
      <c r="C182" s="138" t="s">
        <v>334</v>
      </c>
      <c r="D182" s="138" t="s">
        <v>9</v>
      </c>
      <c r="E182" s="138" t="s">
        <v>12</v>
      </c>
      <c r="F182" s="138" t="s">
        <v>22</v>
      </c>
      <c r="G182" s="138">
        <v>26690.240000000002</v>
      </c>
      <c r="H182" s="138">
        <v>4545.42</v>
      </c>
      <c r="I182" s="138">
        <v>2402.12</v>
      </c>
      <c r="J182" s="138">
        <v>290.24</v>
      </c>
      <c r="K182" s="141">
        <f t="shared" si="356"/>
        <v>0.1703027024110686</v>
      </c>
      <c r="L182" s="141">
        <f t="shared" si="357"/>
        <v>8.9999940052993138E-2</v>
      </c>
      <c r="M182" s="141">
        <f t="shared" si="358"/>
        <v>1.0874387041855E-2</v>
      </c>
      <c r="N182" s="140">
        <f t="shared" si="359"/>
        <v>19452.46</v>
      </c>
      <c r="AA182" s="139"/>
      <c r="AB182" s="139"/>
      <c r="AC182" s="139"/>
      <c r="AD182" s="139"/>
      <c r="AE182" s="139"/>
      <c r="AG182" s="139"/>
      <c r="AI182" s="139"/>
      <c r="AJ182" s="139"/>
      <c r="AK182" s="139"/>
    </row>
    <row r="183" spans="1:37" s="138" customFormat="1" ht="30" hidden="1" x14ac:dyDescent="0.25">
      <c r="A183" s="138" t="s">
        <v>52</v>
      </c>
      <c r="B183" s="138">
        <v>2022</v>
      </c>
      <c r="C183" s="138" t="s">
        <v>334</v>
      </c>
      <c r="D183" s="138" t="s">
        <v>4</v>
      </c>
      <c r="E183" s="138" t="s">
        <v>5</v>
      </c>
      <c r="F183" s="138" t="s">
        <v>19</v>
      </c>
      <c r="G183" s="138">
        <v>-55276.1</v>
      </c>
      <c r="H183" s="138">
        <v>-17126.23</v>
      </c>
      <c r="I183" s="138">
        <v>-4974.8500000000004</v>
      </c>
      <c r="J183" s="138">
        <v>-809.87</v>
      </c>
      <c r="K183" s="141">
        <f t="shared" ref="K183:K184" si="360">H183/G183</f>
        <v>0.30983065013631572</v>
      </c>
      <c r="L183" s="141">
        <f t="shared" ref="L183:L184" si="361">I183/G183</f>
        <v>9.000001809100136E-2</v>
      </c>
      <c r="M183" s="141">
        <f t="shared" ref="M183:M184" si="362">J183/G183</f>
        <v>1.465135926738681E-2</v>
      </c>
      <c r="N183" s="140">
        <f t="shared" ref="N183:N184" si="363">G183-H183-I183-J183</f>
        <v>-32365.149999999998</v>
      </c>
      <c r="AA183" s="139"/>
      <c r="AB183" s="139"/>
      <c r="AC183" s="139"/>
      <c r="AD183" s="139"/>
      <c r="AE183" s="139"/>
      <c r="AG183" s="139"/>
      <c r="AI183" s="139"/>
      <c r="AJ183" s="139"/>
      <c r="AK183" s="139"/>
    </row>
    <row r="184" spans="1:37" s="138" customFormat="1" ht="30" x14ac:dyDescent="0.25">
      <c r="A184" s="138" t="s">
        <v>52</v>
      </c>
      <c r="B184" s="138">
        <v>2022</v>
      </c>
      <c r="C184" s="138" t="s">
        <v>334</v>
      </c>
      <c r="D184" s="138" t="s">
        <v>4</v>
      </c>
      <c r="E184" s="138" t="s">
        <v>7</v>
      </c>
      <c r="F184" s="138" t="s">
        <v>20</v>
      </c>
      <c r="K184" s="141" t="e">
        <f t="shared" si="360"/>
        <v>#DIV/0!</v>
      </c>
      <c r="L184" s="141" t="e">
        <f t="shared" si="361"/>
        <v>#DIV/0!</v>
      </c>
      <c r="M184" s="141" t="e">
        <f t="shared" si="362"/>
        <v>#DIV/0!</v>
      </c>
      <c r="N184" s="140">
        <f t="shared" si="363"/>
        <v>0</v>
      </c>
      <c r="AA184" s="139"/>
      <c r="AB184" s="139"/>
      <c r="AC184" s="139"/>
      <c r="AD184" s="139"/>
      <c r="AE184" s="139"/>
      <c r="AG184" s="139"/>
      <c r="AI184" s="139"/>
      <c r="AJ184" s="139"/>
      <c r="AK184" s="139"/>
    </row>
    <row r="185" spans="1:37" s="138" customFormat="1" ht="30" hidden="1" x14ac:dyDescent="0.25">
      <c r="A185" s="138" t="s">
        <v>52</v>
      </c>
      <c r="B185" s="138">
        <v>2022</v>
      </c>
      <c r="C185" s="138" t="s">
        <v>333</v>
      </c>
      <c r="D185" s="138" t="s">
        <v>1</v>
      </c>
      <c r="E185" s="138" t="s">
        <v>2</v>
      </c>
      <c r="F185" s="138" t="s">
        <v>13</v>
      </c>
      <c r="K185" s="141" t="e">
        <f t="shared" ref="K185:K186" si="364">H185/G185</f>
        <v>#DIV/0!</v>
      </c>
      <c r="L185" s="141" t="e">
        <f t="shared" ref="L185:L186" si="365">I185/G185</f>
        <v>#DIV/0!</v>
      </c>
      <c r="M185" s="141" t="e">
        <f t="shared" ref="M185:M186" si="366">J185/G185</f>
        <v>#DIV/0!</v>
      </c>
      <c r="N185" s="140">
        <f t="shared" ref="N185:N186" si="367">G185-H185-I185-J185</f>
        <v>0</v>
      </c>
      <c r="AA185" s="139"/>
      <c r="AB185" s="139"/>
      <c r="AC185" s="139"/>
      <c r="AD185" s="139"/>
      <c r="AE185" s="139"/>
      <c r="AG185" s="139"/>
      <c r="AI185" s="139"/>
      <c r="AJ185" s="139"/>
      <c r="AK185" s="139"/>
    </row>
    <row r="186" spans="1:37" s="138" customFormat="1" ht="15" hidden="1" x14ac:dyDescent="0.25">
      <c r="A186" s="138" t="s">
        <v>332</v>
      </c>
      <c r="B186" s="138" t="s">
        <v>332</v>
      </c>
      <c r="C186" s="138" t="s">
        <v>332</v>
      </c>
      <c r="D186" s="138" t="s">
        <v>332</v>
      </c>
      <c r="E186" s="138" t="s">
        <v>332</v>
      </c>
      <c r="F186" s="138" t="s">
        <v>332</v>
      </c>
      <c r="K186" s="141" t="e">
        <f t="shared" si="364"/>
        <v>#DIV/0!</v>
      </c>
      <c r="L186" s="141" t="e">
        <f t="shared" si="365"/>
        <v>#DIV/0!</v>
      </c>
      <c r="M186" s="141" t="e">
        <f t="shared" si="366"/>
        <v>#DIV/0!</v>
      </c>
      <c r="N186" s="140">
        <f t="shared" si="367"/>
        <v>0</v>
      </c>
      <c r="AA186" s="139"/>
      <c r="AB186" s="139"/>
      <c r="AC186" s="139"/>
      <c r="AD186" s="139"/>
      <c r="AE186" s="139"/>
      <c r="AG186" s="139"/>
      <c r="AI186" s="139"/>
      <c r="AJ186" s="139"/>
      <c r="AK186" s="139"/>
    </row>
    <row r="187" spans="1:37" s="138" customFormat="1" ht="30" hidden="1" x14ac:dyDescent="0.25">
      <c r="A187" s="138" t="s">
        <v>52</v>
      </c>
      <c r="B187" s="138">
        <v>2022</v>
      </c>
      <c r="C187" s="138" t="s">
        <v>333</v>
      </c>
      <c r="D187" s="138" t="s">
        <v>9</v>
      </c>
      <c r="E187" s="138" t="s">
        <v>10</v>
      </c>
      <c r="F187" s="138" t="s">
        <v>16</v>
      </c>
      <c r="K187" s="141" t="e">
        <f t="shared" ref="K187:K188" si="368">H187/G187</f>
        <v>#DIV/0!</v>
      </c>
      <c r="L187" s="141" t="e">
        <f t="shared" ref="L187:L188" si="369">I187/G187</f>
        <v>#DIV/0!</v>
      </c>
      <c r="M187" s="141" t="e">
        <f t="shared" ref="M187:M188" si="370">J187/G187</f>
        <v>#DIV/0!</v>
      </c>
      <c r="N187" s="140">
        <f t="shared" ref="N187:N188" si="371">G187-H187-I187-J187</f>
        <v>0</v>
      </c>
      <c r="AA187" s="139"/>
      <c r="AB187" s="139"/>
      <c r="AC187" s="139"/>
      <c r="AD187" s="139"/>
      <c r="AE187" s="139"/>
      <c r="AG187" s="139"/>
      <c r="AI187" s="139"/>
      <c r="AJ187" s="139"/>
      <c r="AK187" s="139"/>
    </row>
    <row r="188" spans="1:37" s="138" customFormat="1" ht="30" hidden="1" x14ac:dyDescent="0.25">
      <c r="A188" s="138" t="s">
        <v>52</v>
      </c>
      <c r="B188" s="138">
        <v>2022</v>
      </c>
      <c r="C188" s="138" t="s">
        <v>333</v>
      </c>
      <c r="D188" s="138" t="s">
        <v>9</v>
      </c>
      <c r="E188" s="138" t="s">
        <v>12</v>
      </c>
      <c r="F188" s="138" t="s">
        <v>17</v>
      </c>
      <c r="G188" s="138">
        <v>781.68</v>
      </c>
      <c r="H188" s="138">
        <v>89.46</v>
      </c>
      <c r="I188" s="138">
        <v>78.17</v>
      </c>
      <c r="J188" s="138">
        <v>21.53</v>
      </c>
      <c r="K188" s="141">
        <f t="shared" si="368"/>
        <v>0.1144458090267117</v>
      </c>
      <c r="L188" s="141">
        <f t="shared" si="369"/>
        <v>0.10000255859175111</v>
      </c>
      <c r="M188" s="141">
        <f t="shared" si="370"/>
        <v>2.7543240200593597E-2</v>
      </c>
      <c r="N188" s="140">
        <f t="shared" si="371"/>
        <v>592.52</v>
      </c>
      <c r="AA188" s="139"/>
      <c r="AB188" s="139"/>
      <c r="AC188" s="139"/>
      <c r="AD188" s="139"/>
      <c r="AE188" s="139"/>
      <c r="AG188" s="139"/>
      <c r="AI188" s="139"/>
      <c r="AJ188" s="139"/>
      <c r="AK188" s="139"/>
    </row>
    <row r="189" spans="1:37" s="138" customFormat="1" ht="30" hidden="1" x14ac:dyDescent="0.25">
      <c r="A189" s="138" t="s">
        <v>52</v>
      </c>
      <c r="B189" s="138">
        <v>2022</v>
      </c>
      <c r="C189" s="138" t="s">
        <v>333</v>
      </c>
      <c r="D189" s="138" t="s">
        <v>4</v>
      </c>
      <c r="E189" s="138" t="s">
        <v>5</v>
      </c>
      <c r="F189" s="138" t="s">
        <v>14</v>
      </c>
      <c r="G189" s="138">
        <v>118.5</v>
      </c>
      <c r="H189" s="138">
        <v>29.62</v>
      </c>
      <c r="I189" s="138">
        <v>11.85</v>
      </c>
      <c r="J189" s="138">
        <v>1.18</v>
      </c>
      <c r="K189" s="141">
        <f t="shared" ref="K189:K190" si="372">H189/G189</f>
        <v>0.24995780590717301</v>
      </c>
      <c r="L189" s="141">
        <f t="shared" ref="L189:L190" si="373">I189/G189</f>
        <v>9.9999999999999992E-2</v>
      </c>
      <c r="M189" s="141">
        <f t="shared" ref="M189:M190" si="374">J189/G189</f>
        <v>9.9578059071729948E-3</v>
      </c>
      <c r="N189" s="140">
        <f t="shared" ref="N189:N190" si="375">G189-H189-I189-J189</f>
        <v>75.849999999999994</v>
      </c>
      <c r="AA189" s="139"/>
      <c r="AB189" s="139"/>
      <c r="AC189" s="139"/>
      <c r="AD189" s="139"/>
      <c r="AE189" s="139"/>
      <c r="AG189" s="139"/>
      <c r="AI189" s="139"/>
      <c r="AJ189" s="139"/>
      <c r="AK189" s="139"/>
    </row>
    <row r="190" spans="1:37" s="138" customFormat="1" ht="30" hidden="1" x14ac:dyDescent="0.25">
      <c r="A190" s="138" t="s">
        <v>52</v>
      </c>
      <c r="B190" s="138">
        <v>2022</v>
      </c>
      <c r="C190" s="138" t="s">
        <v>333</v>
      </c>
      <c r="D190" s="138" t="s">
        <v>4</v>
      </c>
      <c r="E190" s="138" t="s">
        <v>7</v>
      </c>
      <c r="F190" s="138" t="s">
        <v>15</v>
      </c>
      <c r="K190" s="141" t="e">
        <f t="shared" si="372"/>
        <v>#DIV/0!</v>
      </c>
      <c r="L190" s="141" t="e">
        <f t="shared" si="373"/>
        <v>#DIV/0!</v>
      </c>
      <c r="M190" s="141" t="e">
        <f t="shared" si="374"/>
        <v>#DIV/0!</v>
      </c>
      <c r="N190" s="140">
        <f t="shared" si="375"/>
        <v>0</v>
      </c>
      <c r="AA190" s="139"/>
      <c r="AB190" s="139"/>
      <c r="AC190" s="139"/>
      <c r="AD190" s="139"/>
      <c r="AE190" s="139"/>
      <c r="AG190" s="139"/>
      <c r="AI190" s="139"/>
      <c r="AJ190" s="139"/>
      <c r="AK190" s="139"/>
    </row>
    <row r="191" spans="1:37" s="138" customFormat="1" ht="30" hidden="1" x14ac:dyDescent="0.25">
      <c r="A191" s="138" t="s">
        <v>52</v>
      </c>
      <c r="B191" s="138">
        <v>2022</v>
      </c>
      <c r="C191" s="138" t="s">
        <v>331</v>
      </c>
      <c r="D191" s="138" t="s">
        <v>1</v>
      </c>
      <c r="E191" s="138" t="s">
        <v>2</v>
      </c>
      <c r="F191" s="138" t="s">
        <v>0</v>
      </c>
      <c r="K191" s="141" t="e">
        <f t="shared" ref="K191:K192" si="376">H191/G191</f>
        <v>#DIV/0!</v>
      </c>
      <c r="L191" s="141" t="e">
        <f t="shared" ref="L191:L192" si="377">I191/G191</f>
        <v>#DIV/0!</v>
      </c>
      <c r="M191" s="141" t="e">
        <f t="shared" ref="M191:M192" si="378">J191/G191</f>
        <v>#DIV/0!</v>
      </c>
      <c r="N191" s="140">
        <f t="shared" ref="N191:N192" si="379">G191-H191-I191-J191</f>
        <v>0</v>
      </c>
      <c r="AA191" s="139"/>
      <c r="AB191" s="139"/>
      <c r="AC191" s="139"/>
      <c r="AD191" s="139"/>
      <c r="AE191" s="139"/>
      <c r="AG191" s="139"/>
      <c r="AI191" s="139"/>
      <c r="AJ191" s="139"/>
      <c r="AK191" s="139"/>
    </row>
    <row r="192" spans="1:37" s="138" customFormat="1" ht="15" hidden="1" x14ac:dyDescent="0.25">
      <c r="A192" s="138" t="s">
        <v>332</v>
      </c>
      <c r="B192" s="138" t="s">
        <v>332</v>
      </c>
      <c r="C192" s="138" t="s">
        <v>332</v>
      </c>
      <c r="D192" s="138" t="s">
        <v>332</v>
      </c>
      <c r="E192" s="138" t="s">
        <v>332</v>
      </c>
      <c r="F192" s="138" t="s">
        <v>332</v>
      </c>
      <c r="K192" s="141" t="e">
        <f t="shared" si="376"/>
        <v>#DIV/0!</v>
      </c>
      <c r="L192" s="141" t="e">
        <f t="shared" si="377"/>
        <v>#DIV/0!</v>
      </c>
      <c r="M192" s="141" t="e">
        <f t="shared" si="378"/>
        <v>#DIV/0!</v>
      </c>
      <c r="N192" s="140">
        <f t="shared" si="379"/>
        <v>0</v>
      </c>
      <c r="AA192" s="139"/>
      <c r="AB192" s="139"/>
      <c r="AC192" s="139"/>
      <c r="AD192" s="139"/>
      <c r="AE192" s="139"/>
      <c r="AG192" s="139"/>
      <c r="AI192" s="139"/>
      <c r="AJ192" s="139"/>
      <c r="AK192" s="139"/>
    </row>
    <row r="193" spans="1:37" s="138" customFormat="1" ht="30" hidden="1" x14ac:dyDescent="0.25">
      <c r="A193" s="138" t="s">
        <v>52</v>
      </c>
      <c r="B193" s="138">
        <v>2022</v>
      </c>
      <c r="C193" s="138" t="s">
        <v>331</v>
      </c>
      <c r="D193" s="138" t="s">
        <v>9</v>
      </c>
      <c r="E193" s="138" t="s">
        <v>10</v>
      </c>
      <c r="F193" s="138" t="s">
        <v>8</v>
      </c>
      <c r="G193" s="138">
        <v>-365</v>
      </c>
      <c r="H193" s="138">
        <v>-88.7</v>
      </c>
      <c r="I193" s="138">
        <v>-45.63</v>
      </c>
      <c r="J193" s="138">
        <v>-12.77</v>
      </c>
      <c r="K193" s="141">
        <f t="shared" ref="K193:K194" si="380">H193/G193</f>
        <v>0.243013698630137</v>
      </c>
      <c r="L193" s="141">
        <f t="shared" ref="L193:L194" si="381">I193/G193</f>
        <v>0.125013698630137</v>
      </c>
      <c r="M193" s="141">
        <f t="shared" ref="M193:M194" si="382">J193/G193</f>
        <v>3.4986301369863013E-2</v>
      </c>
      <c r="N193" s="140">
        <f t="shared" ref="N193:N194" si="383">G193-H193-I193-J193</f>
        <v>-217.9</v>
      </c>
      <c r="AA193" s="139"/>
      <c r="AB193" s="139"/>
      <c r="AC193" s="139"/>
      <c r="AD193" s="139"/>
      <c r="AE193" s="139"/>
      <c r="AG193" s="139"/>
      <c r="AI193" s="139"/>
      <c r="AJ193" s="139"/>
      <c r="AK193" s="139"/>
    </row>
    <row r="194" spans="1:37" s="138" customFormat="1" ht="30" hidden="1" x14ac:dyDescent="0.25">
      <c r="A194" s="138" t="s">
        <v>52</v>
      </c>
      <c r="B194" s="138">
        <v>2022</v>
      </c>
      <c r="C194" s="138" t="s">
        <v>331</v>
      </c>
      <c r="D194" s="138" t="s">
        <v>9</v>
      </c>
      <c r="E194" s="138" t="s">
        <v>12</v>
      </c>
      <c r="F194" s="138" t="s">
        <v>11</v>
      </c>
      <c r="G194" s="138">
        <v>-0.77</v>
      </c>
      <c r="H194" s="138">
        <v>25.44</v>
      </c>
      <c r="I194" s="138">
        <v>-0.1</v>
      </c>
      <c r="J194" s="138">
        <v>-0.12</v>
      </c>
      <c r="K194" s="141">
        <f t="shared" si="380"/>
        <v>-33.038961038961041</v>
      </c>
      <c r="L194" s="141">
        <f t="shared" si="381"/>
        <v>0.12987012987012989</v>
      </c>
      <c r="M194" s="141">
        <f t="shared" si="382"/>
        <v>0.15584415584415584</v>
      </c>
      <c r="N194" s="140">
        <f t="shared" si="383"/>
        <v>-25.99</v>
      </c>
      <c r="AA194" s="139"/>
      <c r="AB194" s="139"/>
      <c r="AC194" s="139"/>
      <c r="AD194" s="139"/>
      <c r="AE194" s="139"/>
      <c r="AG194" s="139"/>
      <c r="AI194" s="139"/>
      <c r="AJ194" s="139"/>
      <c r="AK194" s="139"/>
    </row>
    <row r="195" spans="1:37" s="138" customFormat="1" ht="30" hidden="1" x14ac:dyDescent="0.25">
      <c r="A195" s="138" t="s">
        <v>52</v>
      </c>
      <c r="B195" s="138">
        <v>2022</v>
      </c>
      <c r="C195" s="138" t="s">
        <v>331</v>
      </c>
      <c r="D195" s="138" t="s">
        <v>4</v>
      </c>
      <c r="E195" s="138" t="s">
        <v>5</v>
      </c>
      <c r="F195" s="138" t="s">
        <v>3</v>
      </c>
      <c r="K195" s="141" t="e">
        <f t="shared" ref="K195:K196" si="384">H195/G195</f>
        <v>#DIV/0!</v>
      </c>
      <c r="L195" s="141" t="e">
        <f t="shared" ref="L195:L196" si="385">I195/G195</f>
        <v>#DIV/0!</v>
      </c>
      <c r="M195" s="141" t="e">
        <f t="shared" ref="M195:M196" si="386">J195/G195</f>
        <v>#DIV/0!</v>
      </c>
      <c r="N195" s="140">
        <f t="shared" ref="N195:N196" si="387">G195-H195-I195-J195</f>
        <v>0</v>
      </c>
      <c r="AA195" s="139"/>
      <c r="AB195" s="139"/>
      <c r="AC195" s="139"/>
      <c r="AD195" s="139"/>
      <c r="AE195" s="139"/>
      <c r="AG195" s="139"/>
      <c r="AI195" s="139"/>
      <c r="AJ195" s="139"/>
      <c r="AK195" s="139"/>
    </row>
    <row r="196" spans="1:37" s="138" customFormat="1" ht="30" hidden="1" x14ac:dyDescent="0.25">
      <c r="A196" s="138" t="s">
        <v>52</v>
      </c>
      <c r="B196" s="138">
        <v>2022</v>
      </c>
      <c r="C196" s="138" t="s">
        <v>331</v>
      </c>
      <c r="D196" s="138" t="s">
        <v>4</v>
      </c>
      <c r="E196" s="138" t="s">
        <v>7</v>
      </c>
      <c r="F196" s="138" t="s">
        <v>6</v>
      </c>
      <c r="G196" s="138">
        <v>1748.8</v>
      </c>
      <c r="H196" s="138">
        <v>349.76</v>
      </c>
      <c r="I196" s="138">
        <v>218.6</v>
      </c>
      <c r="J196" s="138">
        <v>196.74</v>
      </c>
      <c r="K196" s="141">
        <f t="shared" si="384"/>
        <v>0.2</v>
      </c>
      <c r="L196" s="141">
        <f t="shared" si="385"/>
        <v>0.125</v>
      </c>
      <c r="M196" s="141">
        <f t="shared" si="386"/>
        <v>0.1125</v>
      </c>
      <c r="N196" s="140">
        <f t="shared" si="387"/>
        <v>983.7</v>
      </c>
      <c r="AA196" s="139"/>
      <c r="AB196" s="139"/>
      <c r="AC196" s="139"/>
      <c r="AD196" s="139"/>
      <c r="AE196" s="139"/>
      <c r="AG196" s="139"/>
      <c r="AI196" s="139"/>
      <c r="AJ196" s="139"/>
      <c r="AK196" s="139"/>
    </row>
    <row r="197" spans="1:37" s="138" customFormat="1" ht="30" hidden="1" x14ac:dyDescent="0.25">
      <c r="A197" s="138" t="s">
        <v>51</v>
      </c>
      <c r="B197" s="138">
        <v>2022</v>
      </c>
      <c r="C197" s="138" t="s">
        <v>335</v>
      </c>
      <c r="D197" s="138" t="s">
        <v>1</v>
      </c>
      <c r="E197" s="138" t="s">
        <v>2</v>
      </c>
      <c r="F197" s="138" t="s">
        <v>26</v>
      </c>
      <c r="K197" s="141" t="e">
        <f t="shared" ref="K197:K198" si="388">H197/G197</f>
        <v>#DIV/0!</v>
      </c>
      <c r="L197" s="141" t="e">
        <f t="shared" ref="L197:L198" si="389">I197/G197</f>
        <v>#DIV/0!</v>
      </c>
      <c r="M197" s="141" t="e">
        <f t="shared" ref="M197:M198" si="390">J197/G197</f>
        <v>#DIV/0!</v>
      </c>
      <c r="N197" s="140">
        <f t="shared" ref="N197:N198" si="391">G197-H197-I197-J197</f>
        <v>0</v>
      </c>
      <c r="AA197" s="139"/>
      <c r="AB197" s="139"/>
      <c r="AC197" s="139"/>
      <c r="AD197" s="139"/>
      <c r="AE197" s="139"/>
      <c r="AG197" s="139"/>
      <c r="AI197" s="139"/>
      <c r="AJ197" s="139"/>
      <c r="AK197" s="139"/>
    </row>
    <row r="198" spans="1:37" s="138" customFormat="1" ht="15" hidden="1" x14ac:dyDescent="0.25">
      <c r="A198" s="138" t="s">
        <v>332</v>
      </c>
      <c r="B198" s="138" t="s">
        <v>332</v>
      </c>
      <c r="C198" s="138" t="s">
        <v>332</v>
      </c>
      <c r="D198" s="138" t="s">
        <v>332</v>
      </c>
      <c r="E198" s="138" t="s">
        <v>332</v>
      </c>
      <c r="F198" s="138" t="s">
        <v>332</v>
      </c>
      <c r="K198" s="141" t="e">
        <f t="shared" si="388"/>
        <v>#DIV/0!</v>
      </c>
      <c r="L198" s="141" t="e">
        <f t="shared" si="389"/>
        <v>#DIV/0!</v>
      </c>
      <c r="M198" s="141" t="e">
        <f t="shared" si="390"/>
        <v>#DIV/0!</v>
      </c>
      <c r="N198" s="140">
        <f t="shared" si="391"/>
        <v>0</v>
      </c>
      <c r="AA198" s="139"/>
      <c r="AB198" s="139"/>
      <c r="AC198" s="139"/>
      <c r="AD198" s="139"/>
      <c r="AE198" s="139"/>
      <c r="AG198" s="139"/>
      <c r="AI198" s="139"/>
      <c r="AJ198" s="139"/>
      <c r="AK198" s="139"/>
    </row>
    <row r="199" spans="1:37" s="138" customFormat="1" ht="30" hidden="1" x14ac:dyDescent="0.25">
      <c r="A199" s="138" t="s">
        <v>51</v>
      </c>
      <c r="B199" s="138">
        <v>2022</v>
      </c>
      <c r="C199" s="138" t="s">
        <v>335</v>
      </c>
      <c r="D199" s="138" t="s">
        <v>9</v>
      </c>
      <c r="E199" s="138" t="s">
        <v>10</v>
      </c>
      <c r="F199" s="138" t="s">
        <v>29</v>
      </c>
      <c r="G199" s="138">
        <v>363704.65</v>
      </c>
      <c r="H199" s="138">
        <v>71817.289999999994</v>
      </c>
      <c r="I199" s="138">
        <v>32733.42</v>
      </c>
      <c r="J199" s="138">
        <v>8814.7999999999993</v>
      </c>
      <c r="K199" s="141">
        <f t="shared" ref="K199:K200" si="392">H199/G199</f>
        <v>0.19746046689257338</v>
      </c>
      <c r="L199" s="141">
        <f t="shared" ref="L199:L200" si="393">I199/G199</f>
        <v>9.0000004124225513E-2</v>
      </c>
      <c r="M199" s="141">
        <f t="shared" ref="M199:M200" si="394">J199/G199</f>
        <v>2.4236148754215814E-2</v>
      </c>
      <c r="N199" s="140">
        <f t="shared" ref="N199:N200" si="395">G199-H199-I199-J199</f>
        <v>250339.14000000007</v>
      </c>
      <c r="AA199" s="139"/>
      <c r="AB199" s="139"/>
      <c r="AC199" s="139"/>
      <c r="AD199" s="139"/>
      <c r="AE199" s="139"/>
      <c r="AG199" s="139"/>
      <c r="AI199" s="139"/>
      <c r="AJ199" s="139"/>
      <c r="AK199" s="139"/>
    </row>
    <row r="200" spans="1:37" s="138" customFormat="1" ht="30" hidden="1" x14ac:dyDescent="0.25">
      <c r="A200" s="138" t="s">
        <v>51</v>
      </c>
      <c r="B200" s="138">
        <v>2022</v>
      </c>
      <c r="C200" s="138" t="s">
        <v>335</v>
      </c>
      <c r="D200" s="138" t="s">
        <v>9</v>
      </c>
      <c r="E200" s="138" t="s">
        <v>12</v>
      </c>
      <c r="F200" s="138" t="s">
        <v>30</v>
      </c>
      <c r="G200" s="138">
        <v>770248.35</v>
      </c>
      <c r="H200" s="138">
        <v>141971.17000000001</v>
      </c>
      <c r="I200" s="138">
        <v>69322.350000000006</v>
      </c>
      <c r="J200" s="138">
        <v>16041.48</v>
      </c>
      <c r="K200" s="141">
        <f t="shared" si="392"/>
        <v>0.1843186940939244</v>
      </c>
      <c r="L200" s="141">
        <f t="shared" si="393"/>
        <v>8.9999998052576163E-2</v>
      </c>
      <c r="M200" s="141">
        <f t="shared" si="394"/>
        <v>2.0826373727382864E-2</v>
      </c>
      <c r="N200" s="140">
        <f t="shared" si="395"/>
        <v>542913.35</v>
      </c>
      <c r="AA200" s="139"/>
      <c r="AB200" s="139"/>
      <c r="AC200" s="139"/>
      <c r="AD200" s="139"/>
      <c r="AE200" s="139"/>
      <c r="AG200" s="139"/>
      <c r="AI200" s="139"/>
      <c r="AJ200" s="139"/>
      <c r="AK200" s="139"/>
    </row>
    <row r="201" spans="1:37" s="138" customFormat="1" ht="30" hidden="1" x14ac:dyDescent="0.25">
      <c r="A201" s="138" t="s">
        <v>51</v>
      </c>
      <c r="B201" s="138">
        <v>2022</v>
      </c>
      <c r="C201" s="138" t="s">
        <v>335</v>
      </c>
      <c r="D201" s="138" t="s">
        <v>4</v>
      </c>
      <c r="E201" s="138" t="s">
        <v>5</v>
      </c>
      <c r="F201" s="138" t="s">
        <v>27</v>
      </c>
      <c r="G201" s="138">
        <v>33877.800000000003</v>
      </c>
      <c r="H201" s="138">
        <v>3387.78</v>
      </c>
      <c r="I201" s="138">
        <v>3049</v>
      </c>
      <c r="J201" s="138">
        <v>1185.72</v>
      </c>
      <c r="K201" s="141">
        <f t="shared" ref="K201:K202" si="396">H201/G201</f>
        <v>9.9999999999999992E-2</v>
      </c>
      <c r="L201" s="141">
        <f t="shared" ref="L201:L202" si="397">I201/G201</f>
        <v>8.9999940964289288E-2</v>
      </c>
      <c r="M201" s="141">
        <f t="shared" ref="M201:M202" si="398">J201/G201</f>
        <v>3.4999911446433947E-2</v>
      </c>
      <c r="N201" s="140">
        <f t="shared" ref="N201:N202" si="399">G201-H201-I201-J201</f>
        <v>26255.300000000003</v>
      </c>
      <c r="AA201" s="139"/>
      <c r="AB201" s="139"/>
      <c r="AC201" s="139"/>
      <c r="AD201" s="139"/>
      <c r="AE201" s="139"/>
      <c r="AG201" s="139"/>
      <c r="AI201" s="139"/>
      <c r="AJ201" s="139"/>
      <c r="AK201" s="139"/>
    </row>
    <row r="202" spans="1:37" s="138" customFormat="1" ht="30" hidden="1" x14ac:dyDescent="0.25">
      <c r="A202" s="138" t="s">
        <v>51</v>
      </c>
      <c r="B202" s="138">
        <v>2022</v>
      </c>
      <c r="C202" s="138" t="s">
        <v>335</v>
      </c>
      <c r="D202" s="138" t="s">
        <v>4</v>
      </c>
      <c r="E202" s="138" t="s">
        <v>7</v>
      </c>
      <c r="F202" s="138" t="s">
        <v>28</v>
      </c>
      <c r="K202" s="141" t="e">
        <f t="shared" si="396"/>
        <v>#DIV/0!</v>
      </c>
      <c r="L202" s="141" t="e">
        <f t="shared" si="397"/>
        <v>#DIV/0!</v>
      </c>
      <c r="M202" s="141" t="e">
        <f t="shared" si="398"/>
        <v>#DIV/0!</v>
      </c>
      <c r="N202" s="140">
        <f t="shared" si="399"/>
        <v>0</v>
      </c>
      <c r="AA202" s="139"/>
      <c r="AB202" s="139"/>
      <c r="AC202" s="139"/>
      <c r="AD202" s="139"/>
      <c r="AE202" s="139"/>
      <c r="AG202" s="139"/>
      <c r="AI202" s="139"/>
      <c r="AJ202" s="139"/>
      <c r="AK202" s="139"/>
    </row>
    <row r="203" spans="1:37" s="138" customFormat="1" ht="30" hidden="1" x14ac:dyDescent="0.25">
      <c r="A203" s="138" t="s">
        <v>51</v>
      </c>
      <c r="B203" s="138">
        <v>2022</v>
      </c>
      <c r="C203" s="138" t="s">
        <v>334</v>
      </c>
      <c r="D203" s="138" t="s">
        <v>24</v>
      </c>
      <c r="E203" s="138" t="s">
        <v>25</v>
      </c>
      <c r="F203" s="138" t="s">
        <v>23</v>
      </c>
      <c r="K203" s="141" t="e">
        <f t="shared" ref="K203:K204" si="400">H203/G203</f>
        <v>#DIV/0!</v>
      </c>
      <c r="L203" s="141" t="e">
        <f t="shared" ref="L203:L204" si="401">I203/G203</f>
        <v>#DIV/0!</v>
      </c>
      <c r="M203" s="141" t="e">
        <f t="shared" ref="M203:M204" si="402">J203/G203</f>
        <v>#DIV/0!</v>
      </c>
      <c r="N203" s="140">
        <f t="shared" ref="N203:N204" si="403">G203-H203-I203-J203</f>
        <v>0</v>
      </c>
      <c r="AA203" s="139"/>
      <c r="AB203" s="139"/>
      <c r="AC203" s="139"/>
      <c r="AD203" s="139"/>
      <c r="AE203" s="139"/>
      <c r="AG203" s="139"/>
      <c r="AI203" s="139"/>
      <c r="AJ203" s="139"/>
      <c r="AK203" s="139"/>
    </row>
    <row r="204" spans="1:37" s="138" customFormat="1" ht="15" hidden="1" x14ac:dyDescent="0.25">
      <c r="A204" s="138" t="s">
        <v>332</v>
      </c>
      <c r="B204" s="138" t="s">
        <v>332</v>
      </c>
      <c r="C204" s="138" t="s">
        <v>332</v>
      </c>
      <c r="D204" s="138" t="s">
        <v>332</v>
      </c>
      <c r="E204" s="138" t="s">
        <v>332</v>
      </c>
      <c r="F204" s="138" t="s">
        <v>332</v>
      </c>
      <c r="K204" s="141" t="e">
        <f t="shared" si="400"/>
        <v>#DIV/0!</v>
      </c>
      <c r="L204" s="141" t="e">
        <f t="shared" si="401"/>
        <v>#DIV/0!</v>
      </c>
      <c r="M204" s="141" t="e">
        <f t="shared" si="402"/>
        <v>#DIV/0!</v>
      </c>
      <c r="N204" s="140">
        <f t="shared" si="403"/>
        <v>0</v>
      </c>
      <c r="AA204" s="139"/>
      <c r="AB204" s="139"/>
      <c r="AC204" s="139"/>
      <c r="AD204" s="139"/>
      <c r="AE204" s="139"/>
      <c r="AG204" s="139"/>
      <c r="AI204" s="139"/>
      <c r="AJ204" s="139"/>
      <c r="AK204" s="139"/>
    </row>
    <row r="205" spans="1:37" s="138" customFormat="1" ht="30" hidden="1" x14ac:dyDescent="0.25">
      <c r="A205" s="138" t="s">
        <v>51</v>
      </c>
      <c r="B205" s="138">
        <v>2022</v>
      </c>
      <c r="C205" s="138" t="s">
        <v>334</v>
      </c>
      <c r="D205" s="138" t="s">
        <v>1</v>
      </c>
      <c r="E205" s="138" t="s">
        <v>2</v>
      </c>
      <c r="F205" s="138" t="s">
        <v>18</v>
      </c>
      <c r="G205" s="138">
        <v>-59.19</v>
      </c>
      <c r="H205" s="138">
        <v>-8.9499999999999993</v>
      </c>
      <c r="I205" s="138">
        <v>-5.33</v>
      </c>
      <c r="J205" s="138">
        <v>-1.05</v>
      </c>
      <c r="K205" s="141">
        <f t="shared" ref="K205:K206" si="404">H205/G205</f>
        <v>0.15120797431998648</v>
      </c>
      <c r="L205" s="141">
        <f t="shared" ref="L205:L206" si="405">I205/G205</f>
        <v>9.0048994762628828E-2</v>
      </c>
      <c r="M205" s="141">
        <f t="shared" ref="M205:M206" si="406">J205/G205</f>
        <v>1.7739483020780537E-2</v>
      </c>
      <c r="N205" s="140">
        <f t="shared" ref="N205:N206" si="407">G205-H205-I205-J205</f>
        <v>-43.86</v>
      </c>
      <c r="AA205" s="139"/>
      <c r="AB205" s="139"/>
      <c r="AC205" s="139"/>
      <c r="AD205" s="139"/>
      <c r="AE205" s="139"/>
      <c r="AG205" s="139"/>
      <c r="AI205" s="139"/>
      <c r="AJ205" s="139"/>
      <c r="AK205" s="139"/>
    </row>
    <row r="206" spans="1:37" s="138" customFormat="1" ht="15" hidden="1" x14ac:dyDescent="0.25">
      <c r="A206" s="138" t="s">
        <v>332</v>
      </c>
      <c r="B206" s="138" t="s">
        <v>332</v>
      </c>
      <c r="C206" s="138" t="s">
        <v>332</v>
      </c>
      <c r="D206" s="138" t="s">
        <v>332</v>
      </c>
      <c r="E206" s="138" t="s">
        <v>332</v>
      </c>
      <c r="F206" s="138" t="s">
        <v>332</v>
      </c>
      <c r="K206" s="141" t="e">
        <f t="shared" si="404"/>
        <v>#DIV/0!</v>
      </c>
      <c r="L206" s="141" t="e">
        <f t="shared" si="405"/>
        <v>#DIV/0!</v>
      </c>
      <c r="M206" s="141" t="e">
        <f t="shared" si="406"/>
        <v>#DIV/0!</v>
      </c>
      <c r="N206" s="140">
        <f t="shared" si="407"/>
        <v>0</v>
      </c>
      <c r="AA206" s="139"/>
      <c r="AB206" s="139"/>
      <c r="AC206" s="139"/>
      <c r="AD206" s="139"/>
      <c r="AE206" s="139"/>
      <c r="AG206" s="139"/>
      <c r="AI206" s="139"/>
      <c r="AJ206" s="139"/>
      <c r="AK206" s="139"/>
    </row>
    <row r="207" spans="1:37" s="138" customFormat="1" ht="30" hidden="1" x14ac:dyDescent="0.25">
      <c r="A207" s="138" t="s">
        <v>51</v>
      </c>
      <c r="B207" s="138">
        <v>2022</v>
      </c>
      <c r="C207" s="138" t="s">
        <v>334</v>
      </c>
      <c r="D207" s="138" t="s">
        <v>9</v>
      </c>
      <c r="E207" s="138" t="s">
        <v>10</v>
      </c>
      <c r="F207" s="138" t="s">
        <v>21</v>
      </c>
      <c r="G207" s="138">
        <v>1484.04</v>
      </c>
      <c r="H207" s="138">
        <v>253.41</v>
      </c>
      <c r="I207" s="138">
        <v>133.56</v>
      </c>
      <c r="J207" s="138">
        <v>24.92</v>
      </c>
      <c r="K207" s="141">
        <f t="shared" ref="K207:K208" si="408">H207/G207</f>
        <v>0.17075685291501577</v>
      </c>
      <c r="L207" s="141">
        <f t="shared" ref="L207:L208" si="409">I207/G207</f>
        <v>8.9997574189374957E-2</v>
      </c>
      <c r="M207" s="141">
        <f t="shared" ref="M207:M208" si="410">J207/G207</f>
        <v>1.6792000215627614E-2</v>
      </c>
      <c r="N207" s="140">
        <f t="shared" ref="N207:N208" si="411">G207-H207-I207-J207</f>
        <v>1072.1499999999999</v>
      </c>
      <c r="AA207" s="139"/>
      <c r="AB207" s="139"/>
      <c r="AC207" s="139"/>
      <c r="AD207" s="139"/>
      <c r="AE207" s="139"/>
      <c r="AG207" s="139"/>
      <c r="AI207" s="139"/>
      <c r="AJ207" s="139"/>
      <c r="AK207" s="139"/>
    </row>
    <row r="208" spans="1:37" s="138" customFormat="1" ht="30" hidden="1" x14ac:dyDescent="0.25">
      <c r="A208" s="138" t="s">
        <v>51</v>
      </c>
      <c r="B208" s="138">
        <v>2022</v>
      </c>
      <c r="C208" s="138" t="s">
        <v>334</v>
      </c>
      <c r="D208" s="138" t="s">
        <v>9</v>
      </c>
      <c r="E208" s="138" t="s">
        <v>12</v>
      </c>
      <c r="F208" s="138" t="s">
        <v>22</v>
      </c>
      <c r="G208" s="138">
        <v>21590.22</v>
      </c>
      <c r="H208" s="138">
        <v>5216.3999999999996</v>
      </c>
      <c r="I208" s="138">
        <v>1943.12</v>
      </c>
      <c r="J208" s="138">
        <v>745.01</v>
      </c>
      <c r="K208" s="141">
        <f t="shared" si="408"/>
        <v>0.24160939536512363</v>
      </c>
      <c r="L208" s="141">
        <f t="shared" si="409"/>
        <v>9.0000009263453529E-2</v>
      </c>
      <c r="M208" s="141">
        <f t="shared" si="410"/>
        <v>3.4506827628435467E-2</v>
      </c>
      <c r="N208" s="140">
        <f t="shared" si="411"/>
        <v>13685.69</v>
      </c>
      <c r="AA208" s="139"/>
      <c r="AB208" s="139"/>
      <c r="AC208" s="139"/>
      <c r="AD208" s="139"/>
      <c r="AE208" s="139"/>
      <c r="AG208" s="139"/>
      <c r="AI208" s="139"/>
      <c r="AJ208" s="139"/>
      <c r="AK208" s="139"/>
    </row>
    <row r="209" spans="1:37" s="138" customFormat="1" ht="30" hidden="1" x14ac:dyDescent="0.25">
      <c r="A209" s="138" t="s">
        <v>51</v>
      </c>
      <c r="B209" s="138">
        <v>2022</v>
      </c>
      <c r="C209" s="138" t="s">
        <v>334</v>
      </c>
      <c r="D209" s="138" t="s">
        <v>4</v>
      </c>
      <c r="E209" s="138" t="s">
        <v>5</v>
      </c>
      <c r="F209" s="138" t="s">
        <v>19</v>
      </c>
      <c r="G209" s="138">
        <v>22665.99</v>
      </c>
      <c r="H209" s="138">
        <v>7162.45</v>
      </c>
      <c r="I209" s="138">
        <v>2039.94</v>
      </c>
      <c r="J209" s="138">
        <v>325.58</v>
      </c>
      <c r="K209" s="141">
        <f t="shared" ref="K209:K210" si="412">H209/G209</f>
        <v>0.3159998747021418</v>
      </c>
      <c r="L209" s="141">
        <f t="shared" ref="L209:L210" si="413">I209/G209</f>
        <v>9.0000039707067728E-2</v>
      </c>
      <c r="M209" s="141">
        <f t="shared" ref="M209:M210" si="414">J209/G209</f>
        <v>1.436425234459205E-2</v>
      </c>
      <c r="N209" s="140">
        <f t="shared" ref="N209:N210" si="415">G209-H209-I209-J209</f>
        <v>13138.02</v>
      </c>
      <c r="AA209" s="139"/>
      <c r="AB209" s="139"/>
      <c r="AC209" s="139"/>
      <c r="AD209" s="139"/>
      <c r="AE209" s="139"/>
      <c r="AG209" s="139"/>
      <c r="AI209" s="139"/>
      <c r="AJ209" s="139"/>
      <c r="AK209" s="139"/>
    </row>
    <row r="210" spans="1:37" s="138" customFormat="1" ht="30" x14ac:dyDescent="0.25">
      <c r="A210" s="138" t="s">
        <v>51</v>
      </c>
      <c r="B210" s="138">
        <v>2022</v>
      </c>
      <c r="C210" s="138" t="s">
        <v>334</v>
      </c>
      <c r="D210" s="138" t="s">
        <v>4</v>
      </c>
      <c r="E210" s="138" t="s">
        <v>7</v>
      </c>
      <c r="F210" s="138" t="s">
        <v>20</v>
      </c>
      <c r="K210" s="141" t="e">
        <f t="shared" si="412"/>
        <v>#DIV/0!</v>
      </c>
      <c r="L210" s="141" t="e">
        <f t="shared" si="413"/>
        <v>#DIV/0!</v>
      </c>
      <c r="M210" s="141" t="e">
        <f t="shared" si="414"/>
        <v>#DIV/0!</v>
      </c>
      <c r="N210" s="140">
        <f t="shared" si="415"/>
        <v>0</v>
      </c>
      <c r="AA210" s="139"/>
      <c r="AB210" s="139"/>
      <c r="AC210" s="139"/>
      <c r="AD210" s="139"/>
      <c r="AE210" s="139"/>
      <c r="AG210" s="139"/>
      <c r="AI210" s="139"/>
      <c r="AJ210" s="139"/>
      <c r="AK210" s="139"/>
    </row>
    <row r="211" spans="1:37" s="138" customFormat="1" ht="30" hidden="1" x14ac:dyDescent="0.25">
      <c r="A211" s="138" t="s">
        <v>51</v>
      </c>
      <c r="B211" s="138">
        <v>2022</v>
      </c>
      <c r="C211" s="138" t="s">
        <v>333</v>
      </c>
      <c r="D211" s="138" t="s">
        <v>1</v>
      </c>
      <c r="E211" s="138" t="s">
        <v>2</v>
      </c>
      <c r="F211" s="138" t="s">
        <v>13</v>
      </c>
      <c r="G211" s="138">
        <v>-23.71</v>
      </c>
      <c r="H211" s="138">
        <v>-5.3</v>
      </c>
      <c r="I211" s="138">
        <v>-2.37</v>
      </c>
      <c r="J211" s="138">
        <v>-0.39</v>
      </c>
      <c r="K211" s="141">
        <f t="shared" ref="K211:K212" si="416">H211/G211</f>
        <v>0.22353437368199069</v>
      </c>
      <c r="L211" s="141">
        <f t="shared" ref="L211:L212" si="417">I211/G211</f>
        <v>9.9957823703078874E-2</v>
      </c>
      <c r="M211" s="141">
        <f t="shared" ref="M211:M212" si="418">J211/G211</f>
        <v>1.6448755799240825E-2</v>
      </c>
      <c r="N211" s="140">
        <f t="shared" ref="N211:N212" si="419">G211-H211-I211-J211</f>
        <v>-15.649999999999999</v>
      </c>
      <c r="AA211" s="139"/>
      <c r="AB211" s="139"/>
      <c r="AC211" s="139"/>
      <c r="AD211" s="139"/>
      <c r="AE211" s="139"/>
      <c r="AG211" s="139"/>
      <c r="AI211" s="139"/>
      <c r="AJ211" s="139"/>
      <c r="AK211" s="139"/>
    </row>
    <row r="212" spans="1:37" s="138" customFormat="1" ht="15" hidden="1" x14ac:dyDescent="0.25">
      <c r="A212" s="138" t="s">
        <v>332</v>
      </c>
      <c r="B212" s="138" t="s">
        <v>332</v>
      </c>
      <c r="C212" s="138" t="s">
        <v>332</v>
      </c>
      <c r="D212" s="138" t="s">
        <v>332</v>
      </c>
      <c r="E212" s="138" t="s">
        <v>332</v>
      </c>
      <c r="F212" s="138" t="s">
        <v>332</v>
      </c>
      <c r="K212" s="141" t="e">
        <f t="shared" si="416"/>
        <v>#DIV/0!</v>
      </c>
      <c r="L212" s="141" t="e">
        <f t="shared" si="417"/>
        <v>#DIV/0!</v>
      </c>
      <c r="M212" s="141" t="e">
        <f t="shared" si="418"/>
        <v>#DIV/0!</v>
      </c>
      <c r="N212" s="140">
        <f t="shared" si="419"/>
        <v>0</v>
      </c>
      <c r="AA212" s="139"/>
      <c r="AB212" s="139"/>
      <c r="AC212" s="139"/>
      <c r="AD212" s="139"/>
      <c r="AE212" s="139"/>
      <c r="AG212" s="139"/>
      <c r="AI212" s="139"/>
      <c r="AJ212" s="139"/>
      <c r="AK212" s="139"/>
    </row>
    <row r="213" spans="1:37" s="138" customFormat="1" ht="30" hidden="1" x14ac:dyDescent="0.25">
      <c r="A213" s="138" t="s">
        <v>51</v>
      </c>
      <c r="B213" s="138">
        <v>2022</v>
      </c>
      <c r="C213" s="138" t="s">
        <v>333</v>
      </c>
      <c r="D213" s="138" t="s">
        <v>9</v>
      </c>
      <c r="E213" s="138" t="s">
        <v>10</v>
      </c>
      <c r="F213" s="138" t="s">
        <v>16</v>
      </c>
      <c r="G213" s="138">
        <v>-342.28</v>
      </c>
      <c r="H213" s="138" t="s">
        <v>338</v>
      </c>
      <c r="I213" s="138">
        <v>-34.229999999999997</v>
      </c>
      <c r="J213" s="138" t="s">
        <v>338</v>
      </c>
      <c r="K213" s="141" t="e">
        <f t="shared" ref="K213:K214" si="420">H213/G213</f>
        <v>#VALUE!</v>
      </c>
      <c r="L213" s="141">
        <f t="shared" ref="L213:L214" si="421">I213/G213</f>
        <v>0.10000584316933504</v>
      </c>
      <c r="M213" s="141" t="e">
        <f t="shared" ref="M213:M214" si="422">J213/G213</f>
        <v>#VALUE!</v>
      </c>
      <c r="N213" s="140" t="e">
        <f t="shared" ref="N213:N214" si="423">G213-H213-I213-J213</f>
        <v>#VALUE!</v>
      </c>
      <c r="AA213" s="139"/>
      <c r="AB213" s="139"/>
      <c r="AC213" s="139"/>
      <c r="AD213" s="139"/>
      <c r="AE213" s="139"/>
      <c r="AG213" s="139"/>
      <c r="AI213" s="139"/>
      <c r="AJ213" s="139"/>
      <c r="AK213" s="139"/>
    </row>
    <row r="214" spans="1:37" s="138" customFormat="1" ht="30" hidden="1" x14ac:dyDescent="0.25">
      <c r="A214" s="138" t="s">
        <v>51</v>
      </c>
      <c r="B214" s="138">
        <v>2022</v>
      </c>
      <c r="C214" s="138" t="s">
        <v>333</v>
      </c>
      <c r="D214" s="138" t="s">
        <v>9</v>
      </c>
      <c r="E214" s="138" t="s">
        <v>12</v>
      </c>
      <c r="F214" s="138" t="s">
        <v>17</v>
      </c>
      <c r="G214" s="138">
        <v>1562.83</v>
      </c>
      <c r="H214" s="138">
        <v>293.3</v>
      </c>
      <c r="I214" s="138">
        <v>156.28</v>
      </c>
      <c r="J214" s="138">
        <v>35.51</v>
      </c>
      <c r="K214" s="141">
        <f t="shared" si="420"/>
        <v>0.18767236359680836</v>
      </c>
      <c r="L214" s="141">
        <f t="shared" si="421"/>
        <v>9.9998080405418382E-2</v>
      </c>
      <c r="M214" s="141">
        <f t="shared" si="422"/>
        <v>2.272160119782702E-2</v>
      </c>
      <c r="N214" s="140">
        <f t="shared" si="423"/>
        <v>1077.74</v>
      </c>
      <c r="AA214" s="139"/>
      <c r="AB214" s="139"/>
      <c r="AC214" s="139"/>
      <c r="AD214" s="139"/>
      <c r="AE214" s="139"/>
      <c r="AG214" s="139"/>
      <c r="AI214" s="139"/>
      <c r="AJ214" s="139"/>
      <c r="AK214" s="139"/>
    </row>
    <row r="215" spans="1:37" s="138" customFormat="1" ht="30" hidden="1" x14ac:dyDescent="0.25">
      <c r="A215" s="138" t="s">
        <v>51</v>
      </c>
      <c r="B215" s="138">
        <v>2022</v>
      </c>
      <c r="C215" s="138" t="s">
        <v>333</v>
      </c>
      <c r="D215" s="138" t="s">
        <v>4</v>
      </c>
      <c r="E215" s="138" t="s">
        <v>5</v>
      </c>
      <c r="F215" s="138" t="s">
        <v>14</v>
      </c>
      <c r="G215" s="138">
        <v>419.74</v>
      </c>
      <c r="H215" s="138">
        <v>104.93</v>
      </c>
      <c r="I215" s="138">
        <v>41.97</v>
      </c>
      <c r="J215" s="138">
        <v>4.2</v>
      </c>
      <c r="K215" s="141">
        <f t="shared" ref="K215:K216" si="424">H215/G215</f>
        <v>0.24998808786391577</v>
      </c>
      <c r="L215" s="141">
        <f t="shared" ref="L215:L216" si="425">I215/G215</f>
        <v>9.9990470291132602E-2</v>
      </c>
      <c r="M215" s="141">
        <f t="shared" ref="M215:M216" si="426">J215/G215</f>
        <v>1.0006194310763807E-2</v>
      </c>
      <c r="N215" s="140">
        <f t="shared" ref="N215:N216" si="427">G215-H215-I215-J215</f>
        <v>268.64000000000004</v>
      </c>
      <c r="AA215" s="139"/>
      <c r="AB215" s="139"/>
      <c r="AC215" s="139"/>
      <c r="AD215" s="139"/>
      <c r="AE215" s="139"/>
      <c r="AG215" s="139"/>
      <c r="AI215" s="139"/>
      <c r="AJ215" s="139"/>
      <c r="AK215" s="139"/>
    </row>
    <row r="216" spans="1:37" s="138" customFormat="1" ht="30" hidden="1" x14ac:dyDescent="0.25">
      <c r="A216" s="138" t="s">
        <v>51</v>
      </c>
      <c r="B216" s="138">
        <v>2022</v>
      </c>
      <c r="C216" s="138" t="s">
        <v>333</v>
      </c>
      <c r="D216" s="138" t="s">
        <v>4</v>
      </c>
      <c r="E216" s="138" t="s">
        <v>7</v>
      </c>
      <c r="F216" s="138" t="s">
        <v>15</v>
      </c>
      <c r="K216" s="141" t="e">
        <f t="shared" si="424"/>
        <v>#DIV/0!</v>
      </c>
      <c r="L216" s="141" t="e">
        <f t="shared" si="425"/>
        <v>#DIV/0!</v>
      </c>
      <c r="M216" s="141" t="e">
        <f t="shared" si="426"/>
        <v>#DIV/0!</v>
      </c>
      <c r="N216" s="140">
        <f t="shared" si="427"/>
        <v>0</v>
      </c>
      <c r="AA216" s="139"/>
      <c r="AB216" s="139"/>
      <c r="AC216" s="139"/>
      <c r="AD216" s="139"/>
      <c r="AE216" s="139"/>
      <c r="AG216" s="139"/>
      <c r="AI216" s="139"/>
      <c r="AJ216" s="139"/>
      <c r="AK216" s="139"/>
    </row>
    <row r="217" spans="1:37" s="138" customFormat="1" ht="30" hidden="1" x14ac:dyDescent="0.25">
      <c r="A217" s="138" t="s">
        <v>51</v>
      </c>
      <c r="B217" s="138">
        <v>2022</v>
      </c>
      <c r="C217" s="138" t="s">
        <v>331</v>
      </c>
      <c r="D217" s="138" t="s">
        <v>1</v>
      </c>
      <c r="E217" s="138" t="s">
        <v>2</v>
      </c>
      <c r="F217" s="138" t="s">
        <v>0</v>
      </c>
      <c r="G217" s="138">
        <v>5526.78</v>
      </c>
      <c r="H217" s="138">
        <v>1043.6099999999999</v>
      </c>
      <c r="I217" s="138">
        <v>690.85</v>
      </c>
      <c r="J217" s="138">
        <v>166.05</v>
      </c>
      <c r="K217" s="141">
        <f t="shared" ref="K217:K218" si="428">H217/G217</f>
        <v>0.1888278527460836</v>
      </c>
      <c r="L217" s="141">
        <f t="shared" ref="L217:L218" si="429">I217/G217</f>
        <v>0.12500045234295559</v>
      </c>
      <c r="M217" s="141">
        <f t="shared" ref="M217:M218" si="430">J217/G217</f>
        <v>3.0044619109137694E-2</v>
      </c>
      <c r="N217" s="140">
        <f t="shared" ref="N217:N218" si="431">G217-H217-I217-J217</f>
        <v>3626.27</v>
      </c>
      <c r="AA217" s="139"/>
      <c r="AB217" s="139"/>
      <c r="AC217" s="139"/>
      <c r="AD217" s="139"/>
      <c r="AE217" s="139"/>
      <c r="AG217" s="139"/>
      <c r="AI217" s="139"/>
      <c r="AJ217" s="139"/>
      <c r="AK217" s="139"/>
    </row>
    <row r="218" spans="1:37" s="138" customFormat="1" ht="15" hidden="1" x14ac:dyDescent="0.25">
      <c r="A218" s="138" t="s">
        <v>332</v>
      </c>
      <c r="B218" s="138" t="s">
        <v>332</v>
      </c>
      <c r="C218" s="138" t="s">
        <v>332</v>
      </c>
      <c r="D218" s="138" t="s">
        <v>332</v>
      </c>
      <c r="E218" s="138" t="s">
        <v>332</v>
      </c>
      <c r="F218" s="138" t="s">
        <v>332</v>
      </c>
      <c r="K218" s="141" t="e">
        <f t="shared" si="428"/>
        <v>#DIV/0!</v>
      </c>
      <c r="L218" s="141" t="e">
        <f t="shared" si="429"/>
        <v>#DIV/0!</v>
      </c>
      <c r="M218" s="141" t="e">
        <f t="shared" si="430"/>
        <v>#DIV/0!</v>
      </c>
      <c r="N218" s="140">
        <f t="shared" si="431"/>
        <v>0</v>
      </c>
      <c r="AA218" s="139"/>
      <c r="AB218" s="139"/>
      <c r="AC218" s="139"/>
      <c r="AD218" s="139"/>
      <c r="AE218" s="139"/>
      <c r="AG218" s="139"/>
      <c r="AI218" s="139"/>
      <c r="AJ218" s="139"/>
      <c r="AK218" s="139"/>
    </row>
    <row r="219" spans="1:37" s="138" customFormat="1" ht="30" hidden="1" x14ac:dyDescent="0.25">
      <c r="A219" s="138" t="s">
        <v>51</v>
      </c>
      <c r="B219" s="138">
        <v>2022</v>
      </c>
      <c r="C219" s="138" t="s">
        <v>331</v>
      </c>
      <c r="D219" s="138" t="s">
        <v>9</v>
      </c>
      <c r="E219" s="138" t="s">
        <v>10</v>
      </c>
      <c r="F219" s="138" t="s">
        <v>8</v>
      </c>
      <c r="K219" s="141" t="e">
        <f t="shared" ref="K219:K220" si="432">H219/G219</f>
        <v>#DIV/0!</v>
      </c>
      <c r="L219" s="141" t="e">
        <f t="shared" ref="L219:L220" si="433">I219/G219</f>
        <v>#DIV/0!</v>
      </c>
      <c r="M219" s="141" t="e">
        <f t="shared" ref="M219:M220" si="434">J219/G219</f>
        <v>#DIV/0!</v>
      </c>
      <c r="N219" s="140">
        <f t="shared" ref="N219:N220" si="435">G219-H219-I219-J219</f>
        <v>0</v>
      </c>
      <c r="AA219" s="139"/>
      <c r="AB219" s="139"/>
      <c r="AC219" s="139"/>
      <c r="AD219" s="139"/>
      <c r="AE219" s="139"/>
      <c r="AG219" s="139"/>
      <c r="AI219" s="139"/>
      <c r="AJ219" s="139"/>
      <c r="AK219" s="139"/>
    </row>
    <row r="220" spans="1:37" s="138" customFormat="1" ht="30" hidden="1" x14ac:dyDescent="0.25">
      <c r="A220" s="138" t="s">
        <v>51</v>
      </c>
      <c r="B220" s="138">
        <v>2022</v>
      </c>
      <c r="C220" s="138" t="s">
        <v>331</v>
      </c>
      <c r="D220" s="138" t="s">
        <v>9</v>
      </c>
      <c r="E220" s="138" t="s">
        <v>12</v>
      </c>
      <c r="F220" s="138" t="s">
        <v>11</v>
      </c>
      <c r="G220" s="138">
        <v>-354.46</v>
      </c>
      <c r="H220" s="138">
        <v>-53.16</v>
      </c>
      <c r="I220" s="138">
        <v>-44.31</v>
      </c>
      <c r="J220" s="138">
        <v>0.02</v>
      </c>
      <c r="K220" s="141">
        <f t="shared" si="432"/>
        <v>0.14997460926479717</v>
      </c>
      <c r="L220" s="141">
        <f t="shared" si="433"/>
        <v>0.12500705298200079</v>
      </c>
      <c r="M220" s="141">
        <f t="shared" si="434"/>
        <v>-5.6423856006319476E-5</v>
      </c>
      <c r="N220" s="140">
        <f t="shared" si="435"/>
        <v>-257.00999999999993</v>
      </c>
      <c r="AA220" s="139"/>
      <c r="AB220" s="139"/>
      <c r="AC220" s="139"/>
      <c r="AD220" s="139"/>
      <c r="AE220" s="139"/>
      <c r="AG220" s="139"/>
      <c r="AI220" s="139"/>
      <c r="AJ220" s="139"/>
      <c r="AK220" s="139"/>
    </row>
    <row r="221" spans="1:37" s="138" customFormat="1" ht="30" hidden="1" x14ac:dyDescent="0.25">
      <c r="A221" s="138" t="s">
        <v>51</v>
      </c>
      <c r="B221" s="138">
        <v>2022</v>
      </c>
      <c r="C221" s="138" t="s">
        <v>331</v>
      </c>
      <c r="D221" s="138" t="s">
        <v>4</v>
      </c>
      <c r="E221" s="138" t="s">
        <v>5</v>
      </c>
      <c r="F221" s="138" t="s">
        <v>3</v>
      </c>
      <c r="K221" s="141" t="e">
        <f t="shared" ref="K221:K222" si="436">H221/G221</f>
        <v>#DIV/0!</v>
      </c>
      <c r="L221" s="141" t="e">
        <f t="shared" ref="L221:L222" si="437">I221/G221</f>
        <v>#DIV/0!</v>
      </c>
      <c r="M221" s="141" t="e">
        <f t="shared" ref="M221:M222" si="438">J221/G221</f>
        <v>#DIV/0!</v>
      </c>
      <c r="N221" s="140">
        <f t="shared" ref="N221:N222" si="439">G221-H221-I221-J221</f>
        <v>0</v>
      </c>
      <c r="AA221" s="139"/>
      <c r="AB221" s="139"/>
      <c r="AC221" s="139"/>
      <c r="AD221" s="139"/>
      <c r="AE221" s="139"/>
      <c r="AG221" s="139"/>
      <c r="AI221" s="139"/>
      <c r="AJ221" s="139"/>
      <c r="AK221" s="139"/>
    </row>
    <row r="222" spans="1:37" s="138" customFormat="1" ht="30" hidden="1" x14ac:dyDescent="0.25">
      <c r="A222" s="138" t="s">
        <v>51</v>
      </c>
      <c r="B222" s="138">
        <v>2022</v>
      </c>
      <c r="C222" s="138" t="s">
        <v>331</v>
      </c>
      <c r="D222" s="138" t="s">
        <v>4</v>
      </c>
      <c r="E222" s="138" t="s">
        <v>7</v>
      </c>
      <c r="F222" s="138" t="s">
        <v>6</v>
      </c>
      <c r="G222" s="138">
        <v>1748.803714285714</v>
      </c>
      <c r="H222" s="138">
        <v>349.76074285714282</v>
      </c>
      <c r="I222" s="138">
        <v>218.60046428571425</v>
      </c>
      <c r="J222" s="138">
        <v>196.74</v>
      </c>
      <c r="K222" s="141">
        <f t="shared" si="436"/>
        <v>0.2</v>
      </c>
      <c r="L222" s="141">
        <f t="shared" si="437"/>
        <v>0.125</v>
      </c>
      <c r="M222" s="141">
        <f t="shared" si="438"/>
        <v>0.11249976106115317</v>
      </c>
      <c r="N222" s="140">
        <f t="shared" si="439"/>
        <v>983.70250714285703</v>
      </c>
      <c r="AA222" s="139"/>
      <c r="AB222" s="139"/>
      <c r="AC222" s="139"/>
      <c r="AD222" s="139"/>
      <c r="AE222" s="139"/>
      <c r="AG222" s="139"/>
      <c r="AI222" s="139"/>
      <c r="AJ222" s="139"/>
      <c r="AK222" s="139"/>
    </row>
    <row r="223" spans="1:37" s="138" customFormat="1" ht="30" hidden="1" x14ac:dyDescent="0.25">
      <c r="A223" s="138" t="s">
        <v>50</v>
      </c>
      <c r="B223">
        <v>2022</v>
      </c>
      <c r="C223" t="s">
        <v>335</v>
      </c>
      <c r="D223" s="138" t="s">
        <v>24</v>
      </c>
      <c r="E223" s="138" t="s">
        <v>332</v>
      </c>
      <c r="F223" s="138" t="s">
        <v>332</v>
      </c>
      <c r="G223" s="138">
        <v>10368.621000000001</v>
      </c>
      <c r="H223" s="138">
        <v>1866.3517800000002</v>
      </c>
      <c r="I223" s="138">
        <v>933.17589000000009</v>
      </c>
      <c r="J223" s="138">
        <v>178.55</v>
      </c>
      <c r="K223" s="141">
        <f t="shared" ref="K223:K224" si="440">H223/G223</f>
        <v>0.18</v>
      </c>
      <c r="L223" s="141">
        <f t="shared" ref="L223:L224" si="441">I223/G223</f>
        <v>0.09</v>
      </c>
      <c r="M223" s="141">
        <f t="shared" ref="M223:M224" si="442">J223/G223</f>
        <v>1.7220226296245179E-2</v>
      </c>
      <c r="N223" s="140">
        <f t="shared" ref="N223:N224" si="443">G223-H223-I223-J223</f>
        <v>7390.5433299999995</v>
      </c>
      <c r="AA223" s="139"/>
      <c r="AB223" s="139"/>
      <c r="AC223" s="139"/>
      <c r="AD223" s="139"/>
      <c r="AE223" s="139"/>
      <c r="AG223" s="139"/>
      <c r="AI223" s="139"/>
      <c r="AJ223" s="139"/>
      <c r="AK223" s="139"/>
    </row>
    <row r="224" spans="1:37" s="138" customFormat="1" ht="15" hidden="1" x14ac:dyDescent="0.25">
      <c r="A224" s="138" t="s">
        <v>332</v>
      </c>
      <c r="B224" t="s">
        <v>332</v>
      </c>
      <c r="C224" t="s">
        <v>332</v>
      </c>
      <c r="D224" s="138" t="s">
        <v>332</v>
      </c>
      <c r="E224" s="138" t="s">
        <v>332</v>
      </c>
      <c r="F224" s="138" t="s">
        <v>332</v>
      </c>
      <c r="K224" s="141" t="e">
        <f t="shared" si="440"/>
        <v>#DIV/0!</v>
      </c>
      <c r="L224" s="141" t="e">
        <f t="shared" si="441"/>
        <v>#DIV/0!</v>
      </c>
      <c r="M224" s="141" t="e">
        <f t="shared" si="442"/>
        <v>#DIV/0!</v>
      </c>
      <c r="N224" s="140">
        <f t="shared" si="443"/>
        <v>0</v>
      </c>
      <c r="AA224" s="139"/>
      <c r="AB224" s="139"/>
      <c r="AC224" s="139"/>
      <c r="AD224" s="139"/>
      <c r="AE224" s="139"/>
      <c r="AG224" s="139"/>
      <c r="AI224" s="139"/>
      <c r="AJ224" s="139"/>
      <c r="AK224" s="139"/>
    </row>
    <row r="225" spans="1:37" s="138" customFormat="1" ht="30" hidden="1" x14ac:dyDescent="0.25">
      <c r="A225" s="138" t="s">
        <v>50</v>
      </c>
      <c r="B225">
        <v>2022</v>
      </c>
      <c r="C225" t="s">
        <v>335</v>
      </c>
      <c r="D225" s="138" t="s">
        <v>9</v>
      </c>
      <c r="E225" s="138" t="s">
        <v>10</v>
      </c>
      <c r="F225" s="138" t="s">
        <v>29</v>
      </c>
      <c r="G225" s="138">
        <v>77532.438036494073</v>
      </c>
      <c r="H225" s="138">
        <v>15588.501327059867</v>
      </c>
      <c r="I225" s="138">
        <v>6977.9194232844666</v>
      </c>
      <c r="J225" s="138">
        <v>1523.4125293449451</v>
      </c>
      <c r="K225" s="141">
        <f t="shared" ref="K225:K226" si="444">H225/G225</f>
        <v>0.20105779879800051</v>
      </c>
      <c r="L225" s="141">
        <f t="shared" ref="L225:L226" si="445">I225/G225</f>
        <v>0.09</v>
      </c>
      <c r="M225" s="141">
        <f t="shared" ref="M225:M226" si="446">J225/G225</f>
        <v>1.9648711789868954E-2</v>
      </c>
      <c r="N225" s="140">
        <f t="shared" ref="N225:N226" si="447">G225-H225-I225-J225</f>
        <v>53442.604756804794</v>
      </c>
      <c r="AA225" s="139"/>
      <c r="AB225" s="139"/>
      <c r="AC225" s="139"/>
      <c r="AD225" s="139"/>
      <c r="AE225" s="139"/>
      <c r="AG225" s="139"/>
      <c r="AI225" s="139"/>
      <c r="AJ225" s="139"/>
      <c r="AK225" s="139"/>
    </row>
    <row r="226" spans="1:37" s="138" customFormat="1" ht="30" hidden="1" x14ac:dyDescent="0.25">
      <c r="A226" s="138" t="s">
        <v>50</v>
      </c>
      <c r="B226">
        <v>2022</v>
      </c>
      <c r="C226" t="s">
        <v>335</v>
      </c>
      <c r="D226" s="138" t="s">
        <v>9</v>
      </c>
      <c r="E226" s="138" t="s">
        <v>12</v>
      </c>
      <c r="F226" s="138" t="s">
        <v>30</v>
      </c>
      <c r="G226" s="138">
        <v>557501.41846000403</v>
      </c>
      <c r="H226" s="138">
        <v>103891.8094139654</v>
      </c>
      <c r="I226" s="138">
        <v>50175.127661400365</v>
      </c>
      <c r="J226" s="138">
        <v>13653.304554189175</v>
      </c>
      <c r="K226" s="141">
        <f t="shared" si="444"/>
        <v>0.1863525472292924</v>
      </c>
      <c r="L226" s="141">
        <f t="shared" si="445"/>
        <v>9.0000000000000011E-2</v>
      </c>
      <c r="M226" s="141">
        <f t="shared" si="446"/>
        <v>2.4490170073295847E-2</v>
      </c>
      <c r="N226" s="140">
        <f t="shared" si="447"/>
        <v>389781.17683044914</v>
      </c>
      <c r="AA226" s="139"/>
      <c r="AB226" s="139"/>
      <c r="AC226" s="139"/>
      <c r="AD226" s="139"/>
      <c r="AE226" s="139"/>
      <c r="AG226" s="139"/>
      <c r="AI226" s="139"/>
      <c r="AJ226" s="139"/>
      <c r="AK226" s="139"/>
    </row>
    <row r="227" spans="1:37" s="138" customFormat="1" ht="30" hidden="1" x14ac:dyDescent="0.25">
      <c r="A227" s="138" t="s">
        <v>50</v>
      </c>
      <c r="B227">
        <v>2022</v>
      </c>
      <c r="C227" t="s">
        <v>335</v>
      </c>
      <c r="D227" s="138" t="s">
        <v>4</v>
      </c>
      <c r="E227" s="138" t="s">
        <v>5</v>
      </c>
      <c r="F227" s="138" t="s">
        <v>27</v>
      </c>
      <c r="G227" s="138">
        <v>87915.665599999993</v>
      </c>
      <c r="H227" s="138">
        <v>7155.7358400000003</v>
      </c>
      <c r="I227" s="138">
        <v>7912.4099039999983</v>
      </c>
      <c r="J227" s="138">
        <v>2252.14</v>
      </c>
      <c r="K227" s="141">
        <f t="shared" ref="K227:K228" si="448">H227/G227</f>
        <v>8.1393182786754684E-2</v>
      </c>
      <c r="L227" s="141">
        <f t="shared" ref="L227:L228" si="449">I227/G227</f>
        <v>8.9999999999999983E-2</v>
      </c>
      <c r="M227" s="141">
        <f t="shared" ref="M227:M228" si="450">J227/G227</f>
        <v>2.5617049983410467E-2</v>
      </c>
      <c r="N227" s="140">
        <f t="shared" ref="N227:N228" si="451">G227-H227-I227-J227</f>
        <v>70595.379856</v>
      </c>
      <c r="AA227" s="139"/>
      <c r="AB227" s="139"/>
      <c r="AC227" s="139"/>
      <c r="AD227" s="139"/>
      <c r="AE227" s="139"/>
      <c r="AG227" s="139"/>
      <c r="AI227" s="139"/>
      <c r="AJ227" s="139"/>
      <c r="AK227" s="139"/>
    </row>
    <row r="228" spans="1:37" s="138" customFormat="1" ht="30" hidden="1" x14ac:dyDescent="0.25">
      <c r="A228" s="138" t="s">
        <v>50</v>
      </c>
      <c r="B228">
        <v>2022</v>
      </c>
      <c r="C228" t="s">
        <v>335</v>
      </c>
      <c r="D228" s="138" t="s">
        <v>4</v>
      </c>
      <c r="E228" s="138" t="s">
        <v>7</v>
      </c>
      <c r="F228" s="138" t="s">
        <v>28</v>
      </c>
      <c r="K228" s="141" t="e">
        <f t="shared" si="448"/>
        <v>#DIV/0!</v>
      </c>
      <c r="L228" s="141" t="e">
        <f t="shared" si="449"/>
        <v>#DIV/0!</v>
      </c>
      <c r="M228" s="141" t="e">
        <f t="shared" si="450"/>
        <v>#DIV/0!</v>
      </c>
      <c r="N228" s="140">
        <f t="shared" si="451"/>
        <v>0</v>
      </c>
      <c r="AA228" s="139"/>
      <c r="AB228" s="139"/>
      <c r="AC228" s="139"/>
      <c r="AD228" s="139"/>
      <c r="AE228" s="139"/>
      <c r="AG228" s="139"/>
      <c r="AI228" s="139"/>
      <c r="AJ228" s="139"/>
      <c r="AK228" s="139"/>
    </row>
    <row r="229" spans="1:37" s="138" customFormat="1" ht="30" hidden="1" x14ac:dyDescent="0.25">
      <c r="A229" s="138" t="s">
        <v>50</v>
      </c>
      <c r="B229">
        <v>2022</v>
      </c>
      <c r="C229" t="s">
        <v>334</v>
      </c>
      <c r="D229" s="138" t="s">
        <v>24</v>
      </c>
      <c r="E229" s="138" t="s">
        <v>25</v>
      </c>
      <c r="F229" s="138" t="s">
        <v>23</v>
      </c>
      <c r="G229" s="138">
        <v>1505.3767820773933</v>
      </c>
      <c r="H229" s="138">
        <v>301.07535641547867</v>
      </c>
      <c r="I229" s="138">
        <v>150.53767820773933</v>
      </c>
      <c r="J229" s="138">
        <v>30.107535641547862</v>
      </c>
      <c r="K229" s="141">
        <f t="shared" ref="K229:K230" si="452">H229/G229</f>
        <v>0.2</v>
      </c>
      <c r="L229" s="141">
        <f t="shared" ref="L229:L230" si="453">I229/G229</f>
        <v>0.1</v>
      </c>
      <c r="M229" s="141">
        <f t="shared" ref="M229:M230" si="454">J229/G229</f>
        <v>1.9999999999999997E-2</v>
      </c>
      <c r="N229" s="140">
        <f t="shared" ref="N229:N230" si="455">G229-H229-I229-J229</f>
        <v>1023.6562118126274</v>
      </c>
      <c r="AA229" s="139"/>
      <c r="AB229" s="139"/>
      <c r="AC229" s="139"/>
      <c r="AD229" s="139"/>
      <c r="AE229" s="139"/>
      <c r="AG229" s="139"/>
      <c r="AI229" s="139"/>
      <c r="AJ229" s="139"/>
      <c r="AK229" s="139"/>
    </row>
    <row r="230" spans="1:37" s="138" customFormat="1" ht="15" hidden="1" x14ac:dyDescent="0.25">
      <c r="A230" s="138" t="s">
        <v>332</v>
      </c>
      <c r="B230" t="s">
        <v>332</v>
      </c>
      <c r="C230" t="s">
        <v>332</v>
      </c>
      <c r="D230" s="138" t="s">
        <v>332</v>
      </c>
      <c r="E230" s="138" t="s">
        <v>332</v>
      </c>
      <c r="F230" s="138" t="s">
        <v>332</v>
      </c>
      <c r="K230" s="141" t="e">
        <f t="shared" si="452"/>
        <v>#DIV/0!</v>
      </c>
      <c r="L230" s="141" t="e">
        <f t="shared" si="453"/>
        <v>#DIV/0!</v>
      </c>
      <c r="M230" s="141" t="e">
        <f t="shared" si="454"/>
        <v>#DIV/0!</v>
      </c>
      <c r="N230" s="140">
        <f t="shared" si="455"/>
        <v>0</v>
      </c>
      <c r="AA230" s="139"/>
      <c r="AB230" s="139"/>
      <c r="AC230" s="139"/>
      <c r="AD230" s="139"/>
      <c r="AE230" s="139"/>
      <c r="AG230" s="139"/>
      <c r="AI230" s="139"/>
      <c r="AJ230" s="139"/>
      <c r="AK230" s="139"/>
    </row>
    <row r="231" spans="1:37" s="138" customFormat="1" ht="30" hidden="1" x14ac:dyDescent="0.25">
      <c r="A231" s="138" t="s">
        <v>50</v>
      </c>
      <c r="B231">
        <v>2022</v>
      </c>
      <c r="C231" t="s">
        <v>334</v>
      </c>
      <c r="D231" s="138" t="s">
        <v>1</v>
      </c>
      <c r="E231" s="138" t="s">
        <v>2</v>
      </c>
      <c r="F231" s="138" t="s">
        <v>18</v>
      </c>
      <c r="G231" s="138">
        <v>234.48074027751886</v>
      </c>
      <c r="H231" s="138">
        <v>44.475668055503775</v>
      </c>
      <c r="I231" s="138">
        <v>21.103266624976698</v>
      </c>
      <c r="J231" s="138">
        <v>3.2145673422643624</v>
      </c>
      <c r="K231" s="141">
        <f t="shared" ref="K231:K232" si="456">H231/G231</f>
        <v>0.18967727585158914</v>
      </c>
      <c r="L231" s="141">
        <f t="shared" ref="L231:L232" si="457">I231/G231</f>
        <v>0.09</v>
      </c>
      <c r="M231" s="141">
        <f t="shared" ref="M231:M232" si="458">J231/G231</f>
        <v>1.3709302258512884E-2</v>
      </c>
      <c r="N231" s="140">
        <f t="shared" ref="N231:N232" si="459">G231-H231-I231-J231</f>
        <v>165.68723825477403</v>
      </c>
      <c r="AA231" s="139"/>
      <c r="AB231" s="139"/>
      <c r="AC231" s="139"/>
      <c r="AD231" s="139"/>
      <c r="AE231" s="139"/>
      <c r="AG231" s="139"/>
      <c r="AI231" s="139"/>
      <c r="AJ231" s="139"/>
      <c r="AK231" s="139"/>
    </row>
    <row r="232" spans="1:37" s="138" customFormat="1" ht="15" hidden="1" x14ac:dyDescent="0.25">
      <c r="A232" s="138" t="s">
        <v>332</v>
      </c>
      <c r="B232" t="s">
        <v>332</v>
      </c>
      <c r="C232" t="s">
        <v>332</v>
      </c>
      <c r="D232" s="138" t="s">
        <v>332</v>
      </c>
      <c r="E232" s="138" t="s">
        <v>332</v>
      </c>
      <c r="F232" s="138" t="s">
        <v>332</v>
      </c>
      <c r="K232" s="141" t="e">
        <f t="shared" si="456"/>
        <v>#DIV/0!</v>
      </c>
      <c r="L232" s="141" t="e">
        <f t="shared" si="457"/>
        <v>#DIV/0!</v>
      </c>
      <c r="M232" s="141" t="e">
        <f t="shared" si="458"/>
        <v>#DIV/0!</v>
      </c>
      <c r="N232" s="140">
        <f t="shared" si="459"/>
        <v>0</v>
      </c>
      <c r="AA232" s="139"/>
      <c r="AB232" s="139"/>
      <c r="AC232" s="139"/>
      <c r="AD232" s="139"/>
      <c r="AE232" s="139"/>
      <c r="AG232" s="139"/>
      <c r="AI232" s="139"/>
      <c r="AJ232" s="139"/>
      <c r="AK232" s="139"/>
    </row>
    <row r="233" spans="1:37" s="138" customFormat="1" ht="30" hidden="1" x14ac:dyDescent="0.25">
      <c r="A233" s="138" t="s">
        <v>50</v>
      </c>
      <c r="B233">
        <v>2022</v>
      </c>
      <c r="C233" t="s">
        <v>334</v>
      </c>
      <c r="D233" s="138" t="s">
        <v>9</v>
      </c>
      <c r="E233" s="138" t="s">
        <v>10</v>
      </c>
      <c r="F233" s="138" t="s">
        <v>21</v>
      </c>
      <c r="G233" s="138">
        <v>0</v>
      </c>
      <c r="H233" s="138">
        <v>0</v>
      </c>
      <c r="I233" s="138">
        <v>0</v>
      </c>
      <c r="J233" s="138">
        <v>0</v>
      </c>
      <c r="K233" s="141" t="e">
        <f t="shared" ref="K233:K234" si="460">H233/G233</f>
        <v>#DIV/0!</v>
      </c>
      <c r="L233" s="141" t="e">
        <f t="shared" ref="L233:L234" si="461">I233/G233</f>
        <v>#DIV/0!</v>
      </c>
      <c r="M233" s="141" t="e">
        <f t="shared" ref="M233:M234" si="462">J233/G233</f>
        <v>#DIV/0!</v>
      </c>
      <c r="N233" s="140">
        <f t="shared" ref="N233:N234" si="463">G233-H233-I233-J233</f>
        <v>0</v>
      </c>
      <c r="AA233" s="139"/>
      <c r="AB233" s="139"/>
      <c r="AC233" s="139"/>
      <c r="AD233" s="139"/>
      <c r="AE233" s="139"/>
      <c r="AG233" s="139"/>
      <c r="AI233" s="139"/>
      <c r="AJ233" s="139"/>
      <c r="AK233" s="139"/>
    </row>
    <row r="234" spans="1:37" s="138" customFormat="1" ht="30" hidden="1" x14ac:dyDescent="0.25">
      <c r="A234" s="138" t="s">
        <v>50</v>
      </c>
      <c r="B234">
        <v>2022</v>
      </c>
      <c r="C234" t="s">
        <v>334</v>
      </c>
      <c r="D234" s="138" t="s">
        <v>9</v>
      </c>
      <c r="E234" s="138" t="s">
        <v>12</v>
      </c>
      <c r="F234" s="138" t="s">
        <v>22</v>
      </c>
      <c r="G234" s="138">
        <v>12264.545794692936</v>
      </c>
      <c r="H234" s="138">
        <v>1625.5151972742435</v>
      </c>
      <c r="I234" s="138">
        <v>1103.8091215223653</v>
      </c>
      <c r="J234" s="138">
        <v>627.36821459522048</v>
      </c>
      <c r="K234" s="141">
        <f t="shared" si="460"/>
        <v>0.13253774126536588</v>
      </c>
      <c r="L234" s="141">
        <f t="shared" si="461"/>
        <v>9.000000000000008E-2</v>
      </c>
      <c r="M234" s="141">
        <f t="shared" si="462"/>
        <v>5.115299213662626E-2</v>
      </c>
      <c r="N234" s="140">
        <f t="shared" si="463"/>
        <v>8907.8532613011066</v>
      </c>
      <c r="AA234" s="139"/>
      <c r="AB234" s="139"/>
      <c r="AC234" s="139"/>
      <c r="AD234" s="139"/>
      <c r="AE234" s="139"/>
      <c r="AG234" s="139"/>
      <c r="AI234" s="139"/>
      <c r="AJ234" s="139"/>
      <c r="AK234" s="139"/>
    </row>
    <row r="235" spans="1:37" s="138" customFormat="1" ht="30" hidden="1" x14ac:dyDescent="0.25">
      <c r="A235" s="138" t="s">
        <v>50</v>
      </c>
      <c r="B235">
        <v>2022</v>
      </c>
      <c r="C235" t="s">
        <v>334</v>
      </c>
      <c r="D235" s="138" t="s">
        <v>4</v>
      </c>
      <c r="E235" s="138" t="s">
        <v>5</v>
      </c>
      <c r="F235" s="138" t="s">
        <v>19</v>
      </c>
      <c r="G235" s="138">
        <v>0</v>
      </c>
      <c r="H235" s="138">
        <v>0</v>
      </c>
      <c r="I235" s="138">
        <v>0</v>
      </c>
      <c r="J235" s="138">
        <v>0</v>
      </c>
      <c r="K235" s="141" t="e">
        <f t="shared" ref="K235:K236" si="464">H235/G235</f>
        <v>#DIV/0!</v>
      </c>
      <c r="L235" s="141" t="e">
        <f t="shared" ref="L235:L236" si="465">I235/G235</f>
        <v>#DIV/0!</v>
      </c>
      <c r="M235" s="141" t="e">
        <f t="shared" ref="M235:M236" si="466">J235/G235</f>
        <v>#DIV/0!</v>
      </c>
      <c r="N235" s="140">
        <f t="shared" ref="N235:N236" si="467">G235-H235-I235-J235</f>
        <v>0</v>
      </c>
      <c r="AA235" s="139"/>
      <c r="AB235" s="139"/>
      <c r="AC235" s="139"/>
      <c r="AD235" s="139"/>
      <c r="AE235" s="139"/>
      <c r="AG235" s="139"/>
      <c r="AI235" s="139"/>
      <c r="AJ235" s="139"/>
      <c r="AK235" s="139"/>
    </row>
    <row r="236" spans="1:37" s="138" customFormat="1" ht="30" x14ac:dyDescent="0.25">
      <c r="A236" s="138" t="s">
        <v>50</v>
      </c>
      <c r="B236">
        <v>2022</v>
      </c>
      <c r="C236" t="s">
        <v>334</v>
      </c>
      <c r="D236" s="138" t="s">
        <v>4</v>
      </c>
      <c r="E236" s="138" t="s">
        <v>7</v>
      </c>
      <c r="F236" s="138" t="s">
        <v>20</v>
      </c>
      <c r="K236" s="141" t="e">
        <f t="shared" si="464"/>
        <v>#DIV/0!</v>
      </c>
      <c r="L236" s="141" t="e">
        <f t="shared" si="465"/>
        <v>#DIV/0!</v>
      </c>
      <c r="M236" s="141" t="e">
        <f t="shared" si="466"/>
        <v>#DIV/0!</v>
      </c>
      <c r="N236" s="140">
        <f t="shared" si="467"/>
        <v>0</v>
      </c>
      <c r="AA236" s="139"/>
      <c r="AB236" s="139"/>
      <c r="AC236" s="139"/>
      <c r="AD236" s="139"/>
      <c r="AE236" s="139"/>
      <c r="AG236" s="139"/>
      <c r="AI236" s="139"/>
      <c r="AJ236" s="139"/>
      <c r="AK236" s="139"/>
    </row>
    <row r="237" spans="1:37" s="138" customFormat="1" ht="30" hidden="1" x14ac:dyDescent="0.25">
      <c r="A237" s="138" t="s">
        <v>50</v>
      </c>
      <c r="B237">
        <v>2022</v>
      </c>
      <c r="C237" t="s">
        <v>333</v>
      </c>
      <c r="D237" s="138" t="s">
        <v>1</v>
      </c>
      <c r="E237" s="138" t="s">
        <v>2</v>
      </c>
      <c r="F237" s="138" t="s">
        <v>13</v>
      </c>
      <c r="K237" s="141" t="e">
        <f t="shared" ref="K237:K238" si="468">H237/G237</f>
        <v>#DIV/0!</v>
      </c>
      <c r="L237" s="141" t="e">
        <f t="shared" ref="L237:L238" si="469">I237/G237</f>
        <v>#DIV/0!</v>
      </c>
      <c r="M237" s="141" t="e">
        <f t="shared" ref="M237:M238" si="470">J237/G237</f>
        <v>#DIV/0!</v>
      </c>
      <c r="N237" s="140">
        <f t="shared" ref="N237:N238" si="471">G237-H237-I237-J237</f>
        <v>0</v>
      </c>
      <c r="AA237" s="139"/>
      <c r="AB237" s="139"/>
      <c r="AC237" s="139"/>
      <c r="AD237" s="139"/>
      <c r="AE237" s="139"/>
      <c r="AG237" s="139"/>
      <c r="AI237" s="139"/>
      <c r="AJ237" s="139"/>
      <c r="AK237" s="139"/>
    </row>
    <row r="238" spans="1:37" s="138" customFormat="1" ht="15" hidden="1" x14ac:dyDescent="0.25">
      <c r="A238" s="138" t="s">
        <v>332</v>
      </c>
      <c r="B238" t="s">
        <v>332</v>
      </c>
      <c r="C238" t="s">
        <v>332</v>
      </c>
      <c r="D238" s="138" t="s">
        <v>332</v>
      </c>
      <c r="E238" s="138" t="s">
        <v>332</v>
      </c>
      <c r="F238" s="138" t="s">
        <v>332</v>
      </c>
      <c r="K238" s="141" t="e">
        <f t="shared" si="468"/>
        <v>#DIV/0!</v>
      </c>
      <c r="L238" s="141" t="e">
        <f t="shared" si="469"/>
        <v>#DIV/0!</v>
      </c>
      <c r="M238" s="141" t="e">
        <f t="shared" si="470"/>
        <v>#DIV/0!</v>
      </c>
      <c r="N238" s="140">
        <f t="shared" si="471"/>
        <v>0</v>
      </c>
      <c r="AA238" s="139"/>
      <c r="AB238" s="139"/>
      <c r="AC238" s="139"/>
      <c r="AD238" s="139"/>
      <c r="AE238" s="139"/>
      <c r="AG238" s="139"/>
      <c r="AI238" s="139"/>
      <c r="AJ238" s="139"/>
      <c r="AK238" s="139"/>
    </row>
    <row r="239" spans="1:37" s="138" customFormat="1" ht="30" hidden="1" x14ac:dyDescent="0.25">
      <c r="A239" s="138" t="s">
        <v>50</v>
      </c>
      <c r="B239">
        <v>2022</v>
      </c>
      <c r="C239" t="s">
        <v>333</v>
      </c>
      <c r="D239" s="138" t="s">
        <v>9</v>
      </c>
      <c r="E239" s="138" t="s">
        <v>10</v>
      </c>
      <c r="F239" s="138" t="s">
        <v>16</v>
      </c>
      <c r="G239" s="138">
        <v>96</v>
      </c>
      <c r="H239" s="138">
        <v>0</v>
      </c>
      <c r="I239" s="138">
        <v>9.6000000000000014</v>
      </c>
      <c r="J239" s="138">
        <v>0</v>
      </c>
      <c r="K239" s="141">
        <f t="shared" ref="K239:K240" si="472">H239/G239</f>
        <v>0</v>
      </c>
      <c r="L239" s="141">
        <f t="shared" ref="L239:L240" si="473">I239/G239</f>
        <v>0.10000000000000002</v>
      </c>
      <c r="M239" s="141">
        <f t="shared" ref="M239:M240" si="474">J239/G239</f>
        <v>0</v>
      </c>
      <c r="N239" s="140">
        <f t="shared" ref="N239:N240" si="475">G239-H239-I239-J239</f>
        <v>86.4</v>
      </c>
      <c r="AA239" s="139"/>
      <c r="AB239" s="139"/>
      <c r="AC239" s="139"/>
      <c r="AD239" s="139"/>
      <c r="AE239" s="139"/>
      <c r="AG239" s="139"/>
      <c r="AI239" s="139"/>
      <c r="AJ239" s="139"/>
      <c r="AK239" s="139"/>
    </row>
    <row r="240" spans="1:37" s="138" customFormat="1" ht="30" hidden="1" x14ac:dyDescent="0.25">
      <c r="A240" s="138" t="s">
        <v>50</v>
      </c>
      <c r="B240">
        <v>2022</v>
      </c>
      <c r="C240" t="s">
        <v>333</v>
      </c>
      <c r="D240" s="138" t="s">
        <v>9</v>
      </c>
      <c r="E240" s="138" t="s">
        <v>12</v>
      </c>
      <c r="F240" s="138" t="s">
        <v>17</v>
      </c>
      <c r="G240" s="138">
        <v>665.93811053152615</v>
      </c>
      <c r="H240" s="138">
        <v>154.11239370431011</v>
      </c>
      <c r="I240" s="138">
        <v>66.593811053152621</v>
      </c>
      <c r="J240" s="138">
        <v>7.632167164179104</v>
      </c>
      <c r="K240" s="141">
        <f t="shared" si="472"/>
        <v>0.23142149588240796</v>
      </c>
      <c r="L240" s="141">
        <f t="shared" si="473"/>
        <v>0.1</v>
      </c>
      <c r="M240" s="141">
        <f t="shared" si="474"/>
        <v>1.14607754736959E-2</v>
      </c>
      <c r="N240" s="140">
        <f t="shared" si="475"/>
        <v>437.5997386098843</v>
      </c>
      <c r="AA240" s="139"/>
      <c r="AB240" s="139"/>
      <c r="AC240" s="139"/>
      <c r="AD240" s="139"/>
      <c r="AE240" s="139"/>
      <c r="AG240" s="139"/>
      <c r="AI240" s="139"/>
      <c r="AJ240" s="139"/>
      <c r="AK240" s="139"/>
    </row>
    <row r="241" spans="1:37" s="138" customFormat="1" ht="30" hidden="1" x14ac:dyDescent="0.25">
      <c r="A241" s="138" t="s">
        <v>50</v>
      </c>
      <c r="B241">
        <v>2022</v>
      </c>
      <c r="C241" t="s">
        <v>333</v>
      </c>
      <c r="D241" s="138" t="s">
        <v>4</v>
      </c>
      <c r="E241" s="138" t="s">
        <v>5</v>
      </c>
      <c r="F241" s="138" t="s">
        <v>14</v>
      </c>
      <c r="K241" s="141" t="e">
        <f t="shared" ref="K241:K242" si="476">H241/G241</f>
        <v>#DIV/0!</v>
      </c>
      <c r="L241" s="141" t="e">
        <f t="shared" ref="L241:L242" si="477">I241/G241</f>
        <v>#DIV/0!</v>
      </c>
      <c r="M241" s="141" t="e">
        <f t="shared" ref="M241:M242" si="478">J241/G241</f>
        <v>#DIV/0!</v>
      </c>
      <c r="N241" s="140">
        <f t="shared" ref="N241:N242" si="479">G241-H241-I241-J241</f>
        <v>0</v>
      </c>
      <c r="AA241" s="139"/>
      <c r="AB241" s="139"/>
      <c r="AC241" s="139"/>
      <c r="AD241" s="139"/>
      <c r="AE241" s="139"/>
      <c r="AG241" s="139"/>
      <c r="AI241" s="139"/>
      <c r="AJ241" s="139"/>
      <c r="AK241" s="139"/>
    </row>
    <row r="242" spans="1:37" s="138" customFormat="1" ht="30" hidden="1" x14ac:dyDescent="0.25">
      <c r="A242" s="138" t="s">
        <v>50</v>
      </c>
      <c r="B242">
        <v>2022</v>
      </c>
      <c r="C242" t="s">
        <v>333</v>
      </c>
      <c r="D242" s="138" t="s">
        <v>4</v>
      </c>
      <c r="E242" s="138" t="s">
        <v>7</v>
      </c>
      <c r="F242" s="138" t="s">
        <v>15</v>
      </c>
      <c r="K242" s="141" t="e">
        <f t="shared" si="476"/>
        <v>#DIV/0!</v>
      </c>
      <c r="L242" s="141" t="e">
        <f t="shared" si="477"/>
        <v>#DIV/0!</v>
      </c>
      <c r="M242" s="141" t="e">
        <f t="shared" si="478"/>
        <v>#DIV/0!</v>
      </c>
      <c r="N242" s="140">
        <f t="shared" si="479"/>
        <v>0</v>
      </c>
      <c r="AA242" s="139"/>
      <c r="AB242" s="139"/>
      <c r="AC242" s="139"/>
      <c r="AD242" s="139"/>
      <c r="AE242" s="139"/>
      <c r="AG242" s="139"/>
      <c r="AI242" s="139"/>
      <c r="AJ242" s="139"/>
      <c r="AK242" s="139"/>
    </row>
    <row r="243" spans="1:37" s="138" customFormat="1" ht="30" hidden="1" x14ac:dyDescent="0.25">
      <c r="A243" s="138" t="s">
        <v>50</v>
      </c>
      <c r="B243">
        <v>2022</v>
      </c>
      <c r="C243" t="s">
        <v>331</v>
      </c>
      <c r="D243" s="138" t="s">
        <v>1</v>
      </c>
      <c r="E243" s="138" t="s">
        <v>2</v>
      </c>
      <c r="F243" s="138" t="s">
        <v>0</v>
      </c>
      <c r="G243" s="138">
        <v>879.34649000000002</v>
      </c>
      <c r="H243" s="138">
        <v>49.0774896</v>
      </c>
      <c r="I243" s="138">
        <v>109.91831125</v>
      </c>
      <c r="J243" s="138">
        <v>0.22</v>
      </c>
      <c r="K243" s="141">
        <f t="shared" ref="K243:K244" si="480">H243/G243</f>
        <v>5.5811321428030032E-2</v>
      </c>
      <c r="L243" s="141">
        <f t="shared" ref="L243:L244" si="481">I243/G243</f>
        <v>0.125</v>
      </c>
      <c r="M243" s="141">
        <f t="shared" ref="M243:M244" si="482">J243/G243</f>
        <v>2.5018579422543666E-4</v>
      </c>
      <c r="N243" s="140">
        <f t="shared" ref="N243:N244" si="483">G243-H243-I243-J243</f>
        <v>720.13068914999997</v>
      </c>
      <c r="AA243" s="139"/>
      <c r="AB243" s="139"/>
      <c r="AC243" s="139"/>
      <c r="AD243" s="139"/>
      <c r="AE243" s="139"/>
      <c r="AG243" s="139"/>
      <c r="AI243" s="139"/>
      <c r="AJ243" s="139"/>
      <c r="AK243" s="139"/>
    </row>
    <row r="244" spans="1:37" s="138" customFormat="1" ht="15" hidden="1" x14ac:dyDescent="0.25">
      <c r="A244" s="138" t="s">
        <v>332</v>
      </c>
      <c r="B244" t="s">
        <v>332</v>
      </c>
      <c r="C244" t="s">
        <v>332</v>
      </c>
      <c r="D244" s="138" t="s">
        <v>332</v>
      </c>
      <c r="E244" s="138" t="s">
        <v>332</v>
      </c>
      <c r="F244" s="138" t="s">
        <v>332</v>
      </c>
      <c r="K244" s="141" t="e">
        <f t="shared" si="480"/>
        <v>#DIV/0!</v>
      </c>
      <c r="L244" s="141" t="e">
        <f t="shared" si="481"/>
        <v>#DIV/0!</v>
      </c>
      <c r="M244" s="141" t="e">
        <f t="shared" si="482"/>
        <v>#DIV/0!</v>
      </c>
      <c r="N244" s="140">
        <f t="shared" si="483"/>
        <v>0</v>
      </c>
      <c r="AA244" s="139"/>
      <c r="AB244" s="139"/>
      <c r="AC244" s="139"/>
      <c r="AD244" s="139"/>
      <c r="AE244" s="139"/>
      <c r="AG244" s="139"/>
      <c r="AI244" s="139"/>
      <c r="AJ244" s="139"/>
      <c r="AK244" s="139"/>
    </row>
    <row r="245" spans="1:37" s="138" customFormat="1" ht="30" hidden="1" x14ac:dyDescent="0.25">
      <c r="A245" s="138" t="s">
        <v>50</v>
      </c>
      <c r="B245">
        <v>2022</v>
      </c>
      <c r="C245" t="s">
        <v>331</v>
      </c>
      <c r="D245" s="138" t="s">
        <v>9</v>
      </c>
      <c r="E245" s="138" t="s">
        <v>10</v>
      </c>
      <c r="F245" s="138" t="s">
        <v>8</v>
      </c>
      <c r="K245" s="141" t="e">
        <f t="shared" ref="K245:K246" si="484">H245/G245</f>
        <v>#DIV/0!</v>
      </c>
      <c r="L245" s="141" t="e">
        <f t="shared" ref="L245:L246" si="485">I245/G245</f>
        <v>#DIV/0!</v>
      </c>
      <c r="M245" s="141" t="e">
        <f t="shared" ref="M245:M246" si="486">J245/G245</f>
        <v>#DIV/0!</v>
      </c>
      <c r="N245" s="140">
        <f t="shared" ref="N245:N246" si="487">G245-H245-I245-J245</f>
        <v>0</v>
      </c>
      <c r="AA245" s="139"/>
      <c r="AB245" s="139"/>
      <c r="AC245" s="139"/>
      <c r="AD245" s="139"/>
      <c r="AE245" s="139"/>
      <c r="AG245" s="139"/>
      <c r="AI245" s="139"/>
      <c r="AJ245" s="139"/>
      <c r="AK245" s="139"/>
    </row>
    <row r="246" spans="1:37" s="138" customFormat="1" ht="30" hidden="1" x14ac:dyDescent="0.25">
      <c r="A246" s="138" t="s">
        <v>50</v>
      </c>
      <c r="B246">
        <v>2022</v>
      </c>
      <c r="C246" t="s">
        <v>331</v>
      </c>
      <c r="D246" s="138" t="s">
        <v>9</v>
      </c>
      <c r="E246" s="138" t="s">
        <v>12</v>
      </c>
      <c r="F246" s="138" t="s">
        <v>11</v>
      </c>
      <c r="K246" s="141" t="e">
        <f t="shared" si="484"/>
        <v>#DIV/0!</v>
      </c>
      <c r="L246" s="141" t="e">
        <f t="shared" si="485"/>
        <v>#DIV/0!</v>
      </c>
      <c r="M246" s="141" t="e">
        <f t="shared" si="486"/>
        <v>#DIV/0!</v>
      </c>
      <c r="N246" s="140">
        <f t="shared" si="487"/>
        <v>0</v>
      </c>
      <c r="AA246" s="139"/>
      <c r="AB246" s="139"/>
      <c r="AC246" s="139"/>
      <c r="AD246" s="139"/>
      <c r="AE246" s="139"/>
      <c r="AG246" s="139"/>
      <c r="AI246" s="139"/>
      <c r="AJ246" s="139"/>
      <c r="AK246" s="139"/>
    </row>
    <row r="247" spans="1:37" s="138" customFormat="1" ht="30" hidden="1" x14ac:dyDescent="0.25">
      <c r="A247" s="138" t="s">
        <v>50</v>
      </c>
      <c r="B247">
        <v>2022</v>
      </c>
      <c r="C247" t="s">
        <v>331</v>
      </c>
      <c r="D247" s="138" t="s">
        <v>4</v>
      </c>
      <c r="E247" s="138" t="s">
        <v>5</v>
      </c>
      <c r="F247" s="138" t="s">
        <v>3</v>
      </c>
      <c r="K247" s="141" t="e">
        <f t="shared" ref="K247:K248" si="488">H247/G247</f>
        <v>#DIV/0!</v>
      </c>
      <c r="L247" s="141" t="e">
        <f t="shared" ref="L247:L248" si="489">I247/G247</f>
        <v>#DIV/0!</v>
      </c>
      <c r="M247" s="141" t="e">
        <f t="shared" ref="M247:M248" si="490">J247/G247</f>
        <v>#DIV/0!</v>
      </c>
      <c r="N247" s="140">
        <f t="shared" ref="N247:N248" si="491">G247-H247-I247-J247</f>
        <v>0</v>
      </c>
      <c r="AA247" s="139"/>
      <c r="AB247" s="139"/>
      <c r="AC247" s="139"/>
      <c r="AD247" s="139"/>
      <c r="AE247" s="139"/>
      <c r="AG247" s="139"/>
      <c r="AI247" s="139"/>
      <c r="AJ247" s="139"/>
      <c r="AK247" s="139"/>
    </row>
    <row r="248" spans="1:37" s="138" customFormat="1" ht="30" hidden="1" x14ac:dyDescent="0.25">
      <c r="A248" s="138" t="s">
        <v>50</v>
      </c>
      <c r="B248">
        <v>2022</v>
      </c>
      <c r="C248" t="s">
        <v>331</v>
      </c>
      <c r="D248" s="138" t="s">
        <v>4</v>
      </c>
      <c r="E248" s="138" t="s">
        <v>7</v>
      </c>
      <c r="F248" s="138" t="s">
        <v>6</v>
      </c>
      <c r="K248" s="141" t="e">
        <f t="shared" si="488"/>
        <v>#DIV/0!</v>
      </c>
      <c r="L248" s="141" t="e">
        <f t="shared" si="489"/>
        <v>#DIV/0!</v>
      </c>
      <c r="M248" s="141" t="e">
        <f t="shared" si="490"/>
        <v>#DIV/0!</v>
      </c>
      <c r="N248" s="140">
        <f t="shared" si="491"/>
        <v>0</v>
      </c>
      <c r="AA248" s="139"/>
      <c r="AB248" s="139"/>
      <c r="AC248" s="139"/>
      <c r="AD248" s="139"/>
      <c r="AE248" s="139"/>
      <c r="AG248" s="139"/>
      <c r="AI248" s="139"/>
      <c r="AJ248" s="139"/>
      <c r="AK248" s="139"/>
    </row>
    <row r="249" spans="1:37" s="138" customFormat="1" ht="30" hidden="1" x14ac:dyDescent="0.25">
      <c r="A249" s="138" t="s">
        <v>49</v>
      </c>
      <c r="B249">
        <v>2022</v>
      </c>
      <c r="C249" t="s">
        <v>335</v>
      </c>
      <c r="D249" s="138" t="s">
        <v>1</v>
      </c>
      <c r="E249" s="138" t="s">
        <v>2</v>
      </c>
      <c r="F249" s="138" t="s">
        <v>26</v>
      </c>
      <c r="G249" s="138">
        <v>190.42388697660448</v>
      </c>
      <c r="H249" s="138">
        <v>36.180538525554852</v>
      </c>
      <c r="I249" s="138">
        <v>17.138149827894402</v>
      </c>
      <c r="J249" s="138">
        <v>1.9042388697660446</v>
      </c>
      <c r="K249" s="141">
        <f t="shared" ref="K249:K250" si="492">H249/G249</f>
        <v>0.19</v>
      </c>
      <c r="L249" s="141">
        <f t="shared" ref="L249:L250" si="493">I249/G249</f>
        <v>0.09</v>
      </c>
      <c r="M249" s="141">
        <f t="shared" ref="M249:M250" si="494">J249/G249</f>
        <v>9.9999999999999985E-3</v>
      </c>
      <c r="N249" s="140">
        <f t="shared" ref="N249:N250" si="495">G249-H249-I249-J249</f>
        <v>135.20095975338918</v>
      </c>
      <c r="AA249" s="139"/>
      <c r="AB249" s="139"/>
      <c r="AC249" s="139"/>
      <c r="AD249" s="139"/>
      <c r="AE249" s="139"/>
      <c r="AG249" s="139"/>
      <c r="AI249" s="139"/>
      <c r="AJ249" s="139"/>
      <c r="AK249" s="139"/>
    </row>
    <row r="250" spans="1:37" s="138" customFormat="1" ht="15" hidden="1" x14ac:dyDescent="0.25">
      <c r="A250" s="138" t="s">
        <v>332</v>
      </c>
      <c r="B250" t="s">
        <v>332</v>
      </c>
      <c r="C250" t="s">
        <v>332</v>
      </c>
      <c r="D250" s="138" t="s">
        <v>332</v>
      </c>
      <c r="E250" s="138" t="s">
        <v>332</v>
      </c>
      <c r="F250" s="138" t="s">
        <v>332</v>
      </c>
      <c r="K250" s="141" t="e">
        <f t="shared" si="492"/>
        <v>#DIV/0!</v>
      </c>
      <c r="L250" s="141" t="e">
        <f t="shared" si="493"/>
        <v>#DIV/0!</v>
      </c>
      <c r="M250" s="141" t="e">
        <f t="shared" si="494"/>
        <v>#DIV/0!</v>
      </c>
      <c r="N250" s="140">
        <f t="shared" si="495"/>
        <v>0</v>
      </c>
      <c r="AA250" s="139"/>
      <c r="AB250" s="139"/>
      <c r="AC250" s="139"/>
      <c r="AD250" s="139"/>
      <c r="AE250" s="139"/>
      <c r="AG250" s="139"/>
      <c r="AI250" s="139"/>
      <c r="AJ250" s="139"/>
      <c r="AK250" s="139"/>
    </row>
    <row r="251" spans="1:37" s="138" customFormat="1" ht="30" hidden="1" x14ac:dyDescent="0.25">
      <c r="A251" s="138" t="s">
        <v>49</v>
      </c>
      <c r="B251">
        <v>2022</v>
      </c>
      <c r="C251" t="s">
        <v>335</v>
      </c>
      <c r="D251" s="138" t="s">
        <v>9</v>
      </c>
      <c r="E251" s="138" t="s">
        <v>10</v>
      </c>
      <c r="F251" s="138" t="s">
        <v>29</v>
      </c>
      <c r="G251" s="138">
        <v>38841.216122359394</v>
      </c>
      <c r="H251" s="138">
        <v>6544.1463871316755</v>
      </c>
      <c r="I251" s="138">
        <v>3495.7094510123457</v>
      </c>
      <c r="J251" s="138">
        <v>1350.395632025374</v>
      </c>
      <c r="K251" s="141">
        <f t="shared" ref="K251:K252" si="496">H251/G251</f>
        <v>0.16848459035154828</v>
      </c>
      <c r="L251" s="141">
        <f t="shared" ref="L251:L252" si="497">I251/G251</f>
        <v>9.0000000000000011E-2</v>
      </c>
      <c r="M251" s="141">
        <f t="shared" ref="M251:M252" si="498">J251/G251</f>
        <v>3.476707906805223E-2</v>
      </c>
      <c r="N251" s="140">
        <f t="shared" ref="N251:N252" si="499">G251-H251-I251-J251</f>
        <v>27450.964652189999</v>
      </c>
      <c r="AA251" s="139"/>
      <c r="AB251" s="139"/>
      <c r="AC251" s="139"/>
      <c r="AD251" s="139"/>
      <c r="AE251" s="139"/>
      <c r="AG251" s="139"/>
      <c r="AI251" s="139"/>
      <c r="AJ251" s="139"/>
      <c r="AK251" s="139"/>
    </row>
    <row r="252" spans="1:37" s="138" customFormat="1" ht="30" hidden="1" x14ac:dyDescent="0.25">
      <c r="A252" s="138" t="s">
        <v>49</v>
      </c>
      <c r="B252">
        <v>2022</v>
      </c>
      <c r="C252" t="s">
        <v>335</v>
      </c>
      <c r="D252" s="138" t="s">
        <v>9</v>
      </c>
      <c r="E252" s="138" t="s">
        <v>12</v>
      </c>
      <c r="F252" s="138" t="s">
        <v>30</v>
      </c>
      <c r="G252" s="138">
        <v>641699.33986368868</v>
      </c>
      <c r="H252" s="138">
        <v>105360.21249696991</v>
      </c>
      <c r="I252" s="138">
        <v>57752.940587731944</v>
      </c>
      <c r="J252" s="138">
        <v>11616.413267467649</v>
      </c>
      <c r="K252" s="141">
        <f t="shared" si="496"/>
        <v>0.16418937335879258</v>
      </c>
      <c r="L252" s="141">
        <f t="shared" si="497"/>
        <v>8.9999999999999941E-2</v>
      </c>
      <c r="M252" s="141">
        <f t="shared" si="498"/>
        <v>1.8102579425958637E-2</v>
      </c>
      <c r="N252" s="140">
        <f t="shared" si="499"/>
        <v>466969.77351151925</v>
      </c>
      <c r="AA252" s="139"/>
      <c r="AB252" s="139"/>
      <c r="AC252" s="139"/>
      <c r="AD252" s="139"/>
      <c r="AE252" s="139"/>
      <c r="AG252" s="139"/>
      <c r="AI252" s="139"/>
      <c r="AJ252" s="139"/>
      <c r="AK252" s="139"/>
    </row>
    <row r="253" spans="1:37" s="138" customFormat="1" ht="30" hidden="1" x14ac:dyDescent="0.25">
      <c r="A253" s="138" t="s">
        <v>49</v>
      </c>
      <c r="B253">
        <v>2022</v>
      </c>
      <c r="C253" t="s">
        <v>335</v>
      </c>
      <c r="D253" s="138" t="s">
        <v>4</v>
      </c>
      <c r="E253" s="138" t="s">
        <v>5</v>
      </c>
      <c r="F253" s="138" t="s">
        <v>27</v>
      </c>
      <c r="K253" s="141" t="e">
        <f t="shared" ref="K253:K254" si="500">H253/G253</f>
        <v>#DIV/0!</v>
      </c>
      <c r="L253" s="141" t="e">
        <f t="shared" ref="L253:L254" si="501">I253/G253</f>
        <v>#DIV/0!</v>
      </c>
      <c r="M253" s="141" t="e">
        <f t="shared" ref="M253:M254" si="502">J253/G253</f>
        <v>#DIV/0!</v>
      </c>
      <c r="N253" s="140">
        <f t="shared" ref="N253:N254" si="503">G253-H253-I253-J253</f>
        <v>0</v>
      </c>
      <c r="AA253" s="139"/>
      <c r="AB253" s="139"/>
      <c r="AC253" s="139"/>
      <c r="AD253" s="139"/>
      <c r="AE253" s="139"/>
      <c r="AG253" s="139"/>
      <c r="AI253" s="139"/>
      <c r="AJ253" s="139"/>
      <c r="AK253" s="139"/>
    </row>
    <row r="254" spans="1:37" s="138" customFormat="1" ht="30" hidden="1" x14ac:dyDescent="0.25">
      <c r="A254" s="138" t="s">
        <v>49</v>
      </c>
      <c r="B254">
        <v>2022</v>
      </c>
      <c r="C254" t="s">
        <v>335</v>
      </c>
      <c r="D254" s="138" t="s">
        <v>4</v>
      </c>
      <c r="E254" s="138" t="s">
        <v>7</v>
      </c>
      <c r="F254" s="138" t="s">
        <v>28</v>
      </c>
      <c r="K254" s="141" t="e">
        <f t="shared" si="500"/>
        <v>#DIV/0!</v>
      </c>
      <c r="L254" s="141" t="e">
        <f t="shared" si="501"/>
        <v>#DIV/0!</v>
      </c>
      <c r="M254" s="141" t="e">
        <f t="shared" si="502"/>
        <v>#DIV/0!</v>
      </c>
      <c r="N254" s="140">
        <f t="shared" si="503"/>
        <v>0</v>
      </c>
      <c r="AA254" s="139"/>
      <c r="AB254" s="139"/>
      <c r="AC254" s="139"/>
      <c r="AD254" s="139"/>
      <c r="AE254" s="139"/>
      <c r="AG254" s="139"/>
      <c r="AI254" s="139"/>
      <c r="AJ254" s="139"/>
      <c r="AK254" s="139"/>
    </row>
    <row r="255" spans="1:37" s="138" customFormat="1" ht="30" hidden="1" x14ac:dyDescent="0.25">
      <c r="A255" s="138" t="s">
        <v>49</v>
      </c>
      <c r="B255">
        <v>2022</v>
      </c>
      <c r="C255" t="s">
        <v>334</v>
      </c>
      <c r="D255" s="138" t="s">
        <v>24</v>
      </c>
      <c r="E255" s="138" t="s">
        <v>25</v>
      </c>
      <c r="F255" s="138" t="s">
        <v>23</v>
      </c>
      <c r="K255" s="141" t="e">
        <f t="shared" ref="K255:K256" si="504">H255/G255</f>
        <v>#DIV/0!</v>
      </c>
      <c r="L255" s="141" t="e">
        <f t="shared" ref="L255:L256" si="505">I255/G255</f>
        <v>#DIV/0!</v>
      </c>
      <c r="M255" s="141" t="e">
        <f t="shared" ref="M255:M256" si="506">J255/G255</f>
        <v>#DIV/0!</v>
      </c>
      <c r="N255" s="140">
        <f t="shared" ref="N255:N256" si="507">G255-H255-I255-J255</f>
        <v>0</v>
      </c>
      <c r="AA255" s="139"/>
      <c r="AB255" s="139"/>
      <c r="AC255" s="139"/>
      <c r="AD255" s="139"/>
      <c r="AE255" s="139"/>
      <c r="AG255" s="139"/>
      <c r="AI255" s="139"/>
      <c r="AJ255" s="139"/>
      <c r="AK255" s="139"/>
    </row>
    <row r="256" spans="1:37" s="138" customFormat="1" ht="15" hidden="1" x14ac:dyDescent="0.25">
      <c r="A256" s="138" t="s">
        <v>332</v>
      </c>
      <c r="B256" t="s">
        <v>332</v>
      </c>
      <c r="C256" t="s">
        <v>332</v>
      </c>
      <c r="D256" s="138" t="s">
        <v>332</v>
      </c>
      <c r="E256" s="138" t="s">
        <v>332</v>
      </c>
      <c r="F256" s="138" t="s">
        <v>332</v>
      </c>
      <c r="K256" s="141" t="e">
        <f t="shared" si="504"/>
        <v>#DIV/0!</v>
      </c>
      <c r="L256" s="141" t="e">
        <f t="shared" si="505"/>
        <v>#DIV/0!</v>
      </c>
      <c r="M256" s="141" t="e">
        <f t="shared" si="506"/>
        <v>#DIV/0!</v>
      </c>
      <c r="N256" s="140">
        <f t="shared" si="507"/>
        <v>0</v>
      </c>
      <c r="AA256" s="139"/>
      <c r="AB256" s="139"/>
      <c r="AC256" s="139"/>
      <c r="AD256" s="139"/>
      <c r="AE256" s="139"/>
      <c r="AG256" s="139"/>
      <c r="AI256" s="139"/>
      <c r="AJ256" s="139"/>
      <c r="AK256" s="139"/>
    </row>
    <row r="257" spans="1:37" s="138" customFormat="1" ht="30" hidden="1" x14ac:dyDescent="0.25">
      <c r="A257" s="138" t="s">
        <v>49</v>
      </c>
      <c r="B257">
        <v>2022</v>
      </c>
      <c r="C257" t="s">
        <v>334</v>
      </c>
      <c r="D257" s="138" t="s">
        <v>1</v>
      </c>
      <c r="E257" s="138" t="s">
        <v>2</v>
      </c>
      <c r="F257" s="138" t="s">
        <v>18</v>
      </c>
      <c r="K257" s="141" t="e">
        <f t="shared" ref="K257:K258" si="508">H257/G257</f>
        <v>#DIV/0!</v>
      </c>
      <c r="L257" s="141" t="e">
        <f t="shared" ref="L257:L258" si="509">I257/G257</f>
        <v>#DIV/0!</v>
      </c>
      <c r="M257" s="141" t="e">
        <f t="shared" ref="M257:M258" si="510">J257/G257</f>
        <v>#DIV/0!</v>
      </c>
      <c r="N257" s="140">
        <f t="shared" ref="N257:N258" si="511">G257-H257-I257-J257</f>
        <v>0</v>
      </c>
      <c r="AA257" s="139"/>
      <c r="AB257" s="139"/>
      <c r="AC257" s="139"/>
      <c r="AD257" s="139"/>
      <c r="AE257" s="139"/>
      <c r="AG257" s="139"/>
      <c r="AI257" s="139"/>
      <c r="AJ257" s="139"/>
      <c r="AK257" s="139"/>
    </row>
    <row r="258" spans="1:37" s="138" customFormat="1" ht="15" hidden="1" x14ac:dyDescent="0.25">
      <c r="A258" s="138" t="s">
        <v>332</v>
      </c>
      <c r="B258" t="s">
        <v>332</v>
      </c>
      <c r="C258" t="s">
        <v>332</v>
      </c>
      <c r="D258" s="138" t="s">
        <v>332</v>
      </c>
      <c r="E258" s="138" t="s">
        <v>332</v>
      </c>
      <c r="F258" s="138" t="s">
        <v>332</v>
      </c>
      <c r="K258" s="141" t="e">
        <f t="shared" si="508"/>
        <v>#DIV/0!</v>
      </c>
      <c r="L258" s="141" t="e">
        <f t="shared" si="509"/>
        <v>#DIV/0!</v>
      </c>
      <c r="M258" s="141" t="e">
        <f t="shared" si="510"/>
        <v>#DIV/0!</v>
      </c>
      <c r="N258" s="140">
        <f t="shared" si="511"/>
        <v>0</v>
      </c>
      <c r="AA258" s="139"/>
      <c r="AB258" s="139"/>
      <c r="AC258" s="139"/>
      <c r="AD258" s="139"/>
      <c r="AE258" s="139"/>
      <c r="AG258" s="139"/>
      <c r="AI258" s="139"/>
      <c r="AJ258" s="139"/>
      <c r="AK258" s="139"/>
    </row>
    <row r="259" spans="1:37" s="138" customFormat="1" ht="30" hidden="1" x14ac:dyDescent="0.25">
      <c r="A259" s="138" t="s">
        <v>49</v>
      </c>
      <c r="B259">
        <v>2022</v>
      </c>
      <c r="C259" t="s">
        <v>334</v>
      </c>
      <c r="D259" s="138" t="s">
        <v>9</v>
      </c>
      <c r="E259" s="138" t="s">
        <v>10</v>
      </c>
      <c r="F259" s="138" t="s">
        <v>21</v>
      </c>
      <c r="G259" s="138">
        <v>-72.402142237219778</v>
      </c>
      <c r="H259" s="138">
        <v>-835.00263815952883</v>
      </c>
      <c r="I259" s="138">
        <v>-6.516192801349888</v>
      </c>
      <c r="J259" s="138">
        <v>-20.042497415606302</v>
      </c>
      <c r="K259" s="141">
        <f t="shared" ref="K259:K260" si="512">H259/G259</f>
        <v>11.532844365622637</v>
      </c>
      <c r="L259" s="141">
        <f t="shared" ref="L259:L260" si="513">I259/G259</f>
        <v>9.0000000000001495E-2</v>
      </c>
      <c r="M259" s="141">
        <f t="shared" ref="M259:M260" si="514">J259/G259</f>
        <v>0.27682188394286283</v>
      </c>
      <c r="N259" s="140">
        <f t="shared" ref="N259:N260" si="515">G259-H259-I259-J259</f>
        <v>789.15918613926522</v>
      </c>
      <c r="AA259" s="139"/>
      <c r="AB259" s="139"/>
      <c r="AC259" s="139"/>
      <c r="AD259" s="139"/>
      <c r="AE259" s="139"/>
      <c r="AG259" s="139"/>
      <c r="AI259" s="139"/>
      <c r="AJ259" s="139"/>
      <c r="AK259" s="139"/>
    </row>
    <row r="260" spans="1:37" s="138" customFormat="1" ht="30" hidden="1" x14ac:dyDescent="0.25">
      <c r="A260" s="138" t="s">
        <v>49</v>
      </c>
      <c r="B260">
        <v>2022</v>
      </c>
      <c r="C260" t="s">
        <v>334</v>
      </c>
      <c r="D260" s="138" t="s">
        <v>9</v>
      </c>
      <c r="E260" s="138" t="s">
        <v>12</v>
      </c>
      <c r="F260" s="138" t="s">
        <v>22</v>
      </c>
      <c r="G260" s="138">
        <v>2739.5273869070688</v>
      </c>
      <c r="H260" s="138">
        <v>878.95852972807177</v>
      </c>
      <c r="I260" s="138">
        <v>246.55746482163568</v>
      </c>
      <c r="J260" s="138">
        <v>17.098182570400802</v>
      </c>
      <c r="K260" s="141">
        <f t="shared" si="512"/>
        <v>0.32084312568979917</v>
      </c>
      <c r="L260" s="141">
        <f t="shared" si="513"/>
        <v>8.9999999999999816E-2</v>
      </c>
      <c r="M260" s="141">
        <f t="shared" si="514"/>
        <v>6.2412891552453796E-3</v>
      </c>
      <c r="N260" s="140">
        <f t="shared" si="515"/>
        <v>1596.9132097869606</v>
      </c>
      <c r="AA260" s="139"/>
      <c r="AB260" s="139"/>
      <c r="AC260" s="139"/>
      <c r="AD260" s="139"/>
      <c r="AE260" s="139"/>
      <c r="AG260" s="139"/>
      <c r="AI260" s="139"/>
      <c r="AJ260" s="139"/>
      <c r="AK260" s="139"/>
    </row>
    <row r="261" spans="1:37" s="138" customFormat="1" ht="30" hidden="1" x14ac:dyDescent="0.25">
      <c r="A261" s="138" t="s">
        <v>49</v>
      </c>
      <c r="B261">
        <v>2022</v>
      </c>
      <c r="C261" t="s">
        <v>334</v>
      </c>
      <c r="D261" s="138" t="s">
        <v>4</v>
      </c>
      <c r="E261" s="138" t="s">
        <v>5</v>
      </c>
      <c r="F261" s="138" t="s">
        <v>19</v>
      </c>
      <c r="G261" s="138">
        <v>11250</v>
      </c>
      <c r="H261" s="138">
        <v>5062.5</v>
      </c>
      <c r="I261" s="138">
        <v>1012.5</v>
      </c>
      <c r="J261" s="138">
        <v>112.5</v>
      </c>
      <c r="K261" s="141">
        <f t="shared" ref="K261:K262" si="516">H261/G261</f>
        <v>0.45</v>
      </c>
      <c r="L261" s="141">
        <f t="shared" ref="L261:L262" si="517">I261/G261</f>
        <v>0.09</v>
      </c>
      <c r="M261" s="141">
        <f t="shared" ref="M261:M262" si="518">J261/G261</f>
        <v>0.01</v>
      </c>
      <c r="N261" s="140">
        <f t="shared" ref="N261:N262" si="519">G261-H261-I261-J261</f>
        <v>5062.5</v>
      </c>
      <c r="AA261" s="139"/>
      <c r="AB261" s="139"/>
      <c r="AC261" s="139"/>
      <c r="AD261" s="139"/>
      <c r="AE261" s="139"/>
      <c r="AG261" s="139"/>
      <c r="AI261" s="139"/>
      <c r="AJ261" s="139"/>
      <c r="AK261" s="139"/>
    </row>
    <row r="262" spans="1:37" s="138" customFormat="1" ht="30" x14ac:dyDescent="0.25">
      <c r="A262" s="138" t="s">
        <v>49</v>
      </c>
      <c r="B262">
        <v>2022</v>
      </c>
      <c r="C262" t="s">
        <v>334</v>
      </c>
      <c r="D262" s="138" t="s">
        <v>4</v>
      </c>
      <c r="E262" s="138" t="s">
        <v>7</v>
      </c>
      <c r="F262" s="138" t="s">
        <v>20</v>
      </c>
      <c r="K262" s="141" t="e">
        <f t="shared" si="516"/>
        <v>#DIV/0!</v>
      </c>
      <c r="L262" s="141" t="e">
        <f t="shared" si="517"/>
        <v>#DIV/0!</v>
      </c>
      <c r="M262" s="141" t="e">
        <f t="shared" si="518"/>
        <v>#DIV/0!</v>
      </c>
      <c r="N262" s="140">
        <f t="shared" si="519"/>
        <v>0</v>
      </c>
      <c r="AA262" s="139"/>
      <c r="AB262" s="139"/>
      <c r="AC262" s="139"/>
      <c r="AD262" s="139"/>
      <c r="AE262" s="139"/>
      <c r="AG262" s="139"/>
      <c r="AI262" s="139"/>
      <c r="AJ262" s="139"/>
      <c r="AK262" s="139"/>
    </row>
    <row r="263" spans="1:37" s="138" customFormat="1" ht="30" hidden="1" x14ac:dyDescent="0.25">
      <c r="A263" s="138" t="s">
        <v>49</v>
      </c>
      <c r="B263">
        <v>2022</v>
      </c>
      <c r="C263" t="s">
        <v>333</v>
      </c>
      <c r="D263" s="138" t="s">
        <v>1</v>
      </c>
      <c r="E263" s="138" t="s">
        <v>2</v>
      </c>
      <c r="F263" s="138" t="s">
        <v>13</v>
      </c>
      <c r="G263" s="138">
        <v>-1584.4085350459404</v>
      </c>
      <c r="H263" s="138">
        <v>-316.88170700918806</v>
      </c>
      <c r="I263" s="138">
        <v>-158.44085350459403</v>
      </c>
      <c r="J263" s="138">
        <v>-26.6167030236325</v>
      </c>
      <c r="K263" s="141">
        <f t="shared" ref="K263:K264" si="520">H263/G263</f>
        <v>0.19999999999999998</v>
      </c>
      <c r="L263" s="141">
        <f t="shared" ref="L263:L264" si="521">I263/G263</f>
        <v>9.9999999999999992E-2</v>
      </c>
      <c r="M263" s="141">
        <f t="shared" ref="M263:M264" si="522">J263/G263</f>
        <v>1.6799141405067438E-2</v>
      </c>
      <c r="N263" s="140">
        <f t="shared" ref="N263:N264" si="523">G263-H263-I263-J263</f>
        <v>-1082.4692715085257</v>
      </c>
      <c r="AA263" s="139"/>
      <c r="AB263" s="139"/>
      <c r="AC263" s="139"/>
      <c r="AD263" s="139"/>
      <c r="AE263" s="139"/>
      <c r="AG263" s="139"/>
      <c r="AI263" s="139"/>
      <c r="AJ263" s="139"/>
      <c r="AK263" s="139"/>
    </row>
    <row r="264" spans="1:37" s="138" customFormat="1" ht="15" hidden="1" x14ac:dyDescent="0.25">
      <c r="A264" s="138" t="s">
        <v>332</v>
      </c>
      <c r="B264" t="s">
        <v>332</v>
      </c>
      <c r="C264" t="s">
        <v>332</v>
      </c>
      <c r="D264" s="138" t="s">
        <v>332</v>
      </c>
      <c r="E264" s="138" t="s">
        <v>332</v>
      </c>
      <c r="F264" s="138" t="s">
        <v>332</v>
      </c>
      <c r="K264" s="141" t="e">
        <f t="shared" si="520"/>
        <v>#DIV/0!</v>
      </c>
      <c r="L264" s="141" t="e">
        <f t="shared" si="521"/>
        <v>#DIV/0!</v>
      </c>
      <c r="M264" s="141" t="e">
        <f t="shared" si="522"/>
        <v>#DIV/0!</v>
      </c>
      <c r="N264" s="140">
        <f t="shared" si="523"/>
        <v>0</v>
      </c>
      <c r="AA264" s="139"/>
      <c r="AB264" s="139"/>
      <c r="AC264" s="139"/>
      <c r="AD264" s="139"/>
      <c r="AE264" s="139"/>
      <c r="AG264" s="139"/>
      <c r="AI264" s="139"/>
      <c r="AJ264" s="139"/>
      <c r="AK264" s="139"/>
    </row>
    <row r="265" spans="1:37" s="138" customFormat="1" ht="30" hidden="1" x14ac:dyDescent="0.25">
      <c r="A265" s="138" t="s">
        <v>49</v>
      </c>
      <c r="B265">
        <v>2022</v>
      </c>
      <c r="C265" t="s">
        <v>333</v>
      </c>
      <c r="D265" s="138" t="s">
        <v>9</v>
      </c>
      <c r="E265" s="138" t="s">
        <v>10</v>
      </c>
      <c r="F265" s="138" t="s">
        <v>16</v>
      </c>
      <c r="G265" s="138">
        <v>-2568.9387999999999</v>
      </c>
      <c r="H265" s="138">
        <v>-513.78776000000005</v>
      </c>
      <c r="I265" s="138">
        <v>-256.89388000000002</v>
      </c>
      <c r="J265" s="138">
        <v>-89.91</v>
      </c>
      <c r="K265" s="141">
        <f t="shared" ref="K265:K266" si="524">H265/G265</f>
        <v>0.20000000000000004</v>
      </c>
      <c r="L265" s="141">
        <f t="shared" ref="L265:L266" si="525">I265/G265</f>
        <v>0.10000000000000002</v>
      </c>
      <c r="M265" s="141">
        <f t="shared" ref="M265:M266" si="526">J265/G265</f>
        <v>3.4998887478362661E-2</v>
      </c>
      <c r="N265" s="140">
        <f t="shared" ref="N265:N266" si="527">G265-H265-I265-J265</f>
        <v>-1708.3471599999996</v>
      </c>
      <c r="AA265" s="139"/>
      <c r="AB265" s="139"/>
      <c r="AC265" s="139"/>
      <c r="AD265" s="139"/>
      <c r="AE265" s="139"/>
      <c r="AG265" s="139"/>
      <c r="AI265" s="139"/>
      <c r="AJ265" s="139"/>
      <c r="AK265" s="139"/>
    </row>
    <row r="266" spans="1:37" s="138" customFormat="1" ht="30" hidden="1" x14ac:dyDescent="0.25">
      <c r="A266" s="138" t="s">
        <v>49</v>
      </c>
      <c r="B266">
        <v>2022</v>
      </c>
      <c r="C266" t="s">
        <v>333</v>
      </c>
      <c r="D266" s="138" t="s">
        <v>9</v>
      </c>
      <c r="E266" s="138" t="s">
        <v>12</v>
      </c>
      <c r="F266" s="138" t="s">
        <v>17</v>
      </c>
      <c r="G266" s="138">
        <v>12669.343400118567</v>
      </c>
      <c r="H266" s="138">
        <v>2015.3619960918109</v>
      </c>
      <c r="I266" s="138">
        <v>1266.9343400118566</v>
      </c>
      <c r="J266" s="138">
        <v>396.9414680073026</v>
      </c>
      <c r="K266" s="141">
        <f t="shared" si="524"/>
        <v>0.15907391033958002</v>
      </c>
      <c r="L266" s="141">
        <f t="shared" si="525"/>
        <v>9.9999999999999992E-2</v>
      </c>
      <c r="M266" s="141">
        <f t="shared" si="526"/>
        <v>3.1330863445029659E-2</v>
      </c>
      <c r="N266" s="140">
        <f t="shared" si="527"/>
        <v>8990.1055960075973</v>
      </c>
      <c r="AA266" s="139"/>
      <c r="AB266" s="139"/>
      <c r="AC266" s="139"/>
      <c r="AD266" s="139"/>
      <c r="AE266" s="139"/>
      <c r="AG266" s="139"/>
      <c r="AI266" s="139"/>
      <c r="AJ266" s="139"/>
      <c r="AK266" s="139"/>
    </row>
    <row r="267" spans="1:37" s="138" customFormat="1" ht="30" hidden="1" x14ac:dyDescent="0.25">
      <c r="A267" s="138" t="s">
        <v>49</v>
      </c>
      <c r="B267">
        <v>2022</v>
      </c>
      <c r="C267" t="s">
        <v>333</v>
      </c>
      <c r="D267" s="138" t="s">
        <v>4</v>
      </c>
      <c r="E267" s="138" t="s">
        <v>5</v>
      </c>
      <c r="F267" s="138" t="s">
        <v>14</v>
      </c>
      <c r="K267" s="141" t="e">
        <f t="shared" ref="K267:K268" si="528">H267/G267</f>
        <v>#DIV/0!</v>
      </c>
      <c r="L267" s="141" t="e">
        <f t="shared" ref="L267:L268" si="529">I267/G267</f>
        <v>#DIV/0!</v>
      </c>
      <c r="M267" s="141" t="e">
        <f t="shared" ref="M267:M268" si="530">J267/G267</f>
        <v>#DIV/0!</v>
      </c>
      <c r="N267" s="140">
        <f t="shared" ref="N267:N268" si="531">G267-H267-I267-J267</f>
        <v>0</v>
      </c>
      <c r="AA267" s="139"/>
      <c r="AB267" s="139"/>
      <c r="AC267" s="139"/>
      <c r="AD267" s="139"/>
      <c r="AE267" s="139"/>
      <c r="AG267" s="139"/>
      <c r="AI267" s="139"/>
      <c r="AJ267" s="139"/>
      <c r="AK267" s="139"/>
    </row>
    <row r="268" spans="1:37" s="138" customFormat="1" ht="30" hidden="1" x14ac:dyDescent="0.25">
      <c r="A268" s="138" t="s">
        <v>49</v>
      </c>
      <c r="B268">
        <v>2022</v>
      </c>
      <c r="C268" t="s">
        <v>333</v>
      </c>
      <c r="D268" s="138" t="s">
        <v>4</v>
      </c>
      <c r="E268" s="138" t="s">
        <v>7</v>
      </c>
      <c r="F268" s="138" t="s">
        <v>15</v>
      </c>
      <c r="K268" s="141" t="e">
        <f t="shared" si="528"/>
        <v>#DIV/0!</v>
      </c>
      <c r="L268" s="141" t="e">
        <f t="shared" si="529"/>
        <v>#DIV/0!</v>
      </c>
      <c r="M268" s="141" t="e">
        <f t="shared" si="530"/>
        <v>#DIV/0!</v>
      </c>
      <c r="N268" s="140">
        <f t="shared" si="531"/>
        <v>0</v>
      </c>
      <c r="AA268" s="139"/>
      <c r="AB268" s="139"/>
      <c r="AC268" s="139"/>
      <c r="AD268" s="139"/>
      <c r="AE268" s="139"/>
      <c r="AG268" s="139"/>
      <c r="AI268" s="139"/>
      <c r="AJ268" s="139"/>
      <c r="AK268" s="139"/>
    </row>
    <row r="269" spans="1:37" s="138" customFormat="1" ht="30" hidden="1" x14ac:dyDescent="0.25">
      <c r="A269" s="138" t="s">
        <v>49</v>
      </c>
      <c r="B269">
        <v>2022</v>
      </c>
      <c r="C269" t="s">
        <v>331</v>
      </c>
      <c r="D269" s="138" t="s">
        <v>1</v>
      </c>
      <c r="E269" s="138" t="s">
        <v>2</v>
      </c>
      <c r="F269" s="138" t="s">
        <v>0</v>
      </c>
      <c r="K269" s="141" t="e">
        <f t="shared" ref="K269:K270" si="532">H269/G269</f>
        <v>#DIV/0!</v>
      </c>
      <c r="L269" s="141" t="e">
        <f t="shared" ref="L269:L270" si="533">I269/G269</f>
        <v>#DIV/0!</v>
      </c>
      <c r="M269" s="141" t="e">
        <f t="shared" ref="M269:M270" si="534">J269/G269</f>
        <v>#DIV/0!</v>
      </c>
      <c r="N269" s="140">
        <f t="shared" ref="N269:N270" si="535">G269-H269-I269-J269</f>
        <v>0</v>
      </c>
      <c r="AA269" s="139"/>
      <c r="AB269" s="139"/>
      <c r="AC269" s="139"/>
      <c r="AD269" s="139"/>
      <c r="AE269" s="139"/>
      <c r="AG269" s="139"/>
      <c r="AI269" s="139"/>
      <c r="AJ269" s="139"/>
      <c r="AK269" s="139"/>
    </row>
    <row r="270" spans="1:37" s="138" customFormat="1" ht="15" hidden="1" x14ac:dyDescent="0.25">
      <c r="A270" s="138" t="s">
        <v>332</v>
      </c>
      <c r="B270" t="s">
        <v>332</v>
      </c>
      <c r="C270" t="s">
        <v>332</v>
      </c>
      <c r="D270" s="138" t="s">
        <v>332</v>
      </c>
      <c r="E270" s="138" t="s">
        <v>332</v>
      </c>
      <c r="F270" s="138" t="s">
        <v>332</v>
      </c>
      <c r="K270" s="141" t="e">
        <f t="shared" si="532"/>
        <v>#DIV/0!</v>
      </c>
      <c r="L270" s="141" t="e">
        <f t="shared" si="533"/>
        <v>#DIV/0!</v>
      </c>
      <c r="M270" s="141" t="e">
        <f t="shared" si="534"/>
        <v>#DIV/0!</v>
      </c>
      <c r="N270" s="140">
        <f t="shared" si="535"/>
        <v>0</v>
      </c>
      <c r="AA270" s="139"/>
      <c r="AB270" s="139"/>
      <c r="AC270" s="139"/>
      <c r="AD270" s="139"/>
      <c r="AE270" s="139"/>
      <c r="AG270" s="139"/>
      <c r="AI270" s="139"/>
      <c r="AJ270" s="139"/>
      <c r="AK270" s="139"/>
    </row>
    <row r="271" spans="1:37" s="138" customFormat="1" ht="30" hidden="1" x14ac:dyDescent="0.25">
      <c r="A271" s="138" t="s">
        <v>49</v>
      </c>
      <c r="B271">
        <v>2022</v>
      </c>
      <c r="C271" t="s">
        <v>331</v>
      </c>
      <c r="D271" s="138" t="s">
        <v>9</v>
      </c>
      <c r="E271" s="138" t="s">
        <v>10</v>
      </c>
      <c r="F271" s="138" t="s">
        <v>8</v>
      </c>
      <c r="K271" s="141" t="e">
        <f t="shared" ref="K271:K272" si="536">H271/G271</f>
        <v>#DIV/0!</v>
      </c>
      <c r="L271" s="141" t="e">
        <f t="shared" ref="L271:L272" si="537">I271/G271</f>
        <v>#DIV/0!</v>
      </c>
      <c r="M271" s="141" t="e">
        <f t="shared" ref="M271:M272" si="538">J271/G271</f>
        <v>#DIV/0!</v>
      </c>
      <c r="N271" s="140">
        <f t="shared" ref="N271:N272" si="539">G271-H271-I271-J271</f>
        <v>0</v>
      </c>
      <c r="AA271" s="139"/>
      <c r="AB271" s="139"/>
      <c r="AC271" s="139"/>
      <c r="AD271" s="139"/>
      <c r="AE271" s="139"/>
      <c r="AG271" s="139"/>
      <c r="AI271" s="139"/>
      <c r="AJ271" s="139"/>
      <c r="AK271" s="139"/>
    </row>
    <row r="272" spans="1:37" s="138" customFormat="1" ht="30" hidden="1" x14ac:dyDescent="0.25">
      <c r="A272" s="138" t="s">
        <v>49</v>
      </c>
      <c r="B272">
        <v>2022</v>
      </c>
      <c r="C272" t="s">
        <v>331</v>
      </c>
      <c r="D272" s="138" t="s">
        <v>9</v>
      </c>
      <c r="E272" s="138" t="s">
        <v>12</v>
      </c>
      <c r="F272" s="138" t="s">
        <v>11</v>
      </c>
      <c r="K272" s="141" t="e">
        <f t="shared" si="536"/>
        <v>#DIV/0!</v>
      </c>
      <c r="L272" s="141" t="e">
        <f t="shared" si="537"/>
        <v>#DIV/0!</v>
      </c>
      <c r="M272" s="141" t="e">
        <f t="shared" si="538"/>
        <v>#DIV/0!</v>
      </c>
      <c r="N272" s="140">
        <f t="shared" si="539"/>
        <v>0</v>
      </c>
      <c r="AA272" s="139"/>
      <c r="AB272" s="139"/>
      <c r="AC272" s="139"/>
      <c r="AD272" s="139"/>
      <c r="AE272" s="139"/>
      <c r="AG272" s="139"/>
      <c r="AI272" s="139"/>
      <c r="AJ272" s="139"/>
      <c r="AK272" s="139"/>
    </row>
    <row r="273" spans="1:37" s="138" customFormat="1" ht="30" hidden="1" x14ac:dyDescent="0.25">
      <c r="A273" s="138" t="s">
        <v>49</v>
      </c>
      <c r="B273">
        <v>2022</v>
      </c>
      <c r="C273" t="s">
        <v>331</v>
      </c>
      <c r="D273" s="138" t="s">
        <v>4</v>
      </c>
      <c r="E273" s="138" t="s">
        <v>5</v>
      </c>
      <c r="F273" s="138" t="s">
        <v>3</v>
      </c>
      <c r="K273" s="141" t="e">
        <f t="shared" ref="K273:K274" si="540">H273/G273</f>
        <v>#DIV/0!</v>
      </c>
      <c r="L273" s="141" t="e">
        <f t="shared" ref="L273:L274" si="541">I273/G273</f>
        <v>#DIV/0!</v>
      </c>
      <c r="M273" s="141" t="e">
        <f t="shared" ref="M273:M274" si="542">J273/G273</f>
        <v>#DIV/0!</v>
      </c>
      <c r="N273" s="140">
        <f t="shared" ref="N273:N274" si="543">G273-H273-I273-J273</f>
        <v>0</v>
      </c>
      <c r="AA273" s="139"/>
      <c r="AB273" s="139"/>
      <c r="AC273" s="139"/>
      <c r="AD273" s="139"/>
      <c r="AE273" s="139"/>
      <c r="AG273" s="139"/>
      <c r="AI273" s="139"/>
      <c r="AJ273" s="139"/>
      <c r="AK273" s="139"/>
    </row>
    <row r="274" spans="1:37" s="138" customFormat="1" ht="30" hidden="1" x14ac:dyDescent="0.25">
      <c r="A274" s="138" t="s">
        <v>49</v>
      </c>
      <c r="B274">
        <v>2022</v>
      </c>
      <c r="C274" t="s">
        <v>331</v>
      </c>
      <c r="D274" s="138" t="s">
        <v>4</v>
      </c>
      <c r="E274" s="138" t="s">
        <v>7</v>
      </c>
      <c r="F274" s="138" t="s">
        <v>6</v>
      </c>
      <c r="K274" s="141" t="e">
        <f t="shared" si="540"/>
        <v>#DIV/0!</v>
      </c>
      <c r="L274" s="141" t="e">
        <f t="shared" si="541"/>
        <v>#DIV/0!</v>
      </c>
      <c r="M274" s="141" t="e">
        <f t="shared" si="542"/>
        <v>#DIV/0!</v>
      </c>
      <c r="N274" s="140">
        <f t="shared" si="543"/>
        <v>0</v>
      </c>
      <c r="AA274" s="139"/>
      <c r="AB274" s="139"/>
      <c r="AC274" s="139"/>
      <c r="AD274" s="139"/>
      <c r="AE274" s="139"/>
      <c r="AG274" s="139"/>
      <c r="AI274" s="139"/>
      <c r="AJ274" s="139"/>
      <c r="AK274" s="139"/>
    </row>
    <row r="275" spans="1:37" s="138" customFormat="1" ht="30" hidden="1" x14ac:dyDescent="0.25">
      <c r="A275" s="138" t="s">
        <v>48</v>
      </c>
      <c r="B275">
        <v>2022</v>
      </c>
      <c r="C275" t="s">
        <v>331</v>
      </c>
      <c r="D275" s="138" t="s">
        <v>9</v>
      </c>
      <c r="E275" s="138" t="s">
        <v>62</v>
      </c>
      <c r="F275" s="138" t="s">
        <v>8</v>
      </c>
      <c r="K275" s="141" t="e">
        <f t="shared" ref="K275:K276" si="544">H275/G275</f>
        <v>#DIV/0!</v>
      </c>
      <c r="L275" s="141" t="e">
        <f t="shared" ref="L275:L276" si="545">I275/G275</f>
        <v>#DIV/0!</v>
      </c>
      <c r="M275" s="141" t="e">
        <f t="shared" ref="M275:M276" si="546">J275/G275</f>
        <v>#DIV/0!</v>
      </c>
      <c r="N275" s="140">
        <f t="shared" ref="N275:N276" si="547">G275-H275-I275-J275</f>
        <v>0</v>
      </c>
      <c r="AA275" s="139"/>
      <c r="AB275" s="139"/>
      <c r="AC275" s="139"/>
      <c r="AD275" s="139"/>
      <c r="AE275" s="139"/>
      <c r="AG275" s="139"/>
      <c r="AI275" s="139"/>
      <c r="AJ275" s="139"/>
      <c r="AK275" s="139"/>
    </row>
    <row r="276" spans="1:37" s="138" customFormat="1" ht="30" hidden="1" x14ac:dyDescent="0.25">
      <c r="A276" s="138" t="s">
        <v>48</v>
      </c>
      <c r="B276">
        <v>2022</v>
      </c>
      <c r="C276" t="s">
        <v>331</v>
      </c>
      <c r="D276" s="138" t="s">
        <v>9</v>
      </c>
      <c r="E276" s="138" t="s">
        <v>61</v>
      </c>
      <c r="F276" s="138" t="s">
        <v>11</v>
      </c>
      <c r="K276" s="141" t="e">
        <f t="shared" si="544"/>
        <v>#DIV/0!</v>
      </c>
      <c r="L276" s="141" t="e">
        <f t="shared" si="545"/>
        <v>#DIV/0!</v>
      </c>
      <c r="M276" s="141" t="e">
        <f t="shared" si="546"/>
        <v>#DIV/0!</v>
      </c>
      <c r="N276" s="140">
        <f t="shared" si="547"/>
        <v>0</v>
      </c>
      <c r="AA276" s="139"/>
      <c r="AB276" s="139"/>
      <c r="AC276" s="139"/>
      <c r="AD276" s="139"/>
      <c r="AE276" s="139"/>
      <c r="AG276" s="139"/>
      <c r="AI276" s="139"/>
      <c r="AJ276" s="139"/>
      <c r="AK276" s="139"/>
    </row>
    <row r="277" spans="1:37" s="138" customFormat="1" ht="30" hidden="1" x14ac:dyDescent="0.25">
      <c r="A277" s="138" t="s">
        <v>48</v>
      </c>
      <c r="B277">
        <v>2022</v>
      </c>
      <c r="C277" t="s">
        <v>331</v>
      </c>
      <c r="D277" s="138" t="s">
        <v>4</v>
      </c>
      <c r="E277" s="138" t="s">
        <v>60</v>
      </c>
      <c r="F277" s="138" t="s">
        <v>3</v>
      </c>
      <c r="K277" s="141" t="e">
        <f t="shared" ref="K277:K278" si="548">H277/G277</f>
        <v>#DIV/0!</v>
      </c>
      <c r="L277" s="141" t="e">
        <f t="shared" ref="L277:L278" si="549">I277/G277</f>
        <v>#DIV/0!</v>
      </c>
      <c r="M277" s="141" t="e">
        <f t="shared" ref="M277:M278" si="550">J277/G277</f>
        <v>#DIV/0!</v>
      </c>
      <c r="N277" s="140">
        <f t="shared" ref="N277:N278" si="551">G277-H277-I277-J277</f>
        <v>0</v>
      </c>
      <c r="AA277" s="139"/>
      <c r="AB277" s="139"/>
      <c r="AC277" s="139"/>
      <c r="AD277" s="139"/>
      <c r="AE277" s="139"/>
      <c r="AG277" s="139"/>
      <c r="AI277" s="139"/>
      <c r="AJ277" s="139"/>
      <c r="AK277" s="139"/>
    </row>
    <row r="278" spans="1:37" s="138" customFormat="1" ht="30" hidden="1" x14ac:dyDescent="0.25">
      <c r="A278" s="138" t="s">
        <v>48</v>
      </c>
      <c r="B278">
        <v>2022</v>
      </c>
      <c r="C278" t="s">
        <v>331</v>
      </c>
      <c r="D278" s="138" t="s">
        <v>4</v>
      </c>
      <c r="E278" s="138" t="s">
        <v>59</v>
      </c>
      <c r="F278" s="138" t="s">
        <v>6</v>
      </c>
      <c r="K278" s="141" t="e">
        <f t="shared" si="548"/>
        <v>#DIV/0!</v>
      </c>
      <c r="L278" s="141" t="e">
        <f t="shared" si="549"/>
        <v>#DIV/0!</v>
      </c>
      <c r="M278" s="141" t="e">
        <f t="shared" si="550"/>
        <v>#DIV/0!</v>
      </c>
      <c r="N278" s="140">
        <f t="shared" si="551"/>
        <v>0</v>
      </c>
      <c r="AA278" s="139"/>
      <c r="AB278" s="139"/>
      <c r="AC278" s="139"/>
      <c r="AD278" s="139"/>
      <c r="AE278" s="139"/>
      <c r="AG278" s="139"/>
      <c r="AI278" s="139"/>
      <c r="AJ278" s="139"/>
      <c r="AK278" s="139"/>
    </row>
    <row r="279" spans="1:37" s="138" customFormat="1" ht="30" hidden="1" x14ac:dyDescent="0.25">
      <c r="A279" s="138" t="s">
        <v>48</v>
      </c>
      <c r="B279">
        <v>2022</v>
      </c>
      <c r="C279" t="s">
        <v>335</v>
      </c>
      <c r="D279" s="138" t="s">
        <v>1</v>
      </c>
      <c r="E279" s="138" t="s">
        <v>63</v>
      </c>
      <c r="F279" s="138" t="s">
        <v>26</v>
      </c>
      <c r="G279" s="138">
        <v>202.39500000000001</v>
      </c>
      <c r="H279" s="138">
        <v>40.479000000000006</v>
      </c>
      <c r="I279" s="138">
        <v>18.21555</v>
      </c>
      <c r="J279" s="138">
        <v>3.4</v>
      </c>
      <c r="K279" s="141">
        <f t="shared" ref="K279:K280" si="552">H279/G279</f>
        <v>0.2</v>
      </c>
      <c r="L279" s="141">
        <f t="shared" ref="L279:L280" si="553">I279/G279</f>
        <v>0.09</v>
      </c>
      <c r="M279" s="141">
        <f t="shared" ref="M279:M280" si="554">J279/G279</f>
        <v>1.6798833963289607E-2</v>
      </c>
      <c r="N279" s="140">
        <f t="shared" ref="N279:N280" si="555">G279-H279-I279-J279</f>
        <v>140.30044999999998</v>
      </c>
      <c r="AA279" s="139"/>
      <c r="AB279" s="139"/>
      <c r="AC279" s="139"/>
      <c r="AD279" s="139"/>
      <c r="AE279" s="139"/>
      <c r="AG279" s="139"/>
      <c r="AI279" s="139"/>
      <c r="AJ279" s="139"/>
      <c r="AK279" s="139"/>
    </row>
    <row r="280" spans="1:37" s="138" customFormat="1" ht="15" hidden="1" x14ac:dyDescent="0.25">
      <c r="A280" s="138" t="s">
        <v>332</v>
      </c>
      <c r="B280" t="s">
        <v>332</v>
      </c>
      <c r="C280" t="s">
        <v>332</v>
      </c>
      <c r="D280" s="138" t="s">
        <v>332</v>
      </c>
      <c r="E280" s="138" t="s">
        <v>332</v>
      </c>
      <c r="F280" s="138" t="s">
        <v>332</v>
      </c>
      <c r="K280" s="141" t="e">
        <f t="shared" si="552"/>
        <v>#DIV/0!</v>
      </c>
      <c r="L280" s="141" t="e">
        <f t="shared" si="553"/>
        <v>#DIV/0!</v>
      </c>
      <c r="M280" s="141" t="e">
        <f t="shared" si="554"/>
        <v>#DIV/0!</v>
      </c>
      <c r="N280" s="140">
        <f t="shared" si="555"/>
        <v>0</v>
      </c>
      <c r="AA280" s="139"/>
      <c r="AB280" s="139"/>
      <c r="AC280" s="139"/>
      <c r="AD280" s="139"/>
      <c r="AE280" s="139"/>
      <c r="AG280" s="139"/>
      <c r="AI280" s="139"/>
      <c r="AJ280" s="139"/>
      <c r="AK280" s="139"/>
    </row>
    <row r="281" spans="1:37" s="138" customFormat="1" ht="30" hidden="1" x14ac:dyDescent="0.25">
      <c r="A281" s="138" t="s">
        <v>48</v>
      </c>
      <c r="B281">
        <v>2022</v>
      </c>
      <c r="C281" t="s">
        <v>335</v>
      </c>
      <c r="D281" s="138" t="s">
        <v>9</v>
      </c>
      <c r="E281" s="138" t="s">
        <v>62</v>
      </c>
      <c r="F281" s="138" t="s">
        <v>29</v>
      </c>
      <c r="G281" s="138">
        <v>122678.42</v>
      </c>
      <c r="H281" s="138">
        <v>18164.34</v>
      </c>
      <c r="I281" s="138">
        <v>11041.06</v>
      </c>
      <c r="J281" s="138">
        <v>3153.12</v>
      </c>
      <c r="K281" s="141">
        <f t="shared" ref="K281:K282" si="556">H281/G281</f>
        <v>0.1480646718469312</v>
      </c>
      <c r="L281" s="141">
        <f t="shared" ref="L281:L282" si="557">I281/G281</f>
        <v>9.000001793306435E-2</v>
      </c>
      <c r="M281" s="141">
        <f t="shared" ref="M281:M282" si="558">J281/G281</f>
        <v>2.5702319935323587E-2</v>
      </c>
      <c r="N281" s="140">
        <f t="shared" ref="N281:N282" si="559">G281-H281-I281-J281</f>
        <v>90319.900000000009</v>
      </c>
      <c r="AA281" s="139"/>
      <c r="AB281" s="139"/>
      <c r="AC281" s="139"/>
      <c r="AD281" s="139"/>
      <c r="AE281" s="139"/>
      <c r="AG281" s="139"/>
      <c r="AI281" s="139"/>
      <c r="AJ281" s="139"/>
      <c r="AK281" s="139"/>
    </row>
    <row r="282" spans="1:37" s="138" customFormat="1" ht="30" hidden="1" x14ac:dyDescent="0.25">
      <c r="A282" s="138" t="s">
        <v>48</v>
      </c>
      <c r="B282">
        <v>2022</v>
      </c>
      <c r="C282" t="s">
        <v>335</v>
      </c>
      <c r="D282" s="138" t="s">
        <v>9</v>
      </c>
      <c r="E282" s="138" t="s">
        <v>61</v>
      </c>
      <c r="F282" s="138" t="s">
        <v>30</v>
      </c>
      <c r="G282" s="138">
        <v>386330.08</v>
      </c>
      <c r="H282" s="138">
        <v>60744.94</v>
      </c>
      <c r="I282" s="138">
        <v>34769.71</v>
      </c>
      <c r="J282" s="138">
        <v>6086.17</v>
      </c>
      <c r="K282" s="141">
        <f t="shared" si="556"/>
        <v>0.15723585385844147</v>
      </c>
      <c r="L282" s="141">
        <f t="shared" si="557"/>
        <v>9.0000007247688293E-2</v>
      </c>
      <c r="M282" s="141">
        <f t="shared" si="558"/>
        <v>1.5753808246047007E-2</v>
      </c>
      <c r="N282" s="140">
        <f t="shared" si="559"/>
        <v>284729.26</v>
      </c>
      <c r="AA282" s="139"/>
      <c r="AB282" s="139"/>
      <c r="AC282" s="139"/>
      <c r="AD282" s="139"/>
      <c r="AE282" s="139"/>
      <c r="AG282" s="139"/>
      <c r="AI282" s="139"/>
      <c r="AJ282" s="139"/>
      <c r="AK282" s="139"/>
    </row>
    <row r="283" spans="1:37" s="138" customFormat="1" ht="30" hidden="1" x14ac:dyDescent="0.25">
      <c r="A283" s="138" t="s">
        <v>48</v>
      </c>
      <c r="B283">
        <v>2022</v>
      </c>
      <c r="C283" t="s">
        <v>335</v>
      </c>
      <c r="D283" s="138" t="s">
        <v>4</v>
      </c>
      <c r="E283" s="138" t="s">
        <v>60</v>
      </c>
      <c r="F283" s="138" t="s">
        <v>27</v>
      </c>
      <c r="K283" s="141" t="e">
        <f t="shared" ref="K283:K284" si="560">H283/G283</f>
        <v>#DIV/0!</v>
      </c>
      <c r="L283" s="141" t="e">
        <f t="shared" ref="L283:L284" si="561">I283/G283</f>
        <v>#DIV/0!</v>
      </c>
      <c r="M283" s="141" t="e">
        <f t="shared" ref="M283:M284" si="562">J283/G283</f>
        <v>#DIV/0!</v>
      </c>
      <c r="N283" s="140">
        <f t="shared" ref="N283:N284" si="563">G283-H283-I283-J283</f>
        <v>0</v>
      </c>
      <c r="AA283" s="139"/>
      <c r="AB283" s="139"/>
      <c r="AC283" s="139"/>
      <c r="AD283" s="139"/>
      <c r="AE283" s="139"/>
      <c r="AG283" s="139"/>
      <c r="AI283" s="139"/>
      <c r="AJ283" s="139"/>
      <c r="AK283" s="139"/>
    </row>
    <row r="284" spans="1:37" s="138" customFormat="1" ht="30" hidden="1" x14ac:dyDescent="0.25">
      <c r="A284" s="138" t="s">
        <v>48</v>
      </c>
      <c r="B284">
        <v>2022</v>
      </c>
      <c r="C284" t="s">
        <v>335</v>
      </c>
      <c r="D284" s="138" t="s">
        <v>4</v>
      </c>
      <c r="E284" s="138" t="s">
        <v>59</v>
      </c>
      <c r="F284" s="138" t="s">
        <v>28</v>
      </c>
      <c r="K284" s="141" t="e">
        <f t="shared" si="560"/>
        <v>#DIV/0!</v>
      </c>
      <c r="L284" s="141" t="e">
        <f t="shared" si="561"/>
        <v>#DIV/0!</v>
      </c>
      <c r="M284" s="141" t="e">
        <f t="shared" si="562"/>
        <v>#DIV/0!</v>
      </c>
      <c r="N284" s="140">
        <f t="shared" si="563"/>
        <v>0</v>
      </c>
      <c r="AA284" s="139"/>
      <c r="AB284" s="139"/>
      <c r="AC284" s="139"/>
      <c r="AD284" s="139"/>
      <c r="AE284" s="139"/>
      <c r="AG284" s="139"/>
      <c r="AI284" s="139"/>
      <c r="AJ284" s="139"/>
      <c r="AK284" s="139"/>
    </row>
    <row r="285" spans="1:37" s="138" customFormat="1" ht="30" hidden="1" x14ac:dyDescent="0.25">
      <c r="A285" s="138" t="s">
        <v>48</v>
      </c>
      <c r="B285">
        <v>2022</v>
      </c>
      <c r="C285" t="s">
        <v>334</v>
      </c>
      <c r="D285" s="138" t="s">
        <v>24</v>
      </c>
      <c r="E285" s="138" t="s">
        <v>64</v>
      </c>
      <c r="F285" s="138" t="s">
        <v>23</v>
      </c>
      <c r="G285" s="138">
        <v>783.94</v>
      </c>
      <c r="H285" s="138">
        <v>156.79</v>
      </c>
      <c r="I285" s="138">
        <v>78.39</v>
      </c>
      <c r="J285" s="138">
        <v>15.82</v>
      </c>
      <c r="K285" s="141">
        <f t="shared" ref="K285:K286" si="564">H285/G285</f>
        <v>0.20000255121565425</v>
      </c>
      <c r="L285" s="141">
        <f t="shared" ref="L285:L286" si="565">I285/G285</f>
        <v>9.9994897568691482E-2</v>
      </c>
      <c r="M285" s="141">
        <f t="shared" ref="M285:M286" si="566">J285/G285</f>
        <v>2.0180115825190702E-2</v>
      </c>
      <c r="N285" s="140">
        <f t="shared" ref="N285:N286" si="567">G285-H285-I285-J285</f>
        <v>532.94000000000005</v>
      </c>
      <c r="AA285" s="139"/>
      <c r="AB285" s="139"/>
      <c r="AC285" s="139"/>
      <c r="AD285" s="139"/>
      <c r="AE285" s="139"/>
      <c r="AG285" s="139"/>
      <c r="AI285" s="139"/>
      <c r="AJ285" s="139"/>
      <c r="AK285" s="139"/>
    </row>
    <row r="286" spans="1:37" s="138" customFormat="1" ht="15" hidden="1" x14ac:dyDescent="0.25">
      <c r="A286" s="138" t="s">
        <v>332</v>
      </c>
      <c r="B286" t="s">
        <v>332</v>
      </c>
      <c r="C286" t="s">
        <v>332</v>
      </c>
      <c r="D286" s="138" t="s">
        <v>332</v>
      </c>
      <c r="E286" s="138" t="s">
        <v>332</v>
      </c>
      <c r="F286" s="138" t="s">
        <v>332</v>
      </c>
      <c r="K286" s="141" t="e">
        <f t="shared" si="564"/>
        <v>#DIV/0!</v>
      </c>
      <c r="L286" s="141" t="e">
        <f t="shared" si="565"/>
        <v>#DIV/0!</v>
      </c>
      <c r="M286" s="141" t="e">
        <f t="shared" si="566"/>
        <v>#DIV/0!</v>
      </c>
      <c r="N286" s="140">
        <f t="shared" si="567"/>
        <v>0</v>
      </c>
      <c r="AA286" s="139"/>
      <c r="AB286" s="139"/>
      <c r="AC286" s="139"/>
      <c r="AD286" s="139"/>
      <c r="AE286" s="139"/>
      <c r="AG286" s="139"/>
      <c r="AI286" s="139"/>
      <c r="AJ286" s="139"/>
      <c r="AK286" s="139"/>
    </row>
    <row r="287" spans="1:37" s="138" customFormat="1" ht="30" hidden="1" x14ac:dyDescent="0.25">
      <c r="A287" s="138" t="s">
        <v>48</v>
      </c>
      <c r="B287">
        <v>2022</v>
      </c>
      <c r="C287" t="s">
        <v>334</v>
      </c>
      <c r="D287" s="138" t="s">
        <v>1</v>
      </c>
      <c r="E287" s="138" t="s">
        <v>63</v>
      </c>
      <c r="F287" s="138" t="s">
        <v>18</v>
      </c>
      <c r="G287" s="138">
        <v>-303.42</v>
      </c>
      <c r="H287" s="138">
        <v>-84.68</v>
      </c>
      <c r="I287" s="138">
        <v>-27.31</v>
      </c>
      <c r="J287" s="138">
        <v>-2.35</v>
      </c>
      <c r="K287" s="141">
        <f t="shared" ref="K287:K288" si="568">H287/G287</f>
        <v>0.27908509656581637</v>
      </c>
      <c r="L287" s="141">
        <f t="shared" ref="L287:L288" si="569">I287/G287</f>
        <v>9.0007250675631131E-2</v>
      </c>
      <c r="M287" s="141">
        <f t="shared" ref="M287:M288" si="570">J287/G287</f>
        <v>7.7450398787159711E-3</v>
      </c>
      <c r="N287" s="140">
        <f t="shared" ref="N287:N288" si="571">G287-H287-I287-J287</f>
        <v>-189.08</v>
      </c>
      <c r="AA287" s="139"/>
      <c r="AB287" s="139"/>
      <c r="AC287" s="139"/>
      <c r="AD287" s="139"/>
      <c r="AE287" s="139"/>
      <c r="AG287" s="139"/>
      <c r="AI287" s="139"/>
      <c r="AJ287" s="139"/>
      <c r="AK287" s="139"/>
    </row>
    <row r="288" spans="1:37" s="138" customFormat="1" ht="15" hidden="1" x14ac:dyDescent="0.25">
      <c r="A288" s="138" t="s">
        <v>332</v>
      </c>
      <c r="B288" t="s">
        <v>332</v>
      </c>
      <c r="C288" t="s">
        <v>332</v>
      </c>
      <c r="D288" s="138" t="s">
        <v>332</v>
      </c>
      <c r="E288" s="138" t="s">
        <v>332</v>
      </c>
      <c r="F288" s="138" t="s">
        <v>332</v>
      </c>
      <c r="H288" s="138">
        <f>H287+I287</f>
        <v>-111.99000000000001</v>
      </c>
      <c r="K288" s="141" t="e">
        <f t="shared" si="568"/>
        <v>#DIV/0!</v>
      </c>
      <c r="L288" s="141" t="e">
        <f t="shared" si="569"/>
        <v>#DIV/0!</v>
      </c>
      <c r="M288" s="141" t="e">
        <f t="shared" si="570"/>
        <v>#DIV/0!</v>
      </c>
      <c r="N288" s="140">
        <f t="shared" si="571"/>
        <v>111.99000000000001</v>
      </c>
      <c r="AA288" s="139"/>
      <c r="AB288" s="139"/>
      <c r="AC288" s="139"/>
      <c r="AD288" s="139"/>
      <c r="AE288" s="139"/>
      <c r="AG288" s="139"/>
      <c r="AI288" s="139"/>
      <c r="AJ288" s="139"/>
      <c r="AK288" s="139"/>
    </row>
    <row r="289" spans="1:37" s="138" customFormat="1" ht="30" hidden="1" x14ac:dyDescent="0.25">
      <c r="A289" s="138" t="s">
        <v>48</v>
      </c>
      <c r="B289">
        <v>2022</v>
      </c>
      <c r="C289" t="s">
        <v>334</v>
      </c>
      <c r="D289" s="138" t="s">
        <v>9</v>
      </c>
      <c r="E289" s="138" t="s">
        <v>62</v>
      </c>
      <c r="F289" s="138" t="s">
        <v>21</v>
      </c>
      <c r="G289" s="138">
        <v>0</v>
      </c>
      <c r="H289" s="138">
        <v>0</v>
      </c>
      <c r="I289" s="138">
        <v>0</v>
      </c>
      <c r="J289" s="138">
        <v>0</v>
      </c>
      <c r="K289" s="141" t="e">
        <f t="shared" ref="K289:K290" si="572">H289/G289</f>
        <v>#DIV/0!</v>
      </c>
      <c r="L289" s="141" t="e">
        <f t="shared" ref="L289:L290" si="573">I289/G289</f>
        <v>#DIV/0!</v>
      </c>
      <c r="M289" s="141" t="e">
        <f t="shared" ref="M289:M290" si="574">J289/G289</f>
        <v>#DIV/0!</v>
      </c>
      <c r="N289" s="140">
        <f t="shared" ref="N289:N290" si="575">G289-H289-I289-J289</f>
        <v>0</v>
      </c>
      <c r="AA289" s="139"/>
      <c r="AB289" s="139"/>
      <c r="AC289" s="139"/>
      <c r="AD289" s="139"/>
      <c r="AE289" s="139"/>
      <c r="AG289" s="139"/>
      <c r="AI289" s="139"/>
      <c r="AJ289" s="139"/>
      <c r="AK289" s="139"/>
    </row>
    <row r="290" spans="1:37" s="138" customFormat="1" ht="30" hidden="1" x14ac:dyDescent="0.25">
      <c r="A290" s="138" t="s">
        <v>48</v>
      </c>
      <c r="B290">
        <v>2022</v>
      </c>
      <c r="C290" t="s">
        <v>334</v>
      </c>
      <c r="D290" s="138" t="s">
        <v>9</v>
      </c>
      <c r="E290" s="138" t="s">
        <v>61</v>
      </c>
      <c r="F290" s="138" t="s">
        <v>22</v>
      </c>
      <c r="G290" s="138">
        <v>9237.9867310315749</v>
      </c>
      <c r="H290" s="138">
        <v>4186.5299729330491</v>
      </c>
      <c r="I290" s="138">
        <v>831.41880579284248</v>
      </c>
      <c r="J290" s="138">
        <v>95.295473999803278</v>
      </c>
      <c r="K290" s="141">
        <f t="shared" si="572"/>
        <v>0.45318640249503295</v>
      </c>
      <c r="L290" s="141">
        <f t="shared" si="573"/>
        <v>9.000000000000008E-2</v>
      </c>
      <c r="M290" s="141">
        <f t="shared" si="574"/>
        <v>1.0315610616726005E-2</v>
      </c>
      <c r="N290" s="140">
        <f t="shared" si="575"/>
        <v>4124.7424783058805</v>
      </c>
      <c r="AA290" s="139"/>
      <c r="AB290" s="139"/>
      <c r="AC290" s="139"/>
      <c r="AD290" s="139"/>
      <c r="AE290" s="139"/>
      <c r="AG290" s="139"/>
      <c r="AI290" s="139"/>
      <c r="AJ290" s="139"/>
      <c r="AK290" s="139"/>
    </row>
    <row r="291" spans="1:37" s="138" customFormat="1" ht="30" hidden="1" x14ac:dyDescent="0.25">
      <c r="A291" s="138" t="s">
        <v>48</v>
      </c>
      <c r="B291">
        <v>2022</v>
      </c>
      <c r="C291" t="s">
        <v>334</v>
      </c>
      <c r="D291" s="138" t="s">
        <v>4</v>
      </c>
      <c r="E291" s="138" t="s">
        <v>60</v>
      </c>
      <c r="F291" s="138" t="s">
        <v>19</v>
      </c>
      <c r="G291" s="138">
        <v>53602.41</v>
      </c>
      <c r="H291" s="138">
        <v>17916.084749999998</v>
      </c>
      <c r="I291" s="138">
        <v>4824.2168999999994</v>
      </c>
      <c r="J291" s="138">
        <v>680.43</v>
      </c>
      <c r="K291" s="141">
        <f t="shared" ref="K291:K292" si="576">H291/G291</f>
        <v>0.3342402841588652</v>
      </c>
      <c r="L291" s="141">
        <f t="shared" ref="L291:L292" si="577">I291/G291</f>
        <v>8.9999999999999983E-2</v>
      </c>
      <c r="M291" s="141">
        <f t="shared" ref="M291:M292" si="578">J291/G291</f>
        <v>1.2694018795050445E-2</v>
      </c>
      <c r="N291" s="140">
        <f t="shared" ref="N291:N292" si="579">G291-H291-I291-J291</f>
        <v>30181.678350000009</v>
      </c>
      <c r="AA291" s="139"/>
      <c r="AB291" s="139"/>
      <c r="AC291" s="139"/>
      <c r="AD291" s="139"/>
      <c r="AE291" s="139"/>
      <c r="AG291" s="139"/>
      <c r="AI291" s="139"/>
      <c r="AJ291" s="139"/>
      <c r="AK291" s="139"/>
    </row>
    <row r="292" spans="1:37" s="138" customFormat="1" ht="30" x14ac:dyDescent="0.25">
      <c r="A292" s="138" t="s">
        <v>48</v>
      </c>
      <c r="B292">
        <v>2022</v>
      </c>
      <c r="C292" t="s">
        <v>334</v>
      </c>
      <c r="D292" s="138" t="s">
        <v>4</v>
      </c>
      <c r="E292" s="138" t="s">
        <v>59</v>
      </c>
      <c r="F292" s="138" t="s">
        <v>20</v>
      </c>
      <c r="K292" s="141" t="e">
        <f t="shared" si="576"/>
        <v>#DIV/0!</v>
      </c>
      <c r="L292" s="141" t="e">
        <f t="shared" si="577"/>
        <v>#DIV/0!</v>
      </c>
      <c r="M292" s="141" t="e">
        <f t="shared" si="578"/>
        <v>#DIV/0!</v>
      </c>
      <c r="N292" s="140">
        <f t="shared" si="579"/>
        <v>0</v>
      </c>
      <c r="AA292" s="139"/>
      <c r="AB292" s="139"/>
      <c r="AC292" s="139"/>
      <c r="AD292" s="139"/>
      <c r="AE292" s="139"/>
      <c r="AG292" s="139"/>
      <c r="AI292" s="139"/>
      <c r="AJ292" s="139"/>
      <c r="AK292" s="139"/>
    </row>
    <row r="293" spans="1:37" s="138" customFormat="1" ht="30" hidden="1" x14ac:dyDescent="0.25">
      <c r="A293" s="138" t="s">
        <v>48</v>
      </c>
      <c r="B293">
        <v>2022</v>
      </c>
      <c r="C293" t="s">
        <v>333</v>
      </c>
      <c r="D293" s="138" t="s">
        <v>1</v>
      </c>
      <c r="E293" s="138" t="s">
        <v>63</v>
      </c>
      <c r="F293" s="138" t="s">
        <v>13</v>
      </c>
      <c r="K293" s="141" t="e">
        <f t="shared" ref="K293:K294" si="580">H293/G293</f>
        <v>#DIV/0!</v>
      </c>
      <c r="L293" s="141" t="e">
        <f t="shared" ref="L293:L294" si="581">I293/G293</f>
        <v>#DIV/0!</v>
      </c>
      <c r="M293" s="141" t="e">
        <f t="shared" ref="M293:M294" si="582">J293/G293</f>
        <v>#DIV/0!</v>
      </c>
      <c r="N293" s="140">
        <f t="shared" ref="N293:N294" si="583">G293-H293-I293-J293</f>
        <v>0</v>
      </c>
      <c r="AA293" s="139"/>
      <c r="AB293" s="139"/>
      <c r="AC293" s="139"/>
      <c r="AD293" s="139"/>
      <c r="AE293" s="139"/>
      <c r="AG293" s="139"/>
      <c r="AI293" s="139"/>
      <c r="AJ293" s="139"/>
      <c r="AK293" s="139"/>
    </row>
    <row r="294" spans="1:37" s="138" customFormat="1" ht="15" hidden="1" x14ac:dyDescent="0.25">
      <c r="A294" s="138" t="s">
        <v>332</v>
      </c>
      <c r="B294" t="s">
        <v>332</v>
      </c>
      <c r="C294" t="s">
        <v>332</v>
      </c>
      <c r="D294" s="138" t="s">
        <v>332</v>
      </c>
      <c r="E294" s="138" t="s">
        <v>332</v>
      </c>
      <c r="F294" s="138" t="s">
        <v>332</v>
      </c>
      <c r="K294" s="141" t="e">
        <f t="shared" si="580"/>
        <v>#DIV/0!</v>
      </c>
      <c r="L294" s="141" t="e">
        <f t="shared" si="581"/>
        <v>#DIV/0!</v>
      </c>
      <c r="M294" s="141" t="e">
        <f t="shared" si="582"/>
        <v>#DIV/0!</v>
      </c>
      <c r="N294" s="140">
        <f t="shared" si="583"/>
        <v>0</v>
      </c>
      <c r="AA294" s="139"/>
      <c r="AB294" s="139"/>
      <c r="AC294" s="139"/>
      <c r="AD294" s="139"/>
      <c r="AE294" s="139"/>
      <c r="AG294" s="139"/>
      <c r="AI294" s="139"/>
      <c r="AJ294" s="139"/>
      <c r="AK294" s="139"/>
    </row>
    <row r="295" spans="1:37" s="138" customFormat="1" ht="30" hidden="1" x14ac:dyDescent="0.25">
      <c r="A295" s="138" t="s">
        <v>48</v>
      </c>
      <c r="B295">
        <v>2022</v>
      </c>
      <c r="C295" t="s">
        <v>333</v>
      </c>
      <c r="D295" s="138" t="s">
        <v>9</v>
      </c>
      <c r="E295" s="138" t="s">
        <v>62</v>
      </c>
      <c r="F295" s="138" t="s">
        <v>16</v>
      </c>
      <c r="G295" s="138">
        <v>567.21172727272733</v>
      </c>
      <c r="H295" s="138">
        <v>0</v>
      </c>
      <c r="I295" s="138">
        <v>56.721172727272737</v>
      </c>
      <c r="J295" s="138">
        <v>13.86</v>
      </c>
      <c r="K295" s="141">
        <f t="shared" ref="K295:K296" si="584">H295/G295</f>
        <v>0</v>
      </c>
      <c r="L295" s="141">
        <f t="shared" ref="L295:L296" si="585">I295/G295</f>
        <v>0.1</v>
      </c>
      <c r="M295" s="141">
        <f t="shared" ref="M295:M296" si="586">J295/G295</f>
        <v>2.4435319887763568E-2</v>
      </c>
      <c r="N295" s="140">
        <f t="shared" ref="N295:N296" si="587">G295-H295-I295-J295</f>
        <v>496.63055454545457</v>
      </c>
      <c r="AA295" s="139"/>
      <c r="AB295" s="139"/>
      <c r="AC295" s="139"/>
      <c r="AD295" s="139"/>
      <c r="AE295" s="139"/>
      <c r="AG295" s="139"/>
      <c r="AI295" s="139"/>
      <c r="AJ295" s="139"/>
      <c r="AK295" s="139"/>
    </row>
    <row r="296" spans="1:37" s="138" customFormat="1" ht="30" hidden="1" x14ac:dyDescent="0.25">
      <c r="A296" s="138" t="s">
        <v>48</v>
      </c>
      <c r="B296">
        <v>2022</v>
      </c>
      <c r="C296" t="s">
        <v>333</v>
      </c>
      <c r="D296" s="138" t="s">
        <v>9</v>
      </c>
      <c r="E296" s="138" t="s">
        <v>61</v>
      </c>
      <c r="F296" s="138" t="s">
        <v>17</v>
      </c>
      <c r="G296" s="138">
        <v>7903.6255173735117</v>
      </c>
      <c r="H296" s="138">
        <v>1336.1536549924626</v>
      </c>
      <c r="I296" s="138">
        <v>790.36255173735128</v>
      </c>
      <c r="J296" s="138">
        <v>16.490000000000002</v>
      </c>
      <c r="K296" s="141">
        <f t="shared" si="584"/>
        <v>0.16905578991000647</v>
      </c>
      <c r="L296" s="141">
        <f t="shared" si="585"/>
        <v>0.10000000000000002</v>
      </c>
      <c r="M296" s="141">
        <f t="shared" si="586"/>
        <v>2.0863842756406134E-3</v>
      </c>
      <c r="N296" s="140">
        <f t="shared" si="587"/>
        <v>5760.6193106436986</v>
      </c>
      <c r="AA296" s="139"/>
      <c r="AB296" s="139"/>
      <c r="AC296" s="139"/>
      <c r="AD296" s="139"/>
      <c r="AE296" s="139"/>
      <c r="AG296" s="139"/>
      <c r="AI296" s="139"/>
      <c r="AJ296" s="139"/>
      <c r="AK296" s="139"/>
    </row>
    <row r="297" spans="1:37" s="138" customFormat="1" ht="30" hidden="1" x14ac:dyDescent="0.25">
      <c r="A297" s="138" t="s">
        <v>48</v>
      </c>
      <c r="B297">
        <v>2022</v>
      </c>
      <c r="C297" t="s">
        <v>333</v>
      </c>
      <c r="D297" s="138" t="s">
        <v>4</v>
      </c>
      <c r="E297" s="138" t="s">
        <v>60</v>
      </c>
      <c r="F297" s="138" t="s">
        <v>14</v>
      </c>
      <c r="G297" s="138">
        <v>2407.4404400000003</v>
      </c>
      <c r="H297" s="138">
        <v>601.86011000000008</v>
      </c>
      <c r="I297" s="138">
        <v>240.74404400000003</v>
      </c>
      <c r="J297" s="138">
        <v>24.07</v>
      </c>
      <c r="K297" s="141">
        <f t="shared" ref="K297:K298" si="588">H297/G297</f>
        <v>0.25</v>
      </c>
      <c r="L297" s="141">
        <f t="shared" ref="L297:L298" si="589">I297/G297</f>
        <v>0.1</v>
      </c>
      <c r="M297" s="141">
        <f t="shared" ref="M297:M298" si="590">J297/G297</f>
        <v>9.9981705051029202E-3</v>
      </c>
      <c r="N297" s="140">
        <f t="shared" ref="N297:N298" si="591">G297-H297-I297-J297</f>
        <v>1540.7662860000003</v>
      </c>
      <c r="AA297" s="139"/>
      <c r="AB297" s="139"/>
      <c r="AC297" s="139"/>
      <c r="AD297" s="139"/>
      <c r="AE297" s="139"/>
      <c r="AG297" s="139"/>
      <c r="AI297" s="139"/>
      <c r="AJ297" s="139"/>
      <c r="AK297" s="139"/>
    </row>
    <row r="298" spans="1:37" s="138" customFormat="1" ht="30" hidden="1" x14ac:dyDescent="0.25">
      <c r="A298" s="138" t="s">
        <v>48</v>
      </c>
      <c r="B298">
        <v>2022</v>
      </c>
      <c r="C298" t="s">
        <v>333</v>
      </c>
      <c r="D298" s="138" t="s">
        <v>4</v>
      </c>
      <c r="E298" s="138" t="s">
        <v>59</v>
      </c>
      <c r="F298" s="138" t="s">
        <v>15</v>
      </c>
      <c r="K298" s="141" t="e">
        <f t="shared" si="588"/>
        <v>#DIV/0!</v>
      </c>
      <c r="L298" s="141" t="e">
        <f t="shared" si="589"/>
        <v>#DIV/0!</v>
      </c>
      <c r="M298" s="141" t="e">
        <f t="shared" si="590"/>
        <v>#DIV/0!</v>
      </c>
      <c r="N298" s="140">
        <f t="shared" si="591"/>
        <v>0</v>
      </c>
      <c r="AA298" s="139"/>
      <c r="AB298" s="139"/>
      <c r="AC298" s="139"/>
      <c r="AD298" s="139"/>
      <c r="AE298" s="139"/>
      <c r="AG298" s="139"/>
      <c r="AI298" s="139"/>
      <c r="AJ298" s="139"/>
      <c r="AK298" s="139"/>
    </row>
    <row r="299" spans="1:37" s="138" customFormat="1" ht="30" hidden="1" x14ac:dyDescent="0.25">
      <c r="A299" s="138" t="s">
        <v>48</v>
      </c>
      <c r="B299">
        <v>2022</v>
      </c>
      <c r="C299" t="s">
        <v>331</v>
      </c>
      <c r="D299" s="138" t="s">
        <v>1</v>
      </c>
      <c r="E299" s="138" t="s">
        <v>63</v>
      </c>
      <c r="F299" s="138" t="s">
        <v>0</v>
      </c>
      <c r="K299" s="141" t="e">
        <f t="shared" ref="K299:K300" si="592">H299/G299</f>
        <v>#DIV/0!</v>
      </c>
      <c r="L299" s="141" t="e">
        <f t="shared" ref="L299:L300" si="593">I299/G299</f>
        <v>#DIV/0!</v>
      </c>
      <c r="M299" s="141" t="e">
        <f t="shared" ref="M299:M300" si="594">J299/G299</f>
        <v>#DIV/0!</v>
      </c>
      <c r="N299" s="140">
        <f t="shared" ref="N299:N300" si="595">G299-H299-I299-J299</f>
        <v>0</v>
      </c>
      <c r="AA299" s="139"/>
      <c r="AB299" s="139"/>
      <c r="AC299" s="139"/>
      <c r="AD299" s="139"/>
      <c r="AE299" s="139"/>
      <c r="AG299" s="139"/>
      <c r="AI299" s="139"/>
      <c r="AJ299" s="139"/>
      <c r="AK299" s="139"/>
    </row>
    <row r="300" spans="1:37" s="138" customFormat="1" ht="15" hidden="1" x14ac:dyDescent="0.25">
      <c r="A300" s="138" t="s">
        <v>332</v>
      </c>
      <c r="B300" t="s">
        <v>332</v>
      </c>
      <c r="C300" t="s">
        <v>332</v>
      </c>
      <c r="D300" s="138" t="s">
        <v>332</v>
      </c>
      <c r="E300" s="138" t="s">
        <v>332</v>
      </c>
      <c r="F300" s="138" t="s">
        <v>332</v>
      </c>
      <c r="K300" s="141" t="e">
        <f t="shared" si="592"/>
        <v>#DIV/0!</v>
      </c>
      <c r="L300" s="141" t="e">
        <f t="shared" si="593"/>
        <v>#DIV/0!</v>
      </c>
      <c r="M300" s="141" t="e">
        <f t="shared" si="594"/>
        <v>#DIV/0!</v>
      </c>
      <c r="N300" s="140">
        <f t="shared" si="595"/>
        <v>0</v>
      </c>
      <c r="AA300" s="139"/>
      <c r="AB300" s="139"/>
      <c r="AC300" s="139"/>
      <c r="AD300" s="139"/>
      <c r="AE300" s="139"/>
      <c r="AG300" s="139"/>
      <c r="AI300" s="139"/>
      <c r="AJ300" s="139"/>
      <c r="AK300" s="139"/>
    </row>
    <row r="301" spans="1:37" s="138" customFormat="1" ht="30" hidden="1" x14ac:dyDescent="0.25">
      <c r="A301" s="138" t="s">
        <v>48</v>
      </c>
      <c r="B301">
        <v>2022</v>
      </c>
      <c r="C301" t="s">
        <v>331</v>
      </c>
      <c r="D301" s="138" t="s">
        <v>9</v>
      </c>
      <c r="E301" s="138" t="s">
        <v>62</v>
      </c>
      <c r="F301" s="138" t="s">
        <v>8</v>
      </c>
      <c r="K301" s="141" t="e">
        <f t="shared" ref="K301:K302" si="596">H301/G301</f>
        <v>#DIV/0!</v>
      </c>
      <c r="L301" s="141" t="e">
        <f t="shared" ref="L301:L302" si="597">I301/G301</f>
        <v>#DIV/0!</v>
      </c>
      <c r="M301" s="141" t="e">
        <f t="shared" ref="M301:M302" si="598">J301/G301</f>
        <v>#DIV/0!</v>
      </c>
      <c r="N301" s="140">
        <f t="shared" ref="N301:N302" si="599">G301-H301-I301-J301</f>
        <v>0</v>
      </c>
      <c r="AA301" s="139"/>
      <c r="AB301" s="139"/>
      <c r="AC301" s="139"/>
      <c r="AD301" s="139"/>
      <c r="AE301" s="139"/>
      <c r="AG301" s="139"/>
      <c r="AI301" s="139"/>
      <c r="AJ301" s="139"/>
      <c r="AK301" s="139"/>
    </row>
    <row r="302" spans="1:37" s="138" customFormat="1" ht="30" hidden="1" x14ac:dyDescent="0.25">
      <c r="A302" s="138" t="s">
        <v>48</v>
      </c>
      <c r="B302">
        <v>2022</v>
      </c>
      <c r="C302" t="s">
        <v>331</v>
      </c>
      <c r="D302" s="138" t="s">
        <v>9</v>
      </c>
      <c r="E302" s="138" t="s">
        <v>61</v>
      </c>
      <c r="F302" s="138" t="s">
        <v>11</v>
      </c>
      <c r="K302" s="141" t="e">
        <f t="shared" si="596"/>
        <v>#DIV/0!</v>
      </c>
      <c r="L302" s="141" t="e">
        <f t="shared" si="597"/>
        <v>#DIV/0!</v>
      </c>
      <c r="M302" s="141" t="e">
        <f t="shared" si="598"/>
        <v>#DIV/0!</v>
      </c>
      <c r="N302" s="140">
        <f t="shared" si="599"/>
        <v>0</v>
      </c>
      <c r="AA302" s="139"/>
      <c r="AB302" s="139"/>
      <c r="AC302" s="139"/>
      <c r="AD302" s="139"/>
      <c r="AE302" s="139"/>
      <c r="AG302" s="139"/>
      <c r="AI302" s="139"/>
      <c r="AJ302" s="139"/>
      <c r="AK302" s="139"/>
    </row>
    <row r="303" spans="1:37" s="138" customFormat="1" ht="30" hidden="1" x14ac:dyDescent="0.25">
      <c r="A303" s="138" t="s">
        <v>48</v>
      </c>
      <c r="B303">
        <v>2022</v>
      </c>
      <c r="C303" t="s">
        <v>331</v>
      </c>
      <c r="D303" s="138" t="s">
        <v>4</v>
      </c>
      <c r="E303" s="138" t="s">
        <v>60</v>
      </c>
      <c r="F303" s="138" t="s">
        <v>3</v>
      </c>
      <c r="K303" s="141" t="e">
        <f t="shared" ref="K303:K304" si="600">H303/G303</f>
        <v>#DIV/0!</v>
      </c>
      <c r="L303" s="141" t="e">
        <f t="shared" ref="L303:L304" si="601">I303/G303</f>
        <v>#DIV/0!</v>
      </c>
      <c r="M303" s="141" t="e">
        <f t="shared" ref="M303:M304" si="602">J303/G303</f>
        <v>#DIV/0!</v>
      </c>
      <c r="N303" s="140">
        <f t="shared" ref="N303:N304" si="603">G303-H303-I303-J303</f>
        <v>0</v>
      </c>
      <c r="AA303" s="139"/>
      <c r="AB303" s="139"/>
      <c r="AC303" s="139"/>
      <c r="AD303" s="139"/>
      <c r="AE303" s="139"/>
      <c r="AG303" s="139"/>
      <c r="AI303" s="139"/>
      <c r="AJ303" s="139"/>
      <c r="AK303" s="139"/>
    </row>
    <row r="304" spans="1:37" s="138" customFormat="1" ht="30" hidden="1" x14ac:dyDescent="0.25">
      <c r="A304" s="138" t="s">
        <v>48</v>
      </c>
      <c r="B304">
        <v>2022</v>
      </c>
      <c r="C304" t="s">
        <v>331</v>
      </c>
      <c r="D304" s="138" t="s">
        <v>4</v>
      </c>
      <c r="E304" s="138" t="s">
        <v>59</v>
      </c>
      <c r="F304" s="138" t="s">
        <v>6</v>
      </c>
      <c r="K304" s="141" t="e">
        <f t="shared" si="600"/>
        <v>#DIV/0!</v>
      </c>
      <c r="L304" s="141" t="e">
        <f t="shared" si="601"/>
        <v>#DIV/0!</v>
      </c>
      <c r="M304" s="141" t="e">
        <f t="shared" si="602"/>
        <v>#DIV/0!</v>
      </c>
      <c r="N304" s="140">
        <f t="shared" si="603"/>
        <v>0</v>
      </c>
      <c r="AA304" s="139"/>
      <c r="AB304" s="139"/>
      <c r="AC304" s="139"/>
      <c r="AD304" s="139"/>
      <c r="AE304" s="139"/>
      <c r="AG304" s="139"/>
      <c r="AI304" s="139"/>
      <c r="AJ304" s="139"/>
      <c r="AK304" s="139"/>
    </row>
    <row r="305" spans="1:25" ht="15" hidden="1" x14ac:dyDescent="0.25">
      <c r="A305">
        <v>10</v>
      </c>
      <c r="B305">
        <v>2019</v>
      </c>
      <c r="C305">
        <v>2019</v>
      </c>
      <c r="D305" t="s">
        <v>324</v>
      </c>
      <c r="E305" t="s">
        <v>65</v>
      </c>
      <c r="F305" t="s">
        <v>6</v>
      </c>
      <c r="G305" s="140">
        <v>98230.17</v>
      </c>
      <c r="H305" s="140">
        <v>20697.990000000002</v>
      </c>
      <c r="I305" s="140">
        <v>12278.77</v>
      </c>
      <c r="J305" s="140">
        <v>2777.48</v>
      </c>
      <c r="K305" s="141">
        <f t="shared" ref="K305:K356" si="604">H305/G305</f>
        <v>0.21070909273596902</v>
      </c>
      <c r="L305" s="141">
        <f t="shared" ref="L305:L368" si="605">I305/G305</f>
        <v>0.12499998727478534</v>
      </c>
      <c r="M305" s="141">
        <f t="shared" ref="M305:M368" si="606">J305/G305</f>
        <v>2.8275223386053389E-2</v>
      </c>
      <c r="N305" s="140">
        <f t="shared" ref="N305:N368" si="607">G305-H305-I305-J305</f>
        <v>62475.929999999986</v>
      </c>
      <c r="O305" s="137">
        <v>126410.87</v>
      </c>
      <c r="P305" s="137">
        <v>11112.25</v>
      </c>
      <c r="Q305">
        <v>0</v>
      </c>
      <c r="R305">
        <v>31.7</v>
      </c>
      <c r="S305" s="137">
        <f>O305-P305-Q305-R305</f>
        <v>115266.92</v>
      </c>
      <c r="U305" s="142">
        <f t="shared" ref="U305:X348" si="608">G305-O305</f>
        <v>-28180.699999999997</v>
      </c>
      <c r="V305" s="142">
        <f t="shared" si="608"/>
        <v>9585.7400000000016</v>
      </c>
      <c r="W305" s="142">
        <f t="shared" si="608"/>
        <v>12278.77</v>
      </c>
      <c r="X305" s="142">
        <f t="shared" si="608"/>
        <v>2745.78</v>
      </c>
      <c r="Y305" s="142">
        <f t="shared" ref="Y305:Y368" si="609">N305-S305</f>
        <v>-52790.990000000013</v>
      </c>
    </row>
    <row r="306" spans="1:25" ht="15" hidden="1" x14ac:dyDescent="0.25">
      <c r="A306">
        <v>10</v>
      </c>
      <c r="B306">
        <v>2019</v>
      </c>
      <c r="C306">
        <v>2019</v>
      </c>
      <c r="D306" t="s">
        <v>324</v>
      </c>
      <c r="E306" t="s">
        <v>325</v>
      </c>
      <c r="F306" t="s">
        <v>3</v>
      </c>
      <c r="G306" s="140">
        <v>206423.44</v>
      </c>
      <c r="H306" s="140">
        <v>25540.76</v>
      </c>
      <c r="I306" s="140">
        <v>25802.93</v>
      </c>
      <c r="J306" s="140">
        <v>3734.12</v>
      </c>
      <c r="K306" s="141">
        <f t="shared" si="604"/>
        <v>0.12372994074703918</v>
      </c>
      <c r="L306" s="141">
        <f t="shared" si="605"/>
        <v>0.125</v>
      </c>
      <c r="M306" s="141">
        <f t="shared" si="606"/>
        <v>1.8089612303718996E-2</v>
      </c>
      <c r="N306" s="140">
        <f t="shared" si="607"/>
        <v>151345.63</v>
      </c>
      <c r="O306" s="137">
        <v>215080.11</v>
      </c>
      <c r="P306" s="137">
        <v>51554.85</v>
      </c>
      <c r="Q306">
        <v>0</v>
      </c>
      <c r="R306" s="137">
        <v>2345.98</v>
      </c>
      <c r="S306" s="137">
        <f>O306-P306-Q306-R306</f>
        <v>161179.27999999997</v>
      </c>
      <c r="U306" s="142">
        <f t="shared" si="608"/>
        <v>-8656.6699999999837</v>
      </c>
      <c r="V306" s="142">
        <f t="shared" si="608"/>
        <v>-26014.09</v>
      </c>
      <c r="W306" s="142">
        <f t="shared" si="608"/>
        <v>25802.93</v>
      </c>
      <c r="X306" s="142">
        <f t="shared" si="608"/>
        <v>1388.1399999999999</v>
      </c>
      <c r="Y306" s="142">
        <f t="shared" si="609"/>
        <v>-9833.6499999999651</v>
      </c>
    </row>
    <row r="307" spans="1:25" ht="15" hidden="1" x14ac:dyDescent="0.25">
      <c r="A307">
        <v>11</v>
      </c>
      <c r="B307">
        <v>2019</v>
      </c>
      <c r="C307">
        <v>2019</v>
      </c>
      <c r="D307" t="s">
        <v>324</v>
      </c>
      <c r="E307" t="s">
        <v>65</v>
      </c>
      <c r="F307" t="s">
        <v>6</v>
      </c>
      <c r="G307" s="140">
        <v>11486.83924562</v>
      </c>
      <c r="H307" s="140">
        <v>181.83026807923349</v>
      </c>
      <c r="I307" s="140">
        <v>1435.8549057025</v>
      </c>
      <c r="J307" s="140">
        <v>53.600878919912091</v>
      </c>
      <c r="K307" s="141">
        <f t="shared" si="604"/>
        <v>1.5829443086231614E-2</v>
      </c>
      <c r="L307" s="141">
        <f t="shared" si="605"/>
        <v>0.125</v>
      </c>
      <c r="M307" s="141">
        <f t="shared" si="606"/>
        <v>4.6662861535518071E-3</v>
      </c>
      <c r="N307" s="140">
        <f t="shared" si="607"/>
        <v>9815.5531929183562</v>
      </c>
      <c r="U307" s="142">
        <f t="shared" si="608"/>
        <v>11486.83924562</v>
      </c>
      <c r="V307" s="142">
        <f t="shared" si="608"/>
        <v>181.83026807923349</v>
      </c>
      <c r="W307" s="142">
        <f t="shared" si="608"/>
        <v>1435.8549057025</v>
      </c>
      <c r="X307" s="142">
        <f t="shared" si="608"/>
        <v>53.600878919912091</v>
      </c>
      <c r="Y307" s="142">
        <f t="shared" si="609"/>
        <v>9815.5531929183562</v>
      </c>
    </row>
    <row r="308" spans="1:25" ht="15" hidden="1" x14ac:dyDescent="0.25">
      <c r="A308">
        <v>11</v>
      </c>
      <c r="B308">
        <v>2019</v>
      </c>
      <c r="C308">
        <v>2019</v>
      </c>
      <c r="D308" t="s">
        <v>324</v>
      </c>
      <c r="E308" t="s">
        <v>325</v>
      </c>
      <c r="F308" t="s">
        <v>3</v>
      </c>
      <c r="G308" s="140">
        <v>572.83288500000003</v>
      </c>
      <c r="H308" s="140">
        <v>100.245754875</v>
      </c>
      <c r="I308" s="140">
        <v>71.604110625000004</v>
      </c>
      <c r="J308" s="140">
        <v>0</v>
      </c>
      <c r="K308" s="141">
        <f t="shared" si="604"/>
        <v>0.17499999999999999</v>
      </c>
      <c r="L308" s="141">
        <f t="shared" si="605"/>
        <v>0.125</v>
      </c>
      <c r="M308" s="141">
        <f t="shared" si="606"/>
        <v>0</v>
      </c>
      <c r="N308" s="140">
        <f t="shared" si="607"/>
        <v>400.98301950000007</v>
      </c>
      <c r="U308" s="142">
        <f t="shared" si="608"/>
        <v>572.83288500000003</v>
      </c>
      <c r="V308" s="142">
        <f t="shared" si="608"/>
        <v>100.245754875</v>
      </c>
      <c r="W308" s="142">
        <f t="shared" si="608"/>
        <v>71.604110625000004</v>
      </c>
      <c r="X308" s="142">
        <f t="shared" si="608"/>
        <v>0</v>
      </c>
      <c r="Y308" s="142">
        <f t="shared" si="609"/>
        <v>400.98301950000007</v>
      </c>
    </row>
    <row r="309" spans="1:25" ht="15" hidden="1" x14ac:dyDescent="0.25">
      <c r="A309">
        <v>12</v>
      </c>
      <c r="B309">
        <v>2019</v>
      </c>
      <c r="C309">
        <v>2019</v>
      </c>
      <c r="D309" t="s">
        <v>324</v>
      </c>
      <c r="E309" t="s">
        <v>65</v>
      </c>
      <c r="F309" t="s">
        <v>6</v>
      </c>
      <c r="G309" s="140">
        <v>6938.0195411163786</v>
      </c>
      <c r="H309" s="140">
        <v>1316.1363674323168</v>
      </c>
      <c r="I309" s="140">
        <v>867.25244263954733</v>
      </c>
      <c r="J309" s="140">
        <v>122.76697227902297</v>
      </c>
      <c r="K309" s="141">
        <f t="shared" si="604"/>
        <v>0.18969914391745007</v>
      </c>
      <c r="L309" s="141">
        <f t="shared" si="605"/>
        <v>0.125</v>
      </c>
      <c r="M309" s="141">
        <f t="shared" si="606"/>
        <v>1.7694815004696406E-2</v>
      </c>
      <c r="N309" s="140">
        <f t="shared" si="607"/>
        <v>4631.8637587654912</v>
      </c>
      <c r="U309" s="142">
        <f t="shared" si="608"/>
        <v>6938.0195411163786</v>
      </c>
      <c r="V309" s="142">
        <f t="shared" si="608"/>
        <v>1316.1363674323168</v>
      </c>
      <c r="W309" s="142">
        <f t="shared" si="608"/>
        <v>867.25244263954733</v>
      </c>
      <c r="X309" s="142">
        <f t="shared" si="608"/>
        <v>122.76697227902297</v>
      </c>
      <c r="Y309" s="142">
        <f t="shared" si="609"/>
        <v>4631.8637587654912</v>
      </c>
    </row>
    <row r="310" spans="1:25" ht="15" hidden="1" x14ac:dyDescent="0.25">
      <c r="A310">
        <v>12</v>
      </c>
      <c r="B310">
        <v>2019</v>
      </c>
      <c r="C310">
        <v>2019</v>
      </c>
      <c r="D310" t="s">
        <v>324</v>
      </c>
      <c r="E310" t="s">
        <v>325</v>
      </c>
      <c r="F310" t="s">
        <v>3</v>
      </c>
      <c r="G310" s="140">
        <v>825.33321038025008</v>
      </c>
      <c r="H310" s="140">
        <v>162.20255208300003</v>
      </c>
      <c r="I310" s="140">
        <v>103.16665129753126</v>
      </c>
      <c r="J310" s="140">
        <v>8.7340693975000008</v>
      </c>
      <c r="K310" s="141">
        <f t="shared" si="604"/>
        <v>0.1965297773589767</v>
      </c>
      <c r="L310" s="141">
        <f t="shared" si="605"/>
        <v>0.125</v>
      </c>
      <c r="M310" s="141">
        <f t="shared" si="606"/>
        <v>1.0582476613870916E-2</v>
      </c>
      <c r="N310" s="140">
        <f t="shared" si="607"/>
        <v>551.2299376022188</v>
      </c>
      <c r="U310" s="142">
        <f t="shared" si="608"/>
        <v>825.33321038025008</v>
      </c>
      <c r="V310" s="142">
        <f t="shared" si="608"/>
        <v>162.20255208300003</v>
      </c>
      <c r="W310" s="142">
        <f t="shared" si="608"/>
        <v>103.16665129753126</v>
      </c>
      <c r="X310" s="142">
        <f t="shared" si="608"/>
        <v>8.7340693975000008</v>
      </c>
      <c r="Y310" s="142">
        <f t="shared" si="609"/>
        <v>551.2299376022188</v>
      </c>
    </row>
    <row r="311" spans="1:25" ht="15" hidden="1" x14ac:dyDescent="0.25">
      <c r="A311">
        <v>1</v>
      </c>
      <c r="B311">
        <v>2019</v>
      </c>
      <c r="C311">
        <v>2019</v>
      </c>
      <c r="D311" t="s">
        <v>324</v>
      </c>
      <c r="E311" t="s">
        <v>65</v>
      </c>
      <c r="F311" t="s">
        <v>6</v>
      </c>
      <c r="G311" s="140">
        <v>3103.1175951902769</v>
      </c>
      <c r="H311" s="140">
        <v>688.45681939793462</v>
      </c>
      <c r="I311" s="140">
        <v>387.88969939878461</v>
      </c>
      <c r="J311" s="140">
        <v>68.248190762009557</v>
      </c>
      <c r="K311" s="141">
        <f t="shared" si="604"/>
        <v>0.22185972599459927</v>
      </c>
      <c r="L311" s="141">
        <f t="shared" si="605"/>
        <v>0.125</v>
      </c>
      <c r="M311" s="141">
        <f t="shared" si="606"/>
        <v>2.1993427148166041E-2</v>
      </c>
      <c r="N311" s="140">
        <f t="shared" si="607"/>
        <v>1958.522885631548</v>
      </c>
      <c r="U311" s="142">
        <f t="shared" si="608"/>
        <v>3103.1175951902769</v>
      </c>
      <c r="V311" s="142">
        <f t="shared" si="608"/>
        <v>688.45681939793462</v>
      </c>
      <c r="W311" s="142">
        <f t="shared" si="608"/>
        <v>387.88969939878461</v>
      </c>
      <c r="X311" s="142">
        <f t="shared" si="608"/>
        <v>68.248190762009557</v>
      </c>
      <c r="Y311" s="142">
        <f t="shared" si="609"/>
        <v>1958.522885631548</v>
      </c>
    </row>
    <row r="312" spans="1:25" ht="15" hidden="1" x14ac:dyDescent="0.25">
      <c r="A312">
        <v>1</v>
      </c>
      <c r="B312">
        <v>2019</v>
      </c>
      <c r="C312">
        <v>2019</v>
      </c>
      <c r="D312" t="s">
        <v>324</v>
      </c>
      <c r="E312" t="s">
        <v>325</v>
      </c>
      <c r="F312" t="s">
        <v>3</v>
      </c>
      <c r="G312" s="140">
        <v>1316.2384118441043</v>
      </c>
      <c r="H312" s="140">
        <v>263.24768236882096</v>
      </c>
      <c r="I312" s="140">
        <v>164.52980148051304</v>
      </c>
      <c r="J312" s="140">
        <v>35.24194681969459</v>
      </c>
      <c r="K312" s="141">
        <f t="shared" si="604"/>
        <v>0.20000000000000007</v>
      </c>
      <c r="L312" s="141">
        <f t="shared" si="605"/>
        <v>0.125</v>
      </c>
      <c r="M312" s="141">
        <f t="shared" si="606"/>
        <v>2.6774744227619954E-2</v>
      </c>
      <c r="N312" s="140">
        <f t="shared" si="607"/>
        <v>853.21898117507578</v>
      </c>
      <c r="U312" s="142">
        <f t="shared" si="608"/>
        <v>1316.2384118441043</v>
      </c>
      <c r="V312" s="142">
        <f t="shared" si="608"/>
        <v>263.24768236882096</v>
      </c>
      <c r="W312" s="142">
        <f t="shared" si="608"/>
        <v>164.52980148051304</v>
      </c>
      <c r="X312" s="142">
        <f t="shared" si="608"/>
        <v>35.24194681969459</v>
      </c>
      <c r="Y312" s="142">
        <f t="shared" si="609"/>
        <v>853.21898117507578</v>
      </c>
    </row>
    <row r="313" spans="1:25" ht="15" hidden="1" x14ac:dyDescent="0.25">
      <c r="A313">
        <v>2</v>
      </c>
      <c r="B313">
        <v>2020</v>
      </c>
      <c r="C313">
        <v>2019</v>
      </c>
      <c r="D313" t="s">
        <v>324</v>
      </c>
      <c r="E313" t="s">
        <v>65</v>
      </c>
      <c r="F313" t="s">
        <v>6</v>
      </c>
      <c r="G313" s="140">
        <v>-30681.084346884978</v>
      </c>
      <c r="H313" s="140">
        <v>-5893.4963972536534</v>
      </c>
      <c r="I313" s="140">
        <v>-3835.1355433606223</v>
      </c>
      <c r="J313" s="140">
        <v>-317.89823860828301</v>
      </c>
      <c r="K313" s="141">
        <f t="shared" si="604"/>
        <v>0.19208892132432126</v>
      </c>
      <c r="L313" s="141">
        <f t="shared" si="605"/>
        <v>0.125</v>
      </c>
      <c r="M313" s="141">
        <f t="shared" si="606"/>
        <v>1.0361375595923452E-2</v>
      </c>
      <c r="N313" s="140">
        <f t="shared" si="607"/>
        <v>-20634.55416766242</v>
      </c>
      <c r="U313" s="142">
        <f t="shared" si="608"/>
        <v>-30681.084346884978</v>
      </c>
      <c r="V313" s="142">
        <f t="shared" si="608"/>
        <v>-5893.4963972536534</v>
      </c>
      <c r="W313" s="142">
        <f t="shared" si="608"/>
        <v>-3835.1355433606223</v>
      </c>
      <c r="X313" s="142">
        <f t="shared" si="608"/>
        <v>-317.89823860828301</v>
      </c>
      <c r="Y313" s="142">
        <f t="shared" si="609"/>
        <v>-20634.55416766242</v>
      </c>
    </row>
    <row r="314" spans="1:25" ht="15" hidden="1" x14ac:dyDescent="0.25">
      <c r="A314">
        <v>2</v>
      </c>
      <c r="B314">
        <v>2020</v>
      </c>
      <c r="C314">
        <v>2019</v>
      </c>
      <c r="D314" t="s">
        <v>324</v>
      </c>
      <c r="E314" t="s">
        <v>325</v>
      </c>
      <c r="F314" t="s">
        <v>3</v>
      </c>
      <c r="G314" s="140">
        <v>207.40771450957428</v>
      </c>
      <c r="H314" s="140">
        <v>35.308015537301927</v>
      </c>
      <c r="I314" s="140">
        <v>25.925964313696785</v>
      </c>
      <c r="J314" s="140">
        <v>2.8592054953470143</v>
      </c>
      <c r="K314" s="141">
        <f t="shared" si="604"/>
        <v>0.17023482285019853</v>
      </c>
      <c r="L314" s="141">
        <f t="shared" si="605"/>
        <v>0.125</v>
      </c>
      <c r="M314" s="141">
        <f t="shared" si="606"/>
        <v>1.3785434655156132E-2</v>
      </c>
      <c r="N314" s="140">
        <f t="shared" si="607"/>
        <v>143.31452916322851</v>
      </c>
      <c r="U314" s="142">
        <f t="shared" si="608"/>
        <v>207.40771450957428</v>
      </c>
      <c r="V314" s="142">
        <f t="shared" si="608"/>
        <v>35.308015537301927</v>
      </c>
      <c r="W314" s="142">
        <f t="shared" si="608"/>
        <v>25.925964313696785</v>
      </c>
      <c r="X314" s="142">
        <f t="shared" si="608"/>
        <v>2.8592054953470143</v>
      </c>
      <c r="Y314" s="142">
        <f t="shared" si="609"/>
        <v>143.31452916322851</v>
      </c>
    </row>
    <row r="315" spans="1:25" ht="15" hidden="1" x14ac:dyDescent="0.25">
      <c r="A315">
        <v>3</v>
      </c>
      <c r="B315">
        <v>2020</v>
      </c>
      <c r="C315">
        <v>2019</v>
      </c>
      <c r="D315" t="s">
        <v>324</v>
      </c>
      <c r="E315" t="s">
        <v>65</v>
      </c>
      <c r="F315" t="s">
        <v>6</v>
      </c>
      <c r="G315" s="140">
        <v>558.89547360345159</v>
      </c>
      <c r="H315" s="140">
        <v>128.07178218327925</v>
      </c>
      <c r="I315" s="140">
        <v>69.861934200431449</v>
      </c>
      <c r="J315" s="140">
        <v>21.310815179133751</v>
      </c>
      <c r="K315" s="141">
        <f t="shared" si="604"/>
        <v>0.22915158241941488</v>
      </c>
      <c r="L315" s="141">
        <f t="shared" si="605"/>
        <v>0.125</v>
      </c>
      <c r="M315" s="141">
        <f t="shared" si="606"/>
        <v>3.8130233980485297E-2</v>
      </c>
      <c r="N315" s="140">
        <f t="shared" si="607"/>
        <v>339.65094204060716</v>
      </c>
      <c r="U315" s="142">
        <f t="shared" si="608"/>
        <v>558.89547360345159</v>
      </c>
      <c r="V315" s="142">
        <f t="shared" si="608"/>
        <v>128.07178218327925</v>
      </c>
      <c r="W315" s="142">
        <f t="shared" si="608"/>
        <v>69.861934200431449</v>
      </c>
      <c r="X315" s="142">
        <f t="shared" si="608"/>
        <v>21.310815179133751</v>
      </c>
      <c r="Y315" s="142">
        <f t="shared" si="609"/>
        <v>339.65094204060716</v>
      </c>
    </row>
    <row r="316" spans="1:25" ht="15" hidden="1" x14ac:dyDescent="0.25">
      <c r="A316">
        <v>3</v>
      </c>
      <c r="B316">
        <v>2020</v>
      </c>
      <c r="C316">
        <v>2019</v>
      </c>
      <c r="D316" t="s">
        <v>324</v>
      </c>
      <c r="E316" t="s">
        <v>325</v>
      </c>
      <c r="F316" t="s">
        <v>3</v>
      </c>
      <c r="G316" s="140">
        <v>5.9649297493500004</v>
      </c>
      <c r="H316" s="140">
        <v>0</v>
      </c>
      <c r="I316" s="140">
        <v>0.74561621866875005</v>
      </c>
      <c r="J316" s="140">
        <v>0.20877254122725003</v>
      </c>
      <c r="K316" s="141">
        <f t="shared" si="604"/>
        <v>0</v>
      </c>
      <c r="L316" s="141">
        <f t="shared" si="605"/>
        <v>0.125</v>
      </c>
      <c r="M316" s="141">
        <f t="shared" si="606"/>
        <v>3.5000000000000003E-2</v>
      </c>
      <c r="N316" s="140">
        <f t="shared" si="607"/>
        <v>5.0105409894540003</v>
      </c>
      <c r="U316" s="142">
        <f t="shared" si="608"/>
        <v>5.9649297493500004</v>
      </c>
      <c r="V316" s="142">
        <f t="shared" si="608"/>
        <v>0</v>
      </c>
      <c r="W316" s="142">
        <f t="shared" si="608"/>
        <v>0.74561621866875005</v>
      </c>
      <c r="X316" s="142">
        <f t="shared" si="608"/>
        <v>0.20877254122725003</v>
      </c>
      <c r="Y316" s="142">
        <f t="shared" si="609"/>
        <v>5.0105409894540003</v>
      </c>
    </row>
    <row r="317" spans="1:25" ht="15" hidden="1" x14ac:dyDescent="0.25">
      <c r="A317">
        <v>4</v>
      </c>
      <c r="B317">
        <v>2020</v>
      </c>
      <c r="C317">
        <v>2019</v>
      </c>
      <c r="D317" t="s">
        <v>324</v>
      </c>
      <c r="E317" t="s">
        <v>65</v>
      </c>
      <c r="F317" t="s">
        <v>6</v>
      </c>
      <c r="G317" s="140">
        <v>154.530260755299</v>
      </c>
      <c r="H317" s="140">
        <v>38.632565188824749</v>
      </c>
      <c r="I317" s="140">
        <v>19.316282594412375</v>
      </c>
      <c r="J317" s="140">
        <v>1.1132228432046127</v>
      </c>
      <c r="K317" s="141">
        <f t="shared" si="604"/>
        <v>0.25</v>
      </c>
      <c r="L317" s="141">
        <f t="shared" si="605"/>
        <v>0.125</v>
      </c>
      <c r="M317" s="141">
        <f t="shared" si="606"/>
        <v>7.2039148692528117E-3</v>
      </c>
      <c r="N317" s="140">
        <f t="shared" si="607"/>
        <v>95.468190128857273</v>
      </c>
      <c r="U317" s="142">
        <f t="shared" si="608"/>
        <v>154.530260755299</v>
      </c>
      <c r="V317" s="142">
        <f t="shared" si="608"/>
        <v>38.632565188824749</v>
      </c>
      <c r="W317" s="142">
        <f t="shared" si="608"/>
        <v>19.316282594412375</v>
      </c>
      <c r="X317" s="142">
        <f t="shared" si="608"/>
        <v>1.1132228432046127</v>
      </c>
      <c r="Y317" s="142">
        <f t="shared" si="609"/>
        <v>95.468190128857273</v>
      </c>
    </row>
    <row r="318" spans="1:25" ht="15" hidden="1" x14ac:dyDescent="0.25">
      <c r="A318">
        <v>4</v>
      </c>
      <c r="B318">
        <v>2020</v>
      </c>
      <c r="C318">
        <v>2019</v>
      </c>
      <c r="D318" t="s">
        <v>324</v>
      </c>
      <c r="E318" t="s">
        <v>325</v>
      </c>
      <c r="F318" t="s">
        <v>3</v>
      </c>
      <c r="G318" s="140">
        <v>-612.72067299300011</v>
      </c>
      <c r="H318" s="140">
        <v>-61.386938613000012</v>
      </c>
      <c r="I318" s="140">
        <v>-76.590084124125013</v>
      </c>
      <c r="J318" s="140">
        <v>-10.742714257275003</v>
      </c>
      <c r="K318" s="141">
        <f t="shared" si="604"/>
        <v>0.10018747745712395</v>
      </c>
      <c r="L318" s="141">
        <f t="shared" si="605"/>
        <v>0.125</v>
      </c>
      <c r="M318" s="141">
        <f t="shared" si="606"/>
        <v>1.7532808554996691E-2</v>
      </c>
      <c r="N318" s="140">
        <f t="shared" si="607"/>
        <v>-464.00093599860008</v>
      </c>
      <c r="U318" s="142">
        <f t="shared" si="608"/>
        <v>-612.72067299300011</v>
      </c>
      <c r="V318" s="142">
        <f t="shared" si="608"/>
        <v>-61.386938613000012</v>
      </c>
      <c r="W318" s="142">
        <f t="shared" si="608"/>
        <v>-76.590084124125013</v>
      </c>
      <c r="X318" s="142">
        <f t="shared" si="608"/>
        <v>-10.742714257275003</v>
      </c>
      <c r="Y318" s="142">
        <f t="shared" si="609"/>
        <v>-464.00093599860008</v>
      </c>
    </row>
    <row r="319" spans="1:25" ht="15" hidden="1" x14ac:dyDescent="0.25">
      <c r="A319">
        <v>5</v>
      </c>
      <c r="B319">
        <v>2020</v>
      </c>
      <c r="C319">
        <v>2019</v>
      </c>
      <c r="D319" t="s">
        <v>324</v>
      </c>
      <c r="E319" t="s">
        <v>65</v>
      </c>
      <c r="F319" t="s">
        <v>6</v>
      </c>
      <c r="G319" s="140">
        <v>528.24</v>
      </c>
      <c r="H319" s="140">
        <v>68.640000000000015</v>
      </c>
      <c r="I319" s="140">
        <v>66.03</v>
      </c>
      <c r="J319" s="140">
        <v>8.6000000000000014</v>
      </c>
      <c r="K319" s="141">
        <f t="shared" si="604"/>
        <v>0.12994093593820993</v>
      </c>
      <c r="L319" s="141">
        <f t="shared" si="605"/>
        <v>0.125</v>
      </c>
      <c r="M319" s="141">
        <f t="shared" si="606"/>
        <v>1.6280478570346816E-2</v>
      </c>
      <c r="N319" s="140">
        <f t="shared" si="607"/>
        <v>384.97</v>
      </c>
      <c r="U319" s="142">
        <f t="shared" si="608"/>
        <v>528.24</v>
      </c>
      <c r="V319" s="142">
        <f t="shared" si="608"/>
        <v>68.640000000000015</v>
      </c>
      <c r="W319" s="142">
        <f t="shared" si="608"/>
        <v>66.03</v>
      </c>
      <c r="X319" s="142">
        <f t="shared" si="608"/>
        <v>8.6000000000000014</v>
      </c>
      <c r="Y319" s="142">
        <f t="shared" si="609"/>
        <v>384.97</v>
      </c>
    </row>
    <row r="320" spans="1:25" ht="15" hidden="1" x14ac:dyDescent="0.25">
      <c r="A320">
        <v>5</v>
      </c>
      <c r="B320">
        <v>2020</v>
      </c>
      <c r="C320">
        <v>2019</v>
      </c>
      <c r="D320" t="s">
        <v>324</v>
      </c>
      <c r="E320" t="s">
        <v>325</v>
      </c>
      <c r="F320" t="s">
        <v>3</v>
      </c>
      <c r="G320" s="140">
        <v>0</v>
      </c>
      <c r="H320" s="140">
        <v>0</v>
      </c>
      <c r="I320" s="140">
        <v>0</v>
      </c>
      <c r="J320" s="140">
        <v>0</v>
      </c>
      <c r="K320" s="141" t="e">
        <f t="shared" si="604"/>
        <v>#DIV/0!</v>
      </c>
      <c r="L320" s="141" t="e">
        <f t="shared" si="605"/>
        <v>#DIV/0!</v>
      </c>
      <c r="M320" s="141" t="e">
        <f t="shared" si="606"/>
        <v>#DIV/0!</v>
      </c>
      <c r="N320" s="140">
        <f t="shared" si="607"/>
        <v>0</v>
      </c>
      <c r="U320" s="142">
        <f t="shared" si="608"/>
        <v>0</v>
      </c>
      <c r="V320" s="142">
        <f t="shared" si="608"/>
        <v>0</v>
      </c>
      <c r="W320" s="142">
        <f t="shared" si="608"/>
        <v>0</v>
      </c>
      <c r="X320" s="142">
        <f t="shared" si="608"/>
        <v>0</v>
      </c>
      <c r="Y320" s="142">
        <f t="shared" si="609"/>
        <v>0</v>
      </c>
    </row>
    <row r="321" spans="1:25" ht="15" hidden="1" x14ac:dyDescent="0.25">
      <c r="A321">
        <v>6</v>
      </c>
      <c r="B321">
        <v>2020</v>
      </c>
      <c r="C321">
        <v>2019</v>
      </c>
      <c r="D321" t="s">
        <v>324</v>
      </c>
      <c r="E321" t="s">
        <v>65</v>
      </c>
      <c r="F321" t="s">
        <v>6</v>
      </c>
      <c r="G321" s="140">
        <v>0</v>
      </c>
      <c r="H321" s="140">
        <v>116.5</v>
      </c>
      <c r="I321" s="140">
        <v>34.950000000000003</v>
      </c>
      <c r="J321" s="140"/>
      <c r="K321" s="141" t="e">
        <f t="shared" si="604"/>
        <v>#DIV/0!</v>
      </c>
      <c r="L321" s="141" t="e">
        <f t="shared" si="605"/>
        <v>#DIV/0!</v>
      </c>
      <c r="M321" s="141" t="e">
        <f t="shared" si="606"/>
        <v>#DIV/0!</v>
      </c>
      <c r="N321" s="140">
        <f t="shared" si="607"/>
        <v>-151.44999999999999</v>
      </c>
      <c r="U321" s="142">
        <f t="shared" si="608"/>
        <v>0</v>
      </c>
      <c r="V321" s="142">
        <f t="shared" si="608"/>
        <v>116.5</v>
      </c>
      <c r="W321" s="142">
        <f t="shared" si="608"/>
        <v>34.950000000000003</v>
      </c>
      <c r="X321" s="142">
        <f t="shared" si="608"/>
        <v>0</v>
      </c>
      <c r="Y321" s="142">
        <f t="shared" si="609"/>
        <v>-151.44999999999999</v>
      </c>
    </row>
    <row r="322" spans="1:25" ht="15" hidden="1" x14ac:dyDescent="0.25">
      <c r="A322">
        <v>6</v>
      </c>
      <c r="B322">
        <v>2020</v>
      </c>
      <c r="C322">
        <v>2019</v>
      </c>
      <c r="D322" t="s">
        <v>324</v>
      </c>
      <c r="E322" t="s">
        <v>325</v>
      </c>
      <c r="F322" t="s">
        <v>3</v>
      </c>
      <c r="G322" s="140">
        <v>-19.600000000000001</v>
      </c>
      <c r="H322" s="140">
        <v>-2.74</v>
      </c>
      <c r="I322" s="140">
        <v>-2.4500000000000002</v>
      </c>
      <c r="J322" s="140">
        <v>-0.37</v>
      </c>
      <c r="K322" s="141">
        <f t="shared" si="604"/>
        <v>0.13979591836734695</v>
      </c>
      <c r="L322" s="141">
        <f t="shared" si="605"/>
        <v>0.125</v>
      </c>
      <c r="M322" s="141">
        <f t="shared" si="606"/>
        <v>1.8877551020408161E-2</v>
      </c>
      <c r="N322" s="140">
        <f t="shared" si="607"/>
        <v>-14.040000000000001</v>
      </c>
      <c r="U322" s="142">
        <f t="shared" si="608"/>
        <v>-19.600000000000001</v>
      </c>
      <c r="V322" s="142">
        <f t="shared" si="608"/>
        <v>-2.74</v>
      </c>
      <c r="W322" s="142">
        <f t="shared" si="608"/>
        <v>-2.4500000000000002</v>
      </c>
      <c r="X322" s="142">
        <f t="shared" si="608"/>
        <v>-0.37</v>
      </c>
      <c r="Y322" s="142">
        <f t="shared" si="609"/>
        <v>-14.040000000000001</v>
      </c>
    </row>
    <row r="323" spans="1:25" ht="15" hidden="1" x14ac:dyDescent="0.25">
      <c r="A323">
        <v>7</v>
      </c>
      <c r="B323">
        <v>2020</v>
      </c>
      <c r="C323">
        <v>2019</v>
      </c>
      <c r="D323" t="s">
        <v>324</v>
      </c>
      <c r="E323" t="s">
        <v>65</v>
      </c>
      <c r="F323" t="s">
        <v>6</v>
      </c>
      <c r="G323" s="140">
        <v>2283</v>
      </c>
      <c r="H323" s="140">
        <v>406.27670000000001</v>
      </c>
      <c r="I323" s="140">
        <v>285.375</v>
      </c>
      <c r="J323" s="140">
        <v>35.06</v>
      </c>
      <c r="K323" s="141">
        <f t="shared" si="604"/>
        <v>0.17795738063950942</v>
      </c>
      <c r="L323" s="141">
        <f t="shared" si="605"/>
        <v>0.125</v>
      </c>
      <c r="M323" s="141">
        <f t="shared" si="606"/>
        <v>1.5356986421375384E-2</v>
      </c>
      <c r="N323" s="140">
        <f t="shared" si="607"/>
        <v>1556.2883000000002</v>
      </c>
      <c r="U323" s="142">
        <f t="shared" si="608"/>
        <v>2283</v>
      </c>
      <c r="V323" s="142">
        <f t="shared" si="608"/>
        <v>406.27670000000001</v>
      </c>
      <c r="W323" s="142">
        <f t="shared" si="608"/>
        <v>285.375</v>
      </c>
      <c r="X323" s="142">
        <f t="shared" si="608"/>
        <v>35.06</v>
      </c>
      <c r="Y323" s="142">
        <f t="shared" si="609"/>
        <v>1556.2883000000002</v>
      </c>
    </row>
    <row r="324" spans="1:25" ht="15" hidden="1" x14ac:dyDescent="0.25">
      <c r="A324">
        <v>7</v>
      </c>
      <c r="B324">
        <v>2020</v>
      </c>
      <c r="C324">
        <v>2019</v>
      </c>
      <c r="D324" t="s">
        <v>324</v>
      </c>
      <c r="E324" t="s">
        <v>325</v>
      </c>
      <c r="F324" t="s">
        <v>3</v>
      </c>
      <c r="G324" s="140">
        <v>5135.4400000000005</v>
      </c>
      <c r="H324" s="140">
        <v>819.62</v>
      </c>
      <c r="I324" s="140">
        <v>641.94000000000005</v>
      </c>
      <c r="J324" s="140">
        <v>97.580000000000013</v>
      </c>
      <c r="K324" s="141">
        <f t="shared" si="604"/>
        <v>0.15960073528266319</v>
      </c>
      <c r="L324" s="141">
        <f t="shared" si="605"/>
        <v>0.12500194725281571</v>
      </c>
      <c r="M324" s="141">
        <f t="shared" si="606"/>
        <v>1.9001292975869645E-2</v>
      </c>
      <c r="N324" s="140">
        <f t="shared" si="607"/>
        <v>3576.3000000000006</v>
      </c>
      <c r="U324" s="142">
        <f t="shared" si="608"/>
        <v>5135.4400000000005</v>
      </c>
      <c r="V324" s="142">
        <f t="shared" si="608"/>
        <v>819.62</v>
      </c>
      <c r="W324" s="142">
        <f t="shared" si="608"/>
        <v>641.94000000000005</v>
      </c>
      <c r="X324" s="142">
        <f t="shared" si="608"/>
        <v>97.580000000000013</v>
      </c>
      <c r="Y324" s="142">
        <f t="shared" si="609"/>
        <v>3576.3000000000006</v>
      </c>
    </row>
    <row r="325" spans="1:25" ht="15" hidden="1" x14ac:dyDescent="0.25">
      <c r="A325">
        <v>8</v>
      </c>
      <c r="B325">
        <v>2020</v>
      </c>
      <c r="C325">
        <v>2019</v>
      </c>
      <c r="D325" t="s">
        <v>324</v>
      </c>
      <c r="E325" t="s">
        <v>65</v>
      </c>
      <c r="F325" t="s">
        <v>6</v>
      </c>
      <c r="G325" s="140">
        <v>-843.40000000000009</v>
      </c>
      <c r="H325" s="140">
        <v>-287.80793900000003</v>
      </c>
      <c r="I325" s="140">
        <v>-105.42125000000004</v>
      </c>
      <c r="J325" s="140">
        <v>-26.259999999999991</v>
      </c>
      <c r="K325" s="141">
        <f t="shared" si="604"/>
        <v>0.34124725990040311</v>
      </c>
      <c r="L325" s="141">
        <f t="shared" si="605"/>
        <v>0.12499555371116912</v>
      </c>
      <c r="M325" s="141">
        <f t="shared" si="606"/>
        <v>3.1135878586672976E-2</v>
      </c>
      <c r="N325" s="140">
        <f t="shared" si="607"/>
        <v>-423.91081100000002</v>
      </c>
      <c r="U325" s="142">
        <f t="shared" si="608"/>
        <v>-843.40000000000009</v>
      </c>
      <c r="V325" s="142">
        <f t="shared" si="608"/>
        <v>-287.80793900000003</v>
      </c>
      <c r="W325" s="142">
        <f t="shared" si="608"/>
        <v>-105.42125000000004</v>
      </c>
      <c r="X325" s="142">
        <f t="shared" si="608"/>
        <v>-26.259999999999991</v>
      </c>
      <c r="Y325" s="142">
        <f t="shared" si="609"/>
        <v>-423.91081100000002</v>
      </c>
    </row>
    <row r="326" spans="1:25" ht="15" hidden="1" x14ac:dyDescent="0.25">
      <c r="A326">
        <v>8</v>
      </c>
      <c r="B326">
        <v>2020</v>
      </c>
      <c r="C326">
        <v>2019</v>
      </c>
      <c r="D326" t="s">
        <v>324</v>
      </c>
      <c r="E326" t="s">
        <v>325</v>
      </c>
      <c r="F326" t="s">
        <v>3</v>
      </c>
      <c r="G326" s="140">
        <v>-6332.24</v>
      </c>
      <c r="H326" s="140">
        <v>-555.12850000000003</v>
      </c>
      <c r="I326" s="140">
        <v>-791.53</v>
      </c>
      <c r="J326" s="140">
        <v>-33.150000000000006</v>
      </c>
      <c r="K326" s="141">
        <f t="shared" si="604"/>
        <v>8.7667002514118228E-2</v>
      </c>
      <c r="L326" s="141">
        <f t="shared" si="605"/>
        <v>0.125</v>
      </c>
      <c r="M326" s="141">
        <f t="shared" si="606"/>
        <v>5.2351142723585974E-3</v>
      </c>
      <c r="N326" s="140">
        <f t="shared" si="607"/>
        <v>-4952.4315000000006</v>
      </c>
      <c r="U326" s="142">
        <f t="shared" si="608"/>
        <v>-6332.24</v>
      </c>
      <c r="V326" s="142">
        <f t="shared" si="608"/>
        <v>-555.12850000000003</v>
      </c>
      <c r="W326" s="142">
        <f t="shared" si="608"/>
        <v>-791.53</v>
      </c>
      <c r="X326" s="142">
        <f t="shared" si="608"/>
        <v>-33.150000000000006</v>
      </c>
      <c r="Y326" s="142">
        <f t="shared" si="609"/>
        <v>-4952.4315000000006</v>
      </c>
    </row>
    <row r="327" spans="1:25" ht="15" hidden="1" x14ac:dyDescent="0.25">
      <c r="A327">
        <v>9</v>
      </c>
      <c r="B327">
        <v>2020</v>
      </c>
      <c r="C327">
        <v>2019</v>
      </c>
      <c r="D327" t="s">
        <v>324</v>
      </c>
      <c r="E327" t="s">
        <v>65</v>
      </c>
      <c r="F327" t="s">
        <v>6</v>
      </c>
      <c r="G327" s="140">
        <v>4312.6000000000004</v>
      </c>
      <c r="H327" s="140">
        <v>129.021514</v>
      </c>
      <c r="I327" s="140">
        <v>539.07500000000005</v>
      </c>
      <c r="J327" s="140">
        <v>7.96</v>
      </c>
      <c r="K327" s="141">
        <f t="shared" si="604"/>
        <v>2.9917338496498629E-2</v>
      </c>
      <c r="L327" s="141">
        <f t="shared" si="605"/>
        <v>0.125</v>
      </c>
      <c r="M327" s="141">
        <f t="shared" si="606"/>
        <v>1.8457543013495337E-3</v>
      </c>
      <c r="N327" s="140">
        <f t="shared" si="607"/>
        <v>3636.5434860000005</v>
      </c>
      <c r="U327" s="142">
        <f t="shared" si="608"/>
        <v>4312.6000000000004</v>
      </c>
      <c r="V327" s="142">
        <f t="shared" si="608"/>
        <v>129.021514</v>
      </c>
      <c r="W327" s="142">
        <f t="shared" si="608"/>
        <v>539.07500000000005</v>
      </c>
      <c r="X327" s="142">
        <f t="shared" si="608"/>
        <v>7.96</v>
      </c>
      <c r="Y327" s="142">
        <f t="shared" si="609"/>
        <v>3636.5434860000005</v>
      </c>
    </row>
    <row r="328" spans="1:25" ht="15" hidden="1" x14ac:dyDescent="0.25">
      <c r="A328">
        <v>9</v>
      </c>
      <c r="B328">
        <v>2020</v>
      </c>
      <c r="C328">
        <v>2019</v>
      </c>
      <c r="D328" t="s">
        <v>324</v>
      </c>
      <c r="E328" t="s">
        <v>325</v>
      </c>
      <c r="F328" t="s">
        <v>3</v>
      </c>
      <c r="G328" s="140">
        <v>877.99800809999988</v>
      </c>
      <c r="H328" s="140">
        <v>-182.56399898750001</v>
      </c>
      <c r="I328" s="140">
        <v>109.74975101249998</v>
      </c>
      <c r="J328" s="140">
        <v>55.26</v>
      </c>
      <c r="K328" s="141">
        <f t="shared" si="604"/>
        <v>-0.20793213344819664</v>
      </c>
      <c r="L328" s="141">
        <f t="shared" si="605"/>
        <v>0.125</v>
      </c>
      <c r="M328" s="141">
        <f t="shared" si="606"/>
        <v>6.2938639370701335E-2</v>
      </c>
      <c r="N328" s="140">
        <f t="shared" si="607"/>
        <v>895.55225607500006</v>
      </c>
      <c r="U328" s="142">
        <f t="shared" si="608"/>
        <v>877.99800809999988</v>
      </c>
      <c r="V328" s="142">
        <f t="shared" si="608"/>
        <v>-182.56399898750001</v>
      </c>
      <c r="W328" s="142">
        <f t="shared" si="608"/>
        <v>109.74975101249998</v>
      </c>
      <c r="X328" s="142">
        <f t="shared" si="608"/>
        <v>55.26</v>
      </c>
      <c r="Y328" s="142">
        <f t="shared" si="609"/>
        <v>895.55225607500006</v>
      </c>
    </row>
    <row r="329" spans="1:25" ht="15" hidden="1" x14ac:dyDescent="0.25">
      <c r="A329">
        <v>10</v>
      </c>
      <c r="B329">
        <v>2020</v>
      </c>
      <c r="C329">
        <v>2019</v>
      </c>
      <c r="D329" t="s">
        <v>324</v>
      </c>
      <c r="E329" t="s">
        <v>65</v>
      </c>
      <c r="F329" t="s">
        <v>6</v>
      </c>
      <c r="G329" s="140">
        <v>-275.06</v>
      </c>
      <c r="H329" s="140">
        <v>-48.65742105599999</v>
      </c>
      <c r="I329" s="140">
        <v>-34.3825</v>
      </c>
      <c r="J329" s="140">
        <v>-4.6900000000000013</v>
      </c>
      <c r="K329" s="141">
        <f t="shared" si="604"/>
        <v>0.17689748075329015</v>
      </c>
      <c r="L329" s="141">
        <f t="shared" si="605"/>
        <v>0.125</v>
      </c>
      <c r="M329" s="141">
        <f t="shared" si="606"/>
        <v>1.7050825274485572E-2</v>
      </c>
      <c r="N329" s="140">
        <f t="shared" si="607"/>
        <v>-187.33007894400004</v>
      </c>
      <c r="U329" s="142">
        <f t="shared" si="608"/>
        <v>-275.06</v>
      </c>
      <c r="V329" s="142">
        <f t="shared" si="608"/>
        <v>-48.65742105599999</v>
      </c>
      <c r="W329" s="142">
        <f t="shared" si="608"/>
        <v>-34.3825</v>
      </c>
      <c r="X329" s="142">
        <f t="shared" si="608"/>
        <v>-4.6900000000000013</v>
      </c>
      <c r="Y329" s="142">
        <f t="shared" si="609"/>
        <v>-187.33007894400004</v>
      </c>
    </row>
    <row r="330" spans="1:25" ht="15" hidden="1" x14ac:dyDescent="0.25">
      <c r="A330">
        <v>10</v>
      </c>
      <c r="B330">
        <v>2020</v>
      </c>
      <c r="C330">
        <v>2019</v>
      </c>
      <c r="D330" t="s">
        <v>324</v>
      </c>
      <c r="E330" t="s">
        <v>325</v>
      </c>
      <c r="F330" t="s">
        <v>3</v>
      </c>
      <c r="G330" s="140">
        <v>-1547.71</v>
      </c>
      <c r="H330" s="140">
        <v>-309.54200000000003</v>
      </c>
      <c r="I330" s="140">
        <v>-193.46375</v>
      </c>
      <c r="J330" s="140">
        <v>-26</v>
      </c>
      <c r="K330" s="141">
        <f t="shared" si="604"/>
        <v>0.2</v>
      </c>
      <c r="L330" s="141">
        <f t="shared" si="605"/>
        <v>0.125</v>
      </c>
      <c r="M330" s="141">
        <f t="shared" si="606"/>
        <v>1.6799012734943886E-2</v>
      </c>
      <c r="N330" s="140">
        <f t="shared" si="607"/>
        <v>-1018.7042500000002</v>
      </c>
      <c r="U330" s="142">
        <f t="shared" si="608"/>
        <v>-1547.71</v>
      </c>
      <c r="V330" s="142">
        <f t="shared" si="608"/>
        <v>-309.54200000000003</v>
      </c>
      <c r="W330" s="142">
        <f t="shared" si="608"/>
        <v>-193.46375</v>
      </c>
      <c r="X330" s="142">
        <f t="shared" si="608"/>
        <v>-26</v>
      </c>
      <c r="Y330" s="142">
        <f t="shared" si="609"/>
        <v>-1018.7042500000002</v>
      </c>
    </row>
    <row r="331" spans="1:25" ht="15" hidden="1" x14ac:dyDescent="0.25">
      <c r="A331">
        <v>11</v>
      </c>
      <c r="B331">
        <v>2020</v>
      </c>
      <c r="C331">
        <v>2019</v>
      </c>
      <c r="D331" t="s">
        <v>324</v>
      </c>
      <c r="E331" t="s">
        <v>65</v>
      </c>
      <c r="F331" t="s">
        <v>6</v>
      </c>
      <c r="G331" s="140">
        <v>0</v>
      </c>
      <c r="H331" s="140">
        <v>0</v>
      </c>
      <c r="I331" s="140">
        <v>0</v>
      </c>
      <c r="J331" s="140">
        <v>2.5099999999999998</v>
      </c>
      <c r="K331" s="141" t="e">
        <f t="shared" si="604"/>
        <v>#DIV/0!</v>
      </c>
      <c r="L331" s="141" t="e">
        <f t="shared" si="605"/>
        <v>#DIV/0!</v>
      </c>
      <c r="M331" s="141" t="e">
        <f t="shared" si="606"/>
        <v>#DIV/0!</v>
      </c>
      <c r="N331" s="140">
        <f t="shared" si="607"/>
        <v>-2.5099999999999998</v>
      </c>
      <c r="U331" s="142">
        <f t="shared" si="608"/>
        <v>0</v>
      </c>
      <c r="V331" s="142">
        <f t="shared" si="608"/>
        <v>0</v>
      </c>
      <c r="W331" s="142">
        <f t="shared" si="608"/>
        <v>0</v>
      </c>
      <c r="X331" s="142">
        <f t="shared" si="608"/>
        <v>2.5099999999999998</v>
      </c>
      <c r="Y331" s="142">
        <f t="shared" si="609"/>
        <v>-2.5099999999999998</v>
      </c>
    </row>
    <row r="332" spans="1:25" ht="15" hidden="1" x14ac:dyDescent="0.25">
      <c r="A332">
        <v>11</v>
      </c>
      <c r="B332">
        <v>2020</v>
      </c>
      <c r="C332">
        <v>2019</v>
      </c>
      <c r="D332" t="s">
        <v>324</v>
      </c>
      <c r="E332" t="s">
        <v>325</v>
      </c>
      <c r="F332" t="s">
        <v>3</v>
      </c>
      <c r="G332" s="140">
        <v>-368.83</v>
      </c>
      <c r="H332" s="140">
        <v>-55.324499999999993</v>
      </c>
      <c r="I332" s="140">
        <v>-46.103749999999998</v>
      </c>
      <c r="J332" s="140">
        <v>-3.69</v>
      </c>
      <c r="K332" s="141">
        <f t="shared" si="604"/>
        <v>0.15</v>
      </c>
      <c r="L332" s="141">
        <f t="shared" si="605"/>
        <v>0.125</v>
      </c>
      <c r="M332" s="141">
        <f t="shared" si="606"/>
        <v>1.0004609169536102E-2</v>
      </c>
      <c r="N332" s="140">
        <f t="shared" si="607"/>
        <v>-263.71174999999999</v>
      </c>
      <c r="U332" s="142">
        <f t="shared" si="608"/>
        <v>-368.83</v>
      </c>
      <c r="V332" s="142">
        <f t="shared" si="608"/>
        <v>-55.324499999999993</v>
      </c>
      <c r="W332" s="142">
        <f t="shared" si="608"/>
        <v>-46.103749999999998</v>
      </c>
      <c r="X332" s="142">
        <f t="shared" si="608"/>
        <v>-3.69</v>
      </c>
      <c r="Y332" s="142">
        <f t="shared" si="609"/>
        <v>-263.71174999999999</v>
      </c>
    </row>
    <row r="333" spans="1:25" ht="15" hidden="1" x14ac:dyDescent="0.25">
      <c r="A333">
        <v>12</v>
      </c>
      <c r="B333">
        <v>2020</v>
      </c>
      <c r="C333">
        <v>2019</v>
      </c>
      <c r="D333" t="s">
        <v>324</v>
      </c>
      <c r="E333" t="s">
        <v>65</v>
      </c>
      <c r="F333" t="s">
        <v>6</v>
      </c>
      <c r="G333" s="140">
        <v>-400.64</v>
      </c>
      <c r="H333" s="140">
        <v>-0.51774999999999949</v>
      </c>
      <c r="I333" s="140">
        <v>-50.08</v>
      </c>
      <c r="J333" s="140">
        <v>-0.70999999999999985</v>
      </c>
      <c r="K333" s="141">
        <f t="shared" si="604"/>
        <v>1.292307308306708E-3</v>
      </c>
      <c r="L333" s="141">
        <f t="shared" si="605"/>
        <v>0.125</v>
      </c>
      <c r="M333" s="141">
        <f t="shared" si="606"/>
        <v>1.7721645367412137E-3</v>
      </c>
      <c r="N333" s="140">
        <f t="shared" si="607"/>
        <v>-349.33225000000004</v>
      </c>
      <c r="U333" s="142">
        <f t="shared" si="608"/>
        <v>-400.64</v>
      </c>
      <c r="V333" s="142">
        <f t="shared" si="608"/>
        <v>-0.51774999999999949</v>
      </c>
      <c r="W333" s="142">
        <f t="shared" si="608"/>
        <v>-50.08</v>
      </c>
      <c r="X333" s="142">
        <f t="shared" si="608"/>
        <v>-0.70999999999999985</v>
      </c>
      <c r="Y333" s="142">
        <f t="shared" si="609"/>
        <v>-349.33225000000004</v>
      </c>
    </row>
    <row r="334" spans="1:25" ht="15" hidden="1" x14ac:dyDescent="0.25">
      <c r="A334">
        <v>12</v>
      </c>
      <c r="B334">
        <v>2020</v>
      </c>
      <c r="C334">
        <v>2019</v>
      </c>
      <c r="D334" t="s">
        <v>324</v>
      </c>
      <c r="E334" t="s">
        <v>325</v>
      </c>
      <c r="F334" t="s">
        <v>3</v>
      </c>
      <c r="G334" s="140">
        <v>752.13</v>
      </c>
      <c r="H334" s="140">
        <v>109.01862</v>
      </c>
      <c r="I334" s="140">
        <v>94.014999999999986</v>
      </c>
      <c r="J334" s="140">
        <v>8.49</v>
      </c>
      <c r="K334" s="141">
        <f t="shared" si="604"/>
        <v>0.14494651190618643</v>
      </c>
      <c r="L334" s="141">
        <f t="shared" si="605"/>
        <v>0.12499833805326205</v>
      </c>
      <c r="M334" s="141">
        <f t="shared" si="606"/>
        <v>1.1287942244026964E-2</v>
      </c>
      <c r="N334" s="140">
        <f t="shared" si="607"/>
        <v>540.60638000000006</v>
      </c>
      <c r="U334" s="142">
        <f t="shared" si="608"/>
        <v>752.13</v>
      </c>
      <c r="V334" s="142">
        <f t="shared" si="608"/>
        <v>109.01862</v>
      </c>
      <c r="W334" s="142">
        <f t="shared" si="608"/>
        <v>94.014999999999986</v>
      </c>
      <c r="X334" s="142">
        <f t="shared" si="608"/>
        <v>8.49</v>
      </c>
      <c r="Y334" s="142">
        <f t="shared" si="609"/>
        <v>540.60638000000006</v>
      </c>
    </row>
    <row r="335" spans="1:25" ht="15" hidden="1" x14ac:dyDescent="0.25">
      <c r="A335">
        <v>1</v>
      </c>
      <c r="B335">
        <v>2021</v>
      </c>
      <c r="C335">
        <v>2019</v>
      </c>
      <c r="D335" t="s">
        <v>324</v>
      </c>
      <c r="E335" t="s">
        <v>65</v>
      </c>
      <c r="F335" t="s">
        <v>6</v>
      </c>
      <c r="G335" s="140">
        <v>1419.75</v>
      </c>
      <c r="H335" s="140">
        <v>102.02875</v>
      </c>
      <c r="I335" s="140">
        <v>177.47874999999999</v>
      </c>
      <c r="J335" s="140">
        <v>27.45</v>
      </c>
      <c r="K335" s="141">
        <f t="shared" si="604"/>
        <v>7.1863884486705401E-2</v>
      </c>
      <c r="L335" s="141">
        <f t="shared" si="605"/>
        <v>0.12500704349357281</v>
      </c>
      <c r="M335" s="141">
        <f t="shared" si="606"/>
        <v>1.9334389857369256E-2</v>
      </c>
      <c r="N335" s="140">
        <f t="shared" si="607"/>
        <v>1112.7925</v>
      </c>
      <c r="U335" s="142">
        <f t="shared" si="608"/>
        <v>1419.75</v>
      </c>
      <c r="V335" s="142">
        <f t="shared" si="608"/>
        <v>102.02875</v>
      </c>
      <c r="W335" s="142">
        <f t="shared" si="608"/>
        <v>177.47874999999999</v>
      </c>
      <c r="X335" s="142">
        <f t="shared" si="608"/>
        <v>27.45</v>
      </c>
      <c r="Y335" s="142">
        <f t="shared" si="609"/>
        <v>1112.7925</v>
      </c>
    </row>
    <row r="336" spans="1:25" ht="15" hidden="1" x14ac:dyDescent="0.25">
      <c r="A336">
        <v>1</v>
      </c>
      <c r="B336">
        <v>2021</v>
      </c>
      <c r="C336">
        <v>2019</v>
      </c>
      <c r="D336" t="s">
        <v>324</v>
      </c>
      <c r="E336" t="s">
        <v>325</v>
      </c>
      <c r="F336" t="s">
        <v>3</v>
      </c>
      <c r="G336" s="140">
        <v>-630.57999999999993</v>
      </c>
      <c r="H336" s="140">
        <v>-94.587000000000003</v>
      </c>
      <c r="I336" s="140">
        <v>-78.822499999999991</v>
      </c>
      <c r="J336" s="140">
        <v>-6.31</v>
      </c>
      <c r="K336" s="141">
        <f t="shared" si="604"/>
        <v>0.15000000000000002</v>
      </c>
      <c r="L336" s="141">
        <f t="shared" si="605"/>
        <v>0.125</v>
      </c>
      <c r="M336" s="141">
        <f t="shared" si="606"/>
        <v>1.000666053474579E-2</v>
      </c>
      <c r="N336" s="140">
        <f t="shared" si="607"/>
        <v>-450.86049999999994</v>
      </c>
      <c r="U336" s="142">
        <f t="shared" si="608"/>
        <v>-630.57999999999993</v>
      </c>
      <c r="V336" s="142">
        <f t="shared" si="608"/>
        <v>-94.587000000000003</v>
      </c>
      <c r="W336" s="142">
        <f t="shared" si="608"/>
        <v>-78.822499999999991</v>
      </c>
      <c r="X336" s="142">
        <f t="shared" si="608"/>
        <v>-6.31</v>
      </c>
      <c r="Y336" s="142">
        <f t="shared" si="609"/>
        <v>-450.86049999999994</v>
      </c>
    </row>
    <row r="337" spans="1:25" ht="15" hidden="1" x14ac:dyDescent="0.25">
      <c r="A337">
        <v>2</v>
      </c>
      <c r="B337">
        <v>2021</v>
      </c>
      <c r="C337">
        <v>2019</v>
      </c>
      <c r="D337" t="s">
        <v>324</v>
      </c>
      <c r="E337" t="s">
        <v>65</v>
      </c>
      <c r="F337" t="s">
        <v>6</v>
      </c>
      <c r="G337" s="140">
        <v>-1226.57</v>
      </c>
      <c r="H337" s="140">
        <v>-299.14101399999998</v>
      </c>
      <c r="I337" s="140">
        <v>-153.32374999999999</v>
      </c>
      <c r="J337" s="140">
        <v>-20.54</v>
      </c>
      <c r="K337" s="141">
        <f t="shared" si="604"/>
        <v>0.24388417619866784</v>
      </c>
      <c r="L337" s="141">
        <f t="shared" si="605"/>
        <v>0.12500203820409761</v>
      </c>
      <c r="M337" s="141">
        <f t="shared" si="606"/>
        <v>1.6745884865926933E-2</v>
      </c>
      <c r="N337" s="140">
        <f t="shared" si="607"/>
        <v>-753.56523599999991</v>
      </c>
      <c r="U337" s="142">
        <f t="shared" si="608"/>
        <v>-1226.57</v>
      </c>
      <c r="V337" s="142">
        <f t="shared" si="608"/>
        <v>-299.14101399999998</v>
      </c>
      <c r="W337" s="142">
        <f t="shared" si="608"/>
        <v>-153.32374999999999</v>
      </c>
      <c r="X337" s="142">
        <f t="shared" si="608"/>
        <v>-20.54</v>
      </c>
      <c r="Y337" s="142">
        <f t="shared" si="609"/>
        <v>-753.56523599999991</v>
      </c>
    </row>
    <row r="338" spans="1:25" ht="15" hidden="1" x14ac:dyDescent="0.25">
      <c r="A338">
        <v>2</v>
      </c>
      <c r="B338">
        <v>2021</v>
      </c>
      <c r="C338">
        <v>2019</v>
      </c>
      <c r="D338" t="s">
        <v>324</v>
      </c>
      <c r="E338" t="s">
        <v>325</v>
      </c>
      <c r="F338" t="s">
        <v>3</v>
      </c>
      <c r="G338" s="140">
        <v>440.14000000000004</v>
      </c>
      <c r="H338" s="140">
        <v>2.2275</v>
      </c>
      <c r="I338" s="140">
        <v>55.017500000000005</v>
      </c>
      <c r="J338" s="140">
        <v>26.73</v>
      </c>
      <c r="K338" s="141">
        <f t="shared" si="604"/>
        <v>5.0608897169082557E-3</v>
      </c>
      <c r="L338" s="141">
        <f t="shared" si="605"/>
        <v>0.125</v>
      </c>
      <c r="M338" s="141">
        <f t="shared" si="606"/>
        <v>6.0730676602899075E-2</v>
      </c>
      <c r="N338" s="140">
        <f t="shared" si="607"/>
        <v>356.16500000000002</v>
      </c>
      <c r="U338" s="142">
        <f t="shared" si="608"/>
        <v>440.14000000000004</v>
      </c>
      <c r="V338" s="142">
        <f t="shared" si="608"/>
        <v>2.2275</v>
      </c>
      <c r="W338" s="142">
        <f t="shared" si="608"/>
        <v>55.017500000000005</v>
      </c>
      <c r="X338" s="142">
        <f t="shared" si="608"/>
        <v>26.73</v>
      </c>
      <c r="Y338" s="142">
        <f t="shared" si="609"/>
        <v>356.16500000000002</v>
      </c>
    </row>
    <row r="339" spans="1:25" ht="15" hidden="1" x14ac:dyDescent="0.25">
      <c r="A339">
        <v>3</v>
      </c>
      <c r="B339">
        <v>2021</v>
      </c>
      <c r="C339">
        <v>2019</v>
      </c>
      <c r="D339" t="s">
        <v>324</v>
      </c>
      <c r="E339" t="s">
        <v>65</v>
      </c>
      <c r="F339" t="s">
        <v>6</v>
      </c>
      <c r="G339" s="140">
        <v>31181</v>
      </c>
      <c r="H339" s="140">
        <v>5865.6530500000008</v>
      </c>
      <c r="I339" s="140">
        <v>3897.625</v>
      </c>
      <c r="J339" s="140">
        <v>311.83000000000004</v>
      </c>
      <c r="K339" s="141">
        <f t="shared" si="604"/>
        <v>0.18811625829832274</v>
      </c>
      <c r="L339" s="141">
        <f t="shared" si="605"/>
        <v>0.125</v>
      </c>
      <c r="M339" s="141">
        <f t="shared" si="606"/>
        <v>1.0000641416247074E-2</v>
      </c>
      <c r="N339" s="140">
        <f t="shared" si="607"/>
        <v>21105.891949999997</v>
      </c>
      <c r="U339" s="142">
        <f t="shared" si="608"/>
        <v>31181</v>
      </c>
      <c r="V339" s="142">
        <f t="shared" si="608"/>
        <v>5865.6530500000008</v>
      </c>
      <c r="W339" s="142">
        <f t="shared" si="608"/>
        <v>3897.625</v>
      </c>
      <c r="X339" s="142">
        <f t="shared" si="608"/>
        <v>311.83000000000004</v>
      </c>
      <c r="Y339" s="142">
        <f t="shared" si="609"/>
        <v>21105.891949999997</v>
      </c>
    </row>
    <row r="340" spans="1:25" ht="15" hidden="1" x14ac:dyDescent="0.25">
      <c r="A340">
        <v>3</v>
      </c>
      <c r="B340">
        <v>2021</v>
      </c>
      <c r="C340">
        <v>2019</v>
      </c>
      <c r="D340" t="s">
        <v>324</v>
      </c>
      <c r="E340" t="s">
        <v>325</v>
      </c>
      <c r="F340" t="s">
        <v>3</v>
      </c>
      <c r="G340" s="140">
        <v>7971.2681770200015</v>
      </c>
      <c r="H340" s="140">
        <v>-2018.5049927324008</v>
      </c>
      <c r="I340" s="140">
        <v>996.40852212750019</v>
      </c>
      <c r="J340" s="140">
        <v>219.45999999999998</v>
      </c>
      <c r="K340" s="141">
        <f t="shared" si="604"/>
        <v>-0.25322256733896559</v>
      </c>
      <c r="L340" s="141">
        <f t="shared" si="605"/>
        <v>0.125</v>
      </c>
      <c r="M340" s="141">
        <f t="shared" si="606"/>
        <v>2.7531378336093499E-2</v>
      </c>
      <c r="N340" s="140">
        <f t="shared" si="607"/>
        <v>8773.9046476249041</v>
      </c>
      <c r="U340" s="142">
        <f t="shared" si="608"/>
        <v>7971.2681770200015</v>
      </c>
      <c r="V340" s="142">
        <f t="shared" si="608"/>
        <v>-2018.5049927324008</v>
      </c>
      <c r="W340" s="142">
        <f t="shared" si="608"/>
        <v>996.40852212750019</v>
      </c>
      <c r="X340" s="142">
        <f t="shared" si="608"/>
        <v>219.45999999999998</v>
      </c>
      <c r="Y340" s="142">
        <f t="shared" si="609"/>
        <v>8773.9046476249041</v>
      </c>
    </row>
    <row r="341" spans="1:25" ht="15" hidden="1" x14ac:dyDescent="0.25">
      <c r="A341">
        <v>4</v>
      </c>
      <c r="B341">
        <v>2021</v>
      </c>
      <c r="C341">
        <v>2019</v>
      </c>
      <c r="D341" t="s">
        <v>324</v>
      </c>
      <c r="E341" t="s">
        <v>65</v>
      </c>
      <c r="F341" t="s">
        <v>6</v>
      </c>
      <c r="G341" s="140">
        <v>-148.38</v>
      </c>
      <c r="H341" s="140">
        <v>14.646999999999998</v>
      </c>
      <c r="I341" s="140">
        <v>-18.547499999999999</v>
      </c>
      <c r="J341" s="140">
        <v>-0.29999999999999982</v>
      </c>
      <c r="K341" s="141">
        <f t="shared" si="604"/>
        <v>-9.871276452352068E-2</v>
      </c>
      <c r="L341" s="141">
        <f t="shared" si="605"/>
        <v>0.125</v>
      </c>
      <c r="M341" s="141">
        <f t="shared" si="606"/>
        <v>2.021835826930852E-3</v>
      </c>
      <c r="N341" s="140">
        <f t="shared" si="607"/>
        <v>-144.17949999999996</v>
      </c>
      <c r="U341" s="142">
        <f t="shared" si="608"/>
        <v>-148.38</v>
      </c>
      <c r="V341" s="142">
        <f t="shared" si="608"/>
        <v>14.646999999999998</v>
      </c>
      <c r="W341" s="142">
        <f t="shared" si="608"/>
        <v>-18.547499999999999</v>
      </c>
      <c r="X341" s="142">
        <f t="shared" si="608"/>
        <v>-0.29999999999999982</v>
      </c>
      <c r="Y341" s="142">
        <f t="shared" si="609"/>
        <v>-144.17949999999996</v>
      </c>
    </row>
    <row r="342" spans="1:25" ht="15" hidden="1" x14ac:dyDescent="0.25">
      <c r="A342">
        <v>4</v>
      </c>
      <c r="B342">
        <v>2021</v>
      </c>
      <c r="C342">
        <v>2019</v>
      </c>
      <c r="D342" t="s">
        <v>324</v>
      </c>
      <c r="E342" t="s">
        <v>325</v>
      </c>
      <c r="F342" t="s">
        <v>3</v>
      </c>
      <c r="G342" s="140">
        <v>-16.309999999999999</v>
      </c>
      <c r="H342" s="140">
        <v>-4.0774999999999997</v>
      </c>
      <c r="I342" s="140">
        <v>-2.0387499999999998</v>
      </c>
      <c r="J342" s="140">
        <v>-0.16</v>
      </c>
      <c r="K342" s="141">
        <f t="shared" si="604"/>
        <v>0.25</v>
      </c>
      <c r="L342" s="141">
        <f t="shared" si="605"/>
        <v>0.125</v>
      </c>
      <c r="M342" s="141">
        <f t="shared" si="606"/>
        <v>9.8099325567136738E-3</v>
      </c>
      <c r="N342" s="140">
        <f t="shared" si="607"/>
        <v>-10.033749999999998</v>
      </c>
      <c r="U342" s="142">
        <f t="shared" si="608"/>
        <v>-16.309999999999999</v>
      </c>
      <c r="V342" s="142">
        <f t="shared" si="608"/>
        <v>-4.0774999999999997</v>
      </c>
      <c r="W342" s="142">
        <f t="shared" si="608"/>
        <v>-2.0387499999999998</v>
      </c>
      <c r="X342" s="142">
        <f t="shared" si="608"/>
        <v>-0.16</v>
      </c>
      <c r="Y342" s="142">
        <f t="shared" si="609"/>
        <v>-10.033749999999998</v>
      </c>
    </row>
    <row r="343" spans="1:25" ht="15" hidden="1" x14ac:dyDescent="0.25">
      <c r="A343">
        <v>5</v>
      </c>
      <c r="B343">
        <v>2021</v>
      </c>
      <c r="C343">
        <v>2019</v>
      </c>
      <c r="D343" t="s">
        <v>324</v>
      </c>
      <c r="E343" t="s">
        <v>65</v>
      </c>
      <c r="F343" t="s">
        <v>6</v>
      </c>
      <c r="G343" s="140">
        <v>102.85999999999999</v>
      </c>
      <c r="H343" s="140">
        <v>33.410199999999996</v>
      </c>
      <c r="I343" s="140">
        <v>12.857499999999998</v>
      </c>
      <c r="J343" s="140">
        <v>6.15</v>
      </c>
      <c r="K343" s="141">
        <f t="shared" si="604"/>
        <v>0.32481236632315769</v>
      </c>
      <c r="L343" s="141">
        <f t="shared" si="605"/>
        <v>0.125</v>
      </c>
      <c r="M343" s="141">
        <f t="shared" si="606"/>
        <v>5.979000583317131E-2</v>
      </c>
      <c r="N343" s="140">
        <f t="shared" si="607"/>
        <v>50.442299999999982</v>
      </c>
      <c r="U343" s="142">
        <f t="shared" si="608"/>
        <v>102.85999999999999</v>
      </c>
      <c r="V343" s="142">
        <f t="shared" si="608"/>
        <v>33.410199999999996</v>
      </c>
      <c r="W343" s="142">
        <f t="shared" si="608"/>
        <v>12.857499999999998</v>
      </c>
      <c r="X343" s="142">
        <f t="shared" si="608"/>
        <v>6.15</v>
      </c>
      <c r="Y343" s="142">
        <f t="shared" si="609"/>
        <v>50.442299999999982</v>
      </c>
    </row>
    <row r="344" spans="1:25" ht="15" hidden="1" x14ac:dyDescent="0.25">
      <c r="A344">
        <v>5</v>
      </c>
      <c r="B344">
        <v>2021</v>
      </c>
      <c r="C344">
        <v>2019</v>
      </c>
      <c r="D344" t="s">
        <v>324</v>
      </c>
      <c r="E344" t="s">
        <v>325</v>
      </c>
      <c r="F344" t="s">
        <v>3</v>
      </c>
      <c r="G344" s="140">
        <v>0</v>
      </c>
      <c r="H344" s="140">
        <v>0</v>
      </c>
      <c r="I344" s="140">
        <v>0</v>
      </c>
      <c r="J344" s="140">
        <v>0</v>
      </c>
      <c r="K344" s="141" t="e">
        <f t="shared" si="604"/>
        <v>#DIV/0!</v>
      </c>
      <c r="L344" s="141" t="e">
        <f t="shared" si="605"/>
        <v>#DIV/0!</v>
      </c>
      <c r="M344" s="141" t="e">
        <f t="shared" si="606"/>
        <v>#DIV/0!</v>
      </c>
      <c r="N344" s="140">
        <f t="shared" si="607"/>
        <v>0</v>
      </c>
      <c r="U344" s="142">
        <f t="shared" si="608"/>
        <v>0</v>
      </c>
      <c r="V344" s="142">
        <f t="shared" si="608"/>
        <v>0</v>
      </c>
      <c r="W344" s="142">
        <f t="shared" si="608"/>
        <v>0</v>
      </c>
      <c r="X344" s="142">
        <f t="shared" si="608"/>
        <v>0</v>
      </c>
      <c r="Y344" s="142">
        <f t="shared" si="609"/>
        <v>0</v>
      </c>
    </row>
    <row r="345" spans="1:25" ht="15" hidden="1" x14ac:dyDescent="0.25">
      <c r="A345">
        <v>6</v>
      </c>
      <c r="B345">
        <v>2021</v>
      </c>
      <c r="C345">
        <v>2019</v>
      </c>
      <c r="D345" t="s">
        <v>324</v>
      </c>
      <c r="E345" t="s">
        <v>65</v>
      </c>
      <c r="F345" t="s">
        <v>6</v>
      </c>
      <c r="G345" s="140">
        <v>255.69</v>
      </c>
      <c r="H345" s="140">
        <v>30.808050000000001</v>
      </c>
      <c r="I345" s="140">
        <v>31.96125</v>
      </c>
      <c r="J345" s="140">
        <v>4.72</v>
      </c>
      <c r="K345" s="141">
        <f t="shared" si="604"/>
        <v>0.12048985099143494</v>
      </c>
      <c r="L345" s="141">
        <f t="shared" si="605"/>
        <v>0.125</v>
      </c>
      <c r="M345" s="141">
        <f t="shared" si="606"/>
        <v>1.8459853729125113E-2</v>
      </c>
      <c r="N345" s="140">
        <f t="shared" si="607"/>
        <v>188.20069999999998</v>
      </c>
      <c r="U345" s="142">
        <f t="shared" si="608"/>
        <v>255.69</v>
      </c>
      <c r="V345" s="142">
        <f t="shared" si="608"/>
        <v>30.808050000000001</v>
      </c>
      <c r="W345" s="142">
        <f t="shared" si="608"/>
        <v>31.96125</v>
      </c>
      <c r="X345" s="142">
        <f t="shared" si="608"/>
        <v>4.72</v>
      </c>
      <c r="Y345" s="142">
        <f t="shared" si="609"/>
        <v>188.20069999999998</v>
      </c>
    </row>
    <row r="346" spans="1:25" ht="15" hidden="1" x14ac:dyDescent="0.25">
      <c r="A346">
        <v>6</v>
      </c>
      <c r="B346">
        <v>2021</v>
      </c>
      <c r="C346">
        <v>2019</v>
      </c>
      <c r="D346" t="s">
        <v>324</v>
      </c>
      <c r="E346" t="s">
        <v>325</v>
      </c>
      <c r="F346" t="s">
        <v>3</v>
      </c>
      <c r="G346" s="140">
        <v>0</v>
      </c>
      <c r="H346" s="140">
        <v>0</v>
      </c>
      <c r="I346" s="140">
        <v>0</v>
      </c>
      <c r="J346" s="140">
        <v>0</v>
      </c>
      <c r="K346" s="141" t="e">
        <f t="shared" si="604"/>
        <v>#DIV/0!</v>
      </c>
      <c r="L346" s="141" t="e">
        <f t="shared" si="605"/>
        <v>#DIV/0!</v>
      </c>
      <c r="M346" s="141" t="e">
        <f t="shared" si="606"/>
        <v>#DIV/0!</v>
      </c>
      <c r="N346" s="140">
        <f t="shared" si="607"/>
        <v>0</v>
      </c>
      <c r="U346" s="142">
        <f t="shared" si="608"/>
        <v>0</v>
      </c>
      <c r="V346" s="142">
        <f t="shared" si="608"/>
        <v>0</v>
      </c>
      <c r="W346" s="142">
        <f t="shared" si="608"/>
        <v>0</v>
      </c>
      <c r="X346" s="142">
        <f t="shared" si="608"/>
        <v>0</v>
      </c>
      <c r="Y346" s="142">
        <f t="shared" si="609"/>
        <v>0</v>
      </c>
    </row>
    <row r="347" spans="1:25" ht="15" hidden="1" x14ac:dyDescent="0.25">
      <c r="A347">
        <v>7</v>
      </c>
      <c r="B347">
        <v>2021</v>
      </c>
      <c r="C347">
        <v>2019</v>
      </c>
      <c r="D347" t="s">
        <v>324</v>
      </c>
      <c r="E347" t="s">
        <v>65</v>
      </c>
      <c r="F347" t="s">
        <v>6</v>
      </c>
      <c r="G347" s="140">
        <v>0</v>
      </c>
      <c r="H347" s="140">
        <v>0</v>
      </c>
      <c r="I347" s="140">
        <v>0</v>
      </c>
      <c r="J347" s="140">
        <v>0</v>
      </c>
      <c r="K347" s="141" t="e">
        <f t="shared" si="604"/>
        <v>#DIV/0!</v>
      </c>
      <c r="L347" s="141" t="e">
        <f t="shared" si="605"/>
        <v>#DIV/0!</v>
      </c>
      <c r="M347" s="141" t="e">
        <f t="shared" si="606"/>
        <v>#DIV/0!</v>
      </c>
      <c r="N347" s="140">
        <f t="shared" si="607"/>
        <v>0</v>
      </c>
      <c r="U347" s="142">
        <f t="shared" si="608"/>
        <v>0</v>
      </c>
      <c r="V347" s="142">
        <f t="shared" si="608"/>
        <v>0</v>
      </c>
      <c r="W347" s="142">
        <f t="shared" si="608"/>
        <v>0</v>
      </c>
      <c r="X347" s="142">
        <f t="shared" si="608"/>
        <v>0</v>
      </c>
      <c r="Y347" s="142">
        <f t="shared" si="609"/>
        <v>0</v>
      </c>
    </row>
    <row r="348" spans="1:25" ht="15" hidden="1" x14ac:dyDescent="0.25">
      <c r="A348">
        <v>7</v>
      </c>
      <c r="B348">
        <v>2021</v>
      </c>
      <c r="C348">
        <v>2019</v>
      </c>
      <c r="D348" t="s">
        <v>324</v>
      </c>
      <c r="E348" t="s">
        <v>325</v>
      </c>
      <c r="F348" t="s">
        <v>3</v>
      </c>
      <c r="G348" s="140">
        <v>667.16</v>
      </c>
      <c r="H348" s="140">
        <v>117.45000000000002</v>
      </c>
      <c r="I348" s="140">
        <v>83.394999999999996</v>
      </c>
      <c r="J348" s="140">
        <v>1.7800000000000002</v>
      </c>
      <c r="K348" s="141">
        <f t="shared" si="604"/>
        <v>0.1760447269020925</v>
      </c>
      <c r="L348" s="141">
        <f t="shared" si="605"/>
        <v>0.125</v>
      </c>
      <c r="M348" s="141">
        <f t="shared" si="606"/>
        <v>2.6680256610108525E-3</v>
      </c>
      <c r="N348" s="140">
        <f t="shared" si="607"/>
        <v>464.53499999999997</v>
      </c>
      <c r="U348" s="142">
        <f t="shared" si="608"/>
        <v>667.16</v>
      </c>
      <c r="V348" s="142">
        <f t="shared" si="608"/>
        <v>117.45000000000002</v>
      </c>
      <c r="W348" s="142">
        <f t="shared" si="608"/>
        <v>83.394999999999996</v>
      </c>
      <c r="X348" s="142">
        <f t="shared" si="608"/>
        <v>1.7800000000000002</v>
      </c>
      <c r="Y348" s="142">
        <f t="shared" si="609"/>
        <v>464.53499999999997</v>
      </c>
    </row>
    <row r="349" spans="1:25" ht="15" hidden="1" x14ac:dyDescent="0.25">
      <c r="A349">
        <v>8</v>
      </c>
      <c r="B349">
        <v>2021</v>
      </c>
      <c r="C349">
        <v>2019</v>
      </c>
      <c r="D349" t="s">
        <v>324</v>
      </c>
      <c r="E349" t="s">
        <v>65</v>
      </c>
      <c r="F349" t="s">
        <v>6</v>
      </c>
      <c r="G349" s="140">
        <v>-260.18999999999983</v>
      </c>
      <c r="H349" s="140">
        <v>-252.50725000000006</v>
      </c>
      <c r="I349" s="140">
        <v>-32.523749999999978</v>
      </c>
      <c r="J349" s="140">
        <v>-0.16</v>
      </c>
      <c r="K349" s="141">
        <f t="shared" si="604"/>
        <v>0.97047253929820598</v>
      </c>
      <c r="L349" s="141">
        <f t="shared" si="605"/>
        <v>0.125</v>
      </c>
      <c r="M349" s="141">
        <f t="shared" si="606"/>
        <v>6.1493523963257663E-4</v>
      </c>
      <c r="N349" s="140">
        <f t="shared" si="607"/>
        <v>25.001000000000207</v>
      </c>
      <c r="U349" s="142">
        <f t="shared" ref="U349:X412" si="610">G349-O349</f>
        <v>-260.18999999999983</v>
      </c>
      <c r="V349" s="142">
        <f t="shared" si="610"/>
        <v>-252.50725000000006</v>
      </c>
      <c r="W349" s="142">
        <f t="shared" si="610"/>
        <v>-32.523749999999978</v>
      </c>
      <c r="X349" s="142">
        <f t="shared" si="610"/>
        <v>-0.16</v>
      </c>
      <c r="Y349" s="142">
        <f t="shared" si="609"/>
        <v>25.001000000000207</v>
      </c>
    </row>
    <row r="350" spans="1:25" ht="15" hidden="1" x14ac:dyDescent="0.25">
      <c r="A350">
        <v>8</v>
      </c>
      <c r="B350">
        <v>2021</v>
      </c>
      <c r="C350">
        <v>2019</v>
      </c>
      <c r="D350" t="s">
        <v>324</v>
      </c>
      <c r="E350" t="s">
        <v>325</v>
      </c>
      <c r="F350" t="s">
        <v>3</v>
      </c>
      <c r="G350" s="140">
        <v>0</v>
      </c>
      <c r="H350" s="140">
        <v>0</v>
      </c>
      <c r="I350" s="140">
        <v>0</v>
      </c>
      <c r="J350" s="140">
        <v>0</v>
      </c>
      <c r="K350" s="141" t="e">
        <f t="shared" si="604"/>
        <v>#DIV/0!</v>
      </c>
      <c r="L350" s="141" t="e">
        <f t="shared" si="605"/>
        <v>#DIV/0!</v>
      </c>
      <c r="M350" s="141" t="e">
        <f t="shared" si="606"/>
        <v>#DIV/0!</v>
      </c>
      <c r="N350" s="140">
        <f t="shared" si="607"/>
        <v>0</v>
      </c>
      <c r="U350" s="142">
        <f t="shared" si="610"/>
        <v>0</v>
      </c>
      <c r="V350" s="142">
        <f t="shared" si="610"/>
        <v>0</v>
      </c>
      <c r="W350" s="142">
        <f t="shared" si="610"/>
        <v>0</v>
      </c>
      <c r="X350" s="142">
        <f t="shared" si="610"/>
        <v>0</v>
      </c>
      <c r="Y350" s="142">
        <f t="shared" si="609"/>
        <v>0</v>
      </c>
    </row>
    <row r="351" spans="1:25" ht="15" hidden="1" x14ac:dyDescent="0.25">
      <c r="A351">
        <v>9</v>
      </c>
      <c r="B351">
        <v>2021</v>
      </c>
      <c r="C351">
        <v>2019</v>
      </c>
      <c r="D351" t="s">
        <v>324</v>
      </c>
      <c r="E351" t="s">
        <v>65</v>
      </c>
      <c r="F351" t="s">
        <v>6</v>
      </c>
      <c r="G351" s="140">
        <v>0</v>
      </c>
      <c r="H351" s="140">
        <v>0</v>
      </c>
      <c r="I351" s="140">
        <v>0</v>
      </c>
      <c r="J351" s="140">
        <v>0</v>
      </c>
      <c r="K351" s="141" t="e">
        <f t="shared" si="604"/>
        <v>#DIV/0!</v>
      </c>
      <c r="L351" s="141" t="e">
        <f t="shared" si="605"/>
        <v>#DIV/0!</v>
      </c>
      <c r="M351" s="141" t="e">
        <f t="shared" si="606"/>
        <v>#DIV/0!</v>
      </c>
      <c r="N351" s="140">
        <f t="shared" si="607"/>
        <v>0</v>
      </c>
      <c r="U351" s="142">
        <f t="shared" si="610"/>
        <v>0</v>
      </c>
      <c r="V351" s="142">
        <f t="shared" si="610"/>
        <v>0</v>
      </c>
      <c r="W351" s="142">
        <f t="shared" si="610"/>
        <v>0</v>
      </c>
      <c r="X351" s="142">
        <f t="shared" si="610"/>
        <v>0</v>
      </c>
      <c r="Y351" s="142">
        <f t="shared" si="609"/>
        <v>0</v>
      </c>
    </row>
    <row r="352" spans="1:25" ht="15" hidden="1" x14ac:dyDescent="0.25">
      <c r="A352">
        <v>9</v>
      </c>
      <c r="B352">
        <v>2021</v>
      </c>
      <c r="C352">
        <v>2019</v>
      </c>
      <c r="D352" t="s">
        <v>324</v>
      </c>
      <c r="E352" t="s">
        <v>325</v>
      </c>
      <c r="F352" t="s">
        <v>3</v>
      </c>
      <c r="G352" s="140">
        <v>-587.25</v>
      </c>
      <c r="H352" s="140">
        <v>-117.45</v>
      </c>
      <c r="I352" s="140">
        <v>-73.40625</v>
      </c>
      <c r="J352" s="140">
        <v>-11.74</v>
      </c>
      <c r="K352" s="141">
        <f t="shared" si="604"/>
        <v>0.2</v>
      </c>
      <c r="L352" s="141">
        <f t="shared" si="605"/>
        <v>0.125</v>
      </c>
      <c r="M352" s="141">
        <f t="shared" si="606"/>
        <v>1.9991485738612175E-2</v>
      </c>
      <c r="N352" s="140">
        <f t="shared" si="607"/>
        <v>-384.65375</v>
      </c>
      <c r="U352" s="142">
        <f t="shared" si="610"/>
        <v>-587.25</v>
      </c>
      <c r="V352" s="142">
        <f t="shared" si="610"/>
        <v>-117.45</v>
      </c>
      <c r="W352" s="142">
        <f t="shared" si="610"/>
        <v>-73.40625</v>
      </c>
      <c r="X352" s="142">
        <f t="shared" si="610"/>
        <v>-11.74</v>
      </c>
      <c r="Y352" s="142">
        <f t="shared" si="609"/>
        <v>-384.65375</v>
      </c>
    </row>
    <row r="353" spans="1:25" ht="15" hidden="1" x14ac:dyDescent="0.25">
      <c r="A353">
        <v>10</v>
      </c>
      <c r="B353">
        <v>2021</v>
      </c>
      <c r="C353">
        <v>2019</v>
      </c>
      <c r="D353" t="s">
        <v>324</v>
      </c>
      <c r="E353" t="s">
        <v>65</v>
      </c>
      <c r="F353" t="s">
        <v>6</v>
      </c>
      <c r="G353" s="140">
        <v>0</v>
      </c>
      <c r="H353" s="140">
        <v>0</v>
      </c>
      <c r="I353" s="140">
        <v>0</v>
      </c>
      <c r="J353" s="140">
        <v>0</v>
      </c>
      <c r="K353" s="141" t="e">
        <f t="shared" si="604"/>
        <v>#DIV/0!</v>
      </c>
      <c r="L353" s="141" t="e">
        <f t="shared" si="605"/>
        <v>#DIV/0!</v>
      </c>
      <c r="M353" s="141" t="e">
        <f t="shared" si="606"/>
        <v>#DIV/0!</v>
      </c>
      <c r="N353" s="140">
        <f t="shared" si="607"/>
        <v>0</v>
      </c>
      <c r="U353" s="142">
        <f t="shared" si="610"/>
        <v>0</v>
      </c>
      <c r="V353" s="142">
        <f t="shared" si="610"/>
        <v>0</v>
      </c>
      <c r="W353" s="142">
        <f t="shared" si="610"/>
        <v>0</v>
      </c>
      <c r="X353" s="142">
        <f t="shared" si="610"/>
        <v>0</v>
      </c>
      <c r="Y353" s="142">
        <f t="shared" si="609"/>
        <v>0</v>
      </c>
    </row>
    <row r="354" spans="1:25" ht="15" hidden="1" x14ac:dyDescent="0.25">
      <c r="A354">
        <v>10</v>
      </c>
      <c r="B354">
        <v>2021</v>
      </c>
      <c r="C354">
        <v>2019</v>
      </c>
      <c r="D354" t="s">
        <v>324</v>
      </c>
      <c r="E354" t="s">
        <v>325</v>
      </c>
      <c r="F354" t="s">
        <v>3</v>
      </c>
      <c r="G354" s="140">
        <v>0</v>
      </c>
      <c r="H354" s="140">
        <v>0</v>
      </c>
      <c r="I354" s="140">
        <v>0</v>
      </c>
      <c r="J354" s="140">
        <v>0</v>
      </c>
      <c r="K354" s="141" t="e">
        <f t="shared" si="604"/>
        <v>#DIV/0!</v>
      </c>
      <c r="L354" s="141" t="e">
        <f t="shared" si="605"/>
        <v>#DIV/0!</v>
      </c>
      <c r="M354" s="141" t="e">
        <f t="shared" si="606"/>
        <v>#DIV/0!</v>
      </c>
      <c r="N354" s="140">
        <f t="shared" si="607"/>
        <v>0</v>
      </c>
      <c r="U354" s="142">
        <f t="shared" si="610"/>
        <v>0</v>
      </c>
      <c r="V354" s="142">
        <f t="shared" si="610"/>
        <v>0</v>
      </c>
      <c r="W354" s="142">
        <f t="shared" si="610"/>
        <v>0</v>
      </c>
      <c r="X354" s="142">
        <f t="shared" si="610"/>
        <v>0</v>
      </c>
      <c r="Y354" s="142">
        <f t="shared" si="609"/>
        <v>0</v>
      </c>
    </row>
    <row r="355" spans="1:25" ht="15" hidden="1" x14ac:dyDescent="0.25">
      <c r="A355">
        <v>11</v>
      </c>
      <c r="B355">
        <v>2021</v>
      </c>
      <c r="C355">
        <v>2019</v>
      </c>
      <c r="D355" t="s">
        <v>324</v>
      </c>
      <c r="E355" t="s">
        <v>65</v>
      </c>
      <c r="F355" t="s">
        <v>6</v>
      </c>
      <c r="G355" s="140">
        <v>0</v>
      </c>
      <c r="H355" s="140">
        <v>0</v>
      </c>
      <c r="I355" s="140">
        <v>0</v>
      </c>
      <c r="J355" s="140">
        <v>0</v>
      </c>
      <c r="K355" s="141" t="e">
        <f t="shared" si="604"/>
        <v>#DIV/0!</v>
      </c>
      <c r="L355" s="141" t="e">
        <f t="shared" si="605"/>
        <v>#DIV/0!</v>
      </c>
      <c r="M355" s="141" t="e">
        <f t="shared" si="606"/>
        <v>#DIV/0!</v>
      </c>
      <c r="N355" s="140">
        <f t="shared" si="607"/>
        <v>0</v>
      </c>
      <c r="U355" s="142">
        <f t="shared" si="610"/>
        <v>0</v>
      </c>
      <c r="V355" s="142">
        <f t="shared" si="610"/>
        <v>0</v>
      </c>
      <c r="W355" s="142">
        <f t="shared" si="610"/>
        <v>0</v>
      </c>
      <c r="X355" s="142">
        <f t="shared" si="610"/>
        <v>0</v>
      </c>
      <c r="Y355" s="142">
        <f t="shared" si="609"/>
        <v>0</v>
      </c>
    </row>
    <row r="356" spans="1:25" ht="15" hidden="1" x14ac:dyDescent="0.25">
      <c r="A356">
        <v>11</v>
      </c>
      <c r="B356">
        <v>2021</v>
      </c>
      <c r="C356">
        <v>2019</v>
      </c>
      <c r="D356" t="s">
        <v>324</v>
      </c>
      <c r="E356" t="s">
        <v>325</v>
      </c>
      <c r="F356" t="s">
        <v>3</v>
      </c>
      <c r="G356" s="140">
        <v>0</v>
      </c>
      <c r="H356" s="140">
        <v>0</v>
      </c>
      <c r="I356" s="140">
        <v>0</v>
      </c>
      <c r="J356" s="140">
        <v>0</v>
      </c>
      <c r="K356" s="141" t="e">
        <f t="shared" si="604"/>
        <v>#DIV/0!</v>
      </c>
      <c r="L356" s="141" t="e">
        <f t="shared" si="605"/>
        <v>#DIV/0!</v>
      </c>
      <c r="M356" s="141" t="e">
        <f t="shared" si="606"/>
        <v>#DIV/0!</v>
      </c>
      <c r="N356" s="140">
        <f t="shared" si="607"/>
        <v>0</v>
      </c>
      <c r="U356" s="142">
        <f t="shared" si="610"/>
        <v>0</v>
      </c>
      <c r="V356" s="142">
        <f t="shared" si="610"/>
        <v>0</v>
      </c>
      <c r="W356" s="142">
        <f t="shared" si="610"/>
        <v>0</v>
      </c>
      <c r="X356" s="142">
        <f t="shared" si="610"/>
        <v>0</v>
      </c>
      <c r="Y356" s="142">
        <f t="shared" si="609"/>
        <v>0</v>
      </c>
    </row>
    <row r="357" spans="1:25" ht="15" hidden="1" x14ac:dyDescent="0.25">
      <c r="A357">
        <v>12</v>
      </c>
      <c r="B357">
        <v>2021</v>
      </c>
      <c r="C357">
        <v>2019</v>
      </c>
      <c r="D357" t="s">
        <v>324</v>
      </c>
      <c r="E357" t="s">
        <v>65</v>
      </c>
      <c r="F357" t="s">
        <v>6</v>
      </c>
      <c r="G357" s="140">
        <v>-2159.6197259999999</v>
      </c>
      <c r="H357" s="140">
        <v>-308.51710371428567</v>
      </c>
      <c r="I357" s="140">
        <v>-15.425855185714283</v>
      </c>
      <c r="J357" s="140">
        <v>-38.564637964285708</v>
      </c>
      <c r="K357" s="141">
        <v>-6.15</v>
      </c>
      <c r="L357" s="141">
        <f t="shared" si="605"/>
        <v>7.1428571428571418E-3</v>
      </c>
      <c r="M357" s="141">
        <f t="shared" si="606"/>
        <v>1.7857142857142856E-2</v>
      </c>
      <c r="N357" s="140">
        <f t="shared" si="607"/>
        <v>-1797.1121291357142</v>
      </c>
      <c r="U357" s="142">
        <f t="shared" si="610"/>
        <v>-2159.6197259999999</v>
      </c>
      <c r="V357" s="142">
        <f t="shared" si="610"/>
        <v>-308.51710371428567</v>
      </c>
      <c r="W357" s="142">
        <f t="shared" si="610"/>
        <v>-15.425855185714283</v>
      </c>
      <c r="X357" s="142">
        <f t="shared" si="610"/>
        <v>-38.564637964285708</v>
      </c>
      <c r="Y357" s="142">
        <f t="shared" si="609"/>
        <v>-1797.1121291357142</v>
      </c>
    </row>
    <row r="358" spans="1:25" ht="15" hidden="1" x14ac:dyDescent="0.25">
      <c r="A358">
        <v>12</v>
      </c>
      <c r="B358">
        <v>2021</v>
      </c>
      <c r="C358">
        <v>2019</v>
      </c>
      <c r="D358" t="s">
        <v>324</v>
      </c>
      <c r="E358" t="s">
        <v>325</v>
      </c>
      <c r="F358" t="s">
        <v>3</v>
      </c>
      <c r="G358" s="140">
        <v>0</v>
      </c>
      <c r="H358" s="140">
        <v>0</v>
      </c>
      <c r="I358" s="140">
        <v>0</v>
      </c>
      <c r="J358" s="140">
        <v>0</v>
      </c>
      <c r="K358" s="141" t="e">
        <f t="shared" ref="K358:K421" si="611">H358/G358</f>
        <v>#DIV/0!</v>
      </c>
      <c r="L358" s="141" t="e">
        <f t="shared" si="605"/>
        <v>#DIV/0!</v>
      </c>
      <c r="M358" s="141" t="e">
        <f t="shared" si="606"/>
        <v>#DIV/0!</v>
      </c>
      <c r="N358" s="140">
        <f t="shared" si="607"/>
        <v>0</v>
      </c>
      <c r="U358" s="142">
        <f t="shared" si="610"/>
        <v>0</v>
      </c>
      <c r="V358" s="142">
        <f t="shared" si="610"/>
        <v>0</v>
      </c>
      <c r="W358" s="142">
        <f t="shared" si="610"/>
        <v>0</v>
      </c>
      <c r="X358" s="142">
        <f t="shared" si="610"/>
        <v>0</v>
      </c>
      <c r="Y358" s="142">
        <f t="shared" si="609"/>
        <v>0</v>
      </c>
    </row>
    <row r="359" spans="1:25" ht="15" hidden="1" x14ac:dyDescent="0.25">
      <c r="A359">
        <v>1</v>
      </c>
      <c r="B359">
        <v>2022</v>
      </c>
      <c r="C359">
        <v>2019</v>
      </c>
      <c r="D359" t="s">
        <v>324</v>
      </c>
      <c r="E359" t="s">
        <v>65</v>
      </c>
      <c r="F359" t="s">
        <v>6</v>
      </c>
      <c r="G359" s="140">
        <v>0</v>
      </c>
      <c r="H359" s="140">
        <v>0</v>
      </c>
      <c r="I359" s="140">
        <v>0</v>
      </c>
      <c r="J359" s="140">
        <v>0</v>
      </c>
      <c r="K359" s="141" t="e">
        <f t="shared" si="611"/>
        <v>#DIV/0!</v>
      </c>
      <c r="L359" s="141" t="e">
        <f t="shared" si="605"/>
        <v>#DIV/0!</v>
      </c>
      <c r="M359" s="141" t="e">
        <f t="shared" si="606"/>
        <v>#DIV/0!</v>
      </c>
      <c r="N359" s="140">
        <f t="shared" si="607"/>
        <v>0</v>
      </c>
      <c r="U359" s="142">
        <f t="shared" si="610"/>
        <v>0</v>
      </c>
      <c r="V359" s="142">
        <f t="shared" si="610"/>
        <v>0</v>
      </c>
      <c r="W359" s="142">
        <f t="shared" si="610"/>
        <v>0</v>
      </c>
      <c r="X359" s="142">
        <f t="shared" si="610"/>
        <v>0</v>
      </c>
      <c r="Y359" s="142">
        <f t="shared" si="609"/>
        <v>0</v>
      </c>
    </row>
    <row r="360" spans="1:25" ht="15" hidden="1" x14ac:dyDescent="0.25">
      <c r="A360">
        <v>1</v>
      </c>
      <c r="B360">
        <v>2022</v>
      </c>
      <c r="C360">
        <v>2019</v>
      </c>
      <c r="D360" t="s">
        <v>324</v>
      </c>
      <c r="E360" t="s">
        <v>325</v>
      </c>
      <c r="F360" t="s">
        <v>3</v>
      </c>
      <c r="G360" s="140">
        <v>0</v>
      </c>
      <c r="H360" s="140">
        <v>0</v>
      </c>
      <c r="I360" s="140">
        <v>0</v>
      </c>
      <c r="J360" s="140">
        <v>0</v>
      </c>
      <c r="K360" s="141" t="e">
        <f t="shared" si="611"/>
        <v>#DIV/0!</v>
      </c>
      <c r="L360" s="141" t="e">
        <f t="shared" si="605"/>
        <v>#DIV/0!</v>
      </c>
      <c r="M360" s="141" t="e">
        <f t="shared" si="606"/>
        <v>#DIV/0!</v>
      </c>
      <c r="N360" s="140">
        <f t="shared" si="607"/>
        <v>0</v>
      </c>
      <c r="U360" s="142">
        <f t="shared" si="610"/>
        <v>0</v>
      </c>
      <c r="V360" s="142">
        <f t="shared" si="610"/>
        <v>0</v>
      </c>
      <c r="W360" s="142">
        <f t="shared" si="610"/>
        <v>0</v>
      </c>
      <c r="X360" s="142">
        <f t="shared" si="610"/>
        <v>0</v>
      </c>
      <c r="Y360" s="142">
        <f t="shared" si="609"/>
        <v>0</v>
      </c>
    </row>
    <row r="361" spans="1:25" ht="15" hidden="1" x14ac:dyDescent="0.25">
      <c r="A361">
        <v>1</v>
      </c>
      <c r="B361">
        <v>2020</v>
      </c>
      <c r="C361">
        <v>2020</v>
      </c>
      <c r="D361" t="s">
        <v>324</v>
      </c>
      <c r="E361" t="s">
        <v>65</v>
      </c>
      <c r="F361" s="143" t="s">
        <v>15</v>
      </c>
      <c r="G361" s="140">
        <v>32500</v>
      </c>
      <c r="H361" s="140">
        <v>0</v>
      </c>
      <c r="I361" s="140">
        <v>3250</v>
      </c>
      <c r="J361" s="140">
        <v>0</v>
      </c>
      <c r="K361" s="141">
        <f t="shared" si="611"/>
        <v>0</v>
      </c>
      <c r="L361" s="141">
        <f t="shared" si="605"/>
        <v>0.1</v>
      </c>
      <c r="M361" s="141">
        <f t="shared" si="606"/>
        <v>0</v>
      </c>
      <c r="N361" s="140">
        <f t="shared" si="607"/>
        <v>29250</v>
      </c>
      <c r="O361" s="137">
        <v>8868.8700000000008</v>
      </c>
      <c r="P361" s="137">
        <v>10595.63</v>
      </c>
      <c r="Q361">
        <v>0</v>
      </c>
      <c r="R361">
        <v>265.68</v>
      </c>
      <c r="S361" s="137">
        <f>O361-P361-Q361-R361</f>
        <v>-1992.4399999999985</v>
      </c>
      <c r="U361" s="142">
        <f t="shared" si="610"/>
        <v>23631.129999999997</v>
      </c>
      <c r="V361" s="142">
        <f t="shared" si="610"/>
        <v>-10595.63</v>
      </c>
      <c r="W361" s="142">
        <f t="shared" si="610"/>
        <v>3250</v>
      </c>
      <c r="X361" s="142">
        <f t="shared" si="610"/>
        <v>-265.68</v>
      </c>
      <c r="Y361" s="142">
        <f t="shared" si="609"/>
        <v>31242.44</v>
      </c>
    </row>
    <row r="362" spans="1:25" ht="15" hidden="1" x14ac:dyDescent="0.25">
      <c r="A362">
        <v>1</v>
      </c>
      <c r="B362">
        <v>2020</v>
      </c>
      <c r="C362">
        <v>2020</v>
      </c>
      <c r="D362" t="s">
        <v>324</v>
      </c>
      <c r="E362" t="s">
        <v>325</v>
      </c>
      <c r="F362" t="s">
        <v>14</v>
      </c>
      <c r="G362" s="140">
        <v>55337.633400000006</v>
      </c>
      <c r="H362" s="140">
        <v>8300.6450100000002</v>
      </c>
      <c r="I362" s="140">
        <v>5533.7633400000013</v>
      </c>
      <c r="J362" s="140">
        <v>553.37633400000004</v>
      </c>
      <c r="K362" s="141">
        <f t="shared" si="611"/>
        <v>0.15</v>
      </c>
      <c r="L362" s="141">
        <f t="shared" si="605"/>
        <v>0.10000000000000002</v>
      </c>
      <c r="M362" s="141">
        <f t="shared" si="606"/>
        <v>0.01</v>
      </c>
      <c r="N362" s="140">
        <f t="shared" si="607"/>
        <v>40949.848716000008</v>
      </c>
      <c r="O362" s="137">
        <v>518605.76</v>
      </c>
      <c r="P362" s="137">
        <v>146019.97</v>
      </c>
      <c r="Q362">
        <v>0</v>
      </c>
      <c r="R362" s="137">
        <v>12930.2</v>
      </c>
      <c r="S362" s="137">
        <f>O362-P362-Q362-R362</f>
        <v>359655.59</v>
      </c>
      <c r="U362" s="142">
        <f t="shared" si="610"/>
        <v>-463268.12660000002</v>
      </c>
      <c r="V362" s="142">
        <f t="shared" si="610"/>
        <v>-137719.32498999999</v>
      </c>
      <c r="W362" s="142">
        <f t="shared" si="610"/>
        <v>5533.7633400000013</v>
      </c>
      <c r="X362" s="142">
        <f t="shared" si="610"/>
        <v>-12376.823666</v>
      </c>
      <c r="Y362" s="142">
        <f t="shared" si="609"/>
        <v>-318705.74128399999</v>
      </c>
    </row>
    <row r="363" spans="1:25" ht="15" hidden="1" x14ac:dyDescent="0.25">
      <c r="A363">
        <v>2</v>
      </c>
      <c r="B363">
        <v>2020</v>
      </c>
      <c r="C363">
        <v>2020</v>
      </c>
      <c r="D363" t="s">
        <v>324</v>
      </c>
      <c r="E363" t="s">
        <v>65</v>
      </c>
      <c r="F363" s="143" t="s">
        <v>15</v>
      </c>
      <c r="G363" s="140">
        <v>0</v>
      </c>
      <c r="H363" s="140">
        <v>0</v>
      </c>
      <c r="I363" s="140">
        <v>0</v>
      </c>
      <c r="J363" s="140">
        <v>0</v>
      </c>
      <c r="K363" s="141" t="e">
        <f t="shared" si="611"/>
        <v>#DIV/0!</v>
      </c>
      <c r="L363" s="141" t="e">
        <f t="shared" si="605"/>
        <v>#DIV/0!</v>
      </c>
      <c r="M363" s="141" t="e">
        <f t="shared" si="606"/>
        <v>#DIV/0!</v>
      </c>
      <c r="N363" s="140">
        <f t="shared" si="607"/>
        <v>0</v>
      </c>
      <c r="U363" s="142">
        <f t="shared" si="610"/>
        <v>0</v>
      </c>
      <c r="V363" s="142">
        <f t="shared" si="610"/>
        <v>0</v>
      </c>
      <c r="W363" s="142">
        <f t="shared" si="610"/>
        <v>0</v>
      </c>
      <c r="X363" s="142">
        <f t="shared" si="610"/>
        <v>0</v>
      </c>
      <c r="Y363" s="142">
        <f t="shared" si="609"/>
        <v>0</v>
      </c>
    </row>
    <row r="364" spans="1:25" ht="15" hidden="1" x14ac:dyDescent="0.25">
      <c r="A364">
        <v>2</v>
      </c>
      <c r="B364">
        <v>2020</v>
      </c>
      <c r="C364">
        <v>2020</v>
      </c>
      <c r="D364" t="s">
        <v>324</v>
      </c>
      <c r="E364" t="s">
        <v>325</v>
      </c>
      <c r="F364" t="s">
        <v>14</v>
      </c>
      <c r="G364" s="140">
        <v>6838.1805600000007</v>
      </c>
      <c r="H364" s="140">
        <v>971.29696224000008</v>
      </c>
      <c r="I364" s="140">
        <v>683.81805600000007</v>
      </c>
      <c r="J364" s="140">
        <v>89.871336052960018</v>
      </c>
      <c r="K364" s="141">
        <f t="shared" si="611"/>
        <v>0.14204026256949259</v>
      </c>
      <c r="L364" s="141">
        <f t="shared" si="605"/>
        <v>0.1</v>
      </c>
      <c r="M364" s="141">
        <f t="shared" si="606"/>
        <v>1.3142580144587468E-2</v>
      </c>
      <c r="N364" s="140">
        <f t="shared" si="607"/>
        <v>5093.194205707041</v>
      </c>
      <c r="U364" s="142">
        <f t="shared" si="610"/>
        <v>6838.1805600000007</v>
      </c>
      <c r="V364" s="142">
        <f t="shared" si="610"/>
        <v>971.29696224000008</v>
      </c>
      <c r="W364" s="142">
        <f t="shared" si="610"/>
        <v>683.81805600000007</v>
      </c>
      <c r="X364" s="142">
        <f t="shared" si="610"/>
        <v>89.871336052960018</v>
      </c>
      <c r="Y364" s="142">
        <f t="shared" si="609"/>
        <v>5093.194205707041</v>
      </c>
    </row>
    <row r="365" spans="1:25" ht="15" hidden="1" x14ac:dyDescent="0.25">
      <c r="A365">
        <v>3</v>
      </c>
      <c r="B365">
        <v>2020</v>
      </c>
      <c r="C365">
        <v>2020</v>
      </c>
      <c r="D365" t="s">
        <v>324</v>
      </c>
      <c r="E365" t="s">
        <v>65</v>
      </c>
      <c r="F365" s="143" t="s">
        <v>15</v>
      </c>
      <c r="G365" s="140">
        <v>0</v>
      </c>
      <c r="H365" s="140">
        <v>0</v>
      </c>
      <c r="I365" s="140">
        <v>0</v>
      </c>
      <c r="J365" s="140">
        <v>0</v>
      </c>
      <c r="K365" s="141" t="e">
        <f t="shared" si="611"/>
        <v>#DIV/0!</v>
      </c>
      <c r="L365" s="141" t="e">
        <f t="shared" si="605"/>
        <v>#DIV/0!</v>
      </c>
      <c r="M365" s="141" t="e">
        <f t="shared" si="606"/>
        <v>#DIV/0!</v>
      </c>
      <c r="N365" s="140">
        <f t="shared" si="607"/>
        <v>0</v>
      </c>
      <c r="U365" s="142">
        <f t="shared" si="610"/>
        <v>0</v>
      </c>
      <c r="V365" s="142">
        <f t="shared" si="610"/>
        <v>0</v>
      </c>
      <c r="W365" s="142">
        <f t="shared" si="610"/>
        <v>0</v>
      </c>
      <c r="X365" s="142">
        <f t="shared" si="610"/>
        <v>0</v>
      </c>
      <c r="Y365" s="142">
        <f t="shared" si="609"/>
        <v>0</v>
      </c>
    </row>
    <row r="366" spans="1:25" ht="15" hidden="1" x14ac:dyDescent="0.25">
      <c r="A366">
        <v>3</v>
      </c>
      <c r="B366">
        <v>2020</v>
      </c>
      <c r="C366">
        <v>2020</v>
      </c>
      <c r="D366" t="s">
        <v>324</v>
      </c>
      <c r="E366" t="s">
        <v>325</v>
      </c>
      <c r="F366" t="s">
        <v>14</v>
      </c>
      <c r="G366" s="140">
        <v>10483.109500000002</v>
      </c>
      <c r="H366" s="140">
        <v>205.07196900000054</v>
      </c>
      <c r="I366" s="140">
        <v>1048.31095</v>
      </c>
      <c r="J366" s="140">
        <v>275.6338975000001</v>
      </c>
      <c r="K366" s="141">
        <f t="shared" si="611"/>
        <v>1.9562131732001893E-2</v>
      </c>
      <c r="L366" s="141">
        <f t="shared" si="605"/>
        <v>9.9999999999999978E-2</v>
      </c>
      <c r="M366" s="141">
        <f t="shared" si="606"/>
        <v>2.6293143031654878E-2</v>
      </c>
      <c r="N366" s="140">
        <f t="shared" si="607"/>
        <v>8954.0926835000027</v>
      </c>
      <c r="U366" s="142">
        <f t="shared" si="610"/>
        <v>10483.109500000002</v>
      </c>
      <c r="V366" s="142">
        <f t="shared" si="610"/>
        <v>205.07196900000054</v>
      </c>
      <c r="W366" s="142">
        <f t="shared" si="610"/>
        <v>1048.31095</v>
      </c>
      <c r="X366" s="142">
        <f t="shared" si="610"/>
        <v>275.6338975000001</v>
      </c>
      <c r="Y366" s="142">
        <f t="shared" si="609"/>
        <v>8954.0926835000027</v>
      </c>
    </row>
    <row r="367" spans="1:25" ht="15" hidden="1" x14ac:dyDescent="0.25">
      <c r="A367">
        <v>4</v>
      </c>
      <c r="B367">
        <v>2020</v>
      </c>
      <c r="C367">
        <v>2020</v>
      </c>
      <c r="D367" t="s">
        <v>324</v>
      </c>
      <c r="E367" t="s">
        <v>65</v>
      </c>
      <c r="F367" s="143" t="s">
        <v>15</v>
      </c>
      <c r="G367" s="140">
        <v>1033.1999999999998</v>
      </c>
      <c r="H367" s="140">
        <v>0</v>
      </c>
      <c r="I367" s="140">
        <v>103.32</v>
      </c>
      <c r="J367" s="140">
        <v>27.48312</v>
      </c>
      <c r="K367" s="141">
        <f t="shared" si="611"/>
        <v>0</v>
      </c>
      <c r="L367" s="141">
        <f t="shared" si="605"/>
        <v>0.1</v>
      </c>
      <c r="M367" s="141">
        <f t="shared" si="606"/>
        <v>2.6600000000000006E-2</v>
      </c>
      <c r="N367" s="140">
        <f t="shared" si="607"/>
        <v>902.3968799999999</v>
      </c>
      <c r="U367" s="142">
        <f t="shared" si="610"/>
        <v>1033.1999999999998</v>
      </c>
      <c r="V367" s="142">
        <f t="shared" si="610"/>
        <v>0</v>
      </c>
      <c r="W367" s="142">
        <f t="shared" si="610"/>
        <v>103.32</v>
      </c>
      <c r="X367" s="142">
        <f t="shared" si="610"/>
        <v>27.48312</v>
      </c>
      <c r="Y367" s="142">
        <f t="shared" si="609"/>
        <v>902.3968799999999</v>
      </c>
    </row>
    <row r="368" spans="1:25" ht="15" hidden="1" x14ac:dyDescent="0.25">
      <c r="A368">
        <v>4</v>
      </c>
      <c r="B368">
        <v>2020</v>
      </c>
      <c r="C368">
        <v>2020</v>
      </c>
      <c r="D368" t="s">
        <v>324</v>
      </c>
      <c r="E368" t="s">
        <v>325</v>
      </c>
      <c r="F368" t="s">
        <v>14</v>
      </c>
      <c r="G368" s="140">
        <v>-1033.1999999999998</v>
      </c>
      <c r="H368" s="140">
        <v>0</v>
      </c>
      <c r="I368" s="140">
        <v>-103.32000000000005</v>
      </c>
      <c r="J368" s="140">
        <v>-27.483120000000014</v>
      </c>
      <c r="K368" s="141">
        <f t="shared" si="611"/>
        <v>0</v>
      </c>
      <c r="L368" s="141">
        <f t="shared" si="605"/>
        <v>0.10000000000000006</v>
      </c>
      <c r="M368" s="141">
        <f t="shared" si="606"/>
        <v>2.6600000000000019E-2</v>
      </c>
      <c r="N368" s="140">
        <f t="shared" si="607"/>
        <v>-902.39687999999978</v>
      </c>
      <c r="U368" s="142">
        <f t="shared" si="610"/>
        <v>-1033.1999999999998</v>
      </c>
      <c r="V368" s="142">
        <f t="shared" si="610"/>
        <v>0</v>
      </c>
      <c r="W368" s="142">
        <f t="shared" si="610"/>
        <v>-103.32000000000005</v>
      </c>
      <c r="X368" s="142">
        <f t="shared" si="610"/>
        <v>-27.483120000000014</v>
      </c>
      <c r="Y368" s="142">
        <f t="shared" si="609"/>
        <v>-902.39687999999978</v>
      </c>
    </row>
    <row r="369" spans="1:25" ht="15" hidden="1" x14ac:dyDescent="0.25">
      <c r="A369">
        <v>5</v>
      </c>
      <c r="B369">
        <v>2020</v>
      </c>
      <c r="C369">
        <v>2020</v>
      </c>
      <c r="D369" t="s">
        <v>324</v>
      </c>
      <c r="E369" t="s">
        <v>65</v>
      </c>
      <c r="F369" s="143" t="s">
        <v>15</v>
      </c>
      <c r="G369" s="140">
        <v>0</v>
      </c>
      <c r="H369" s="140">
        <v>0</v>
      </c>
      <c r="I369" s="140">
        <v>0</v>
      </c>
      <c r="J369" s="140">
        <v>0</v>
      </c>
      <c r="K369" s="141" t="e">
        <f t="shared" si="611"/>
        <v>#DIV/0!</v>
      </c>
      <c r="L369" s="141" t="e">
        <f t="shared" ref="L369:L432" si="612">I369/G369</f>
        <v>#DIV/0!</v>
      </c>
      <c r="M369" s="141" t="e">
        <f t="shared" ref="M369:M432" si="613">J369/G369</f>
        <v>#DIV/0!</v>
      </c>
      <c r="N369" s="140">
        <f t="shared" ref="N369:N432" si="614">G369-H369-I369-J369</f>
        <v>0</v>
      </c>
      <c r="U369" s="142">
        <f t="shared" si="610"/>
        <v>0</v>
      </c>
      <c r="V369" s="142">
        <f t="shared" si="610"/>
        <v>0</v>
      </c>
      <c r="W369" s="142">
        <f t="shared" si="610"/>
        <v>0</v>
      </c>
      <c r="X369" s="142">
        <f t="shared" si="610"/>
        <v>0</v>
      </c>
      <c r="Y369" s="142">
        <f t="shared" ref="Y369:Y432" si="615">N369-S369</f>
        <v>0</v>
      </c>
    </row>
    <row r="370" spans="1:25" ht="15" hidden="1" x14ac:dyDescent="0.25">
      <c r="A370">
        <v>5</v>
      </c>
      <c r="B370">
        <v>2020</v>
      </c>
      <c r="C370">
        <v>2020</v>
      </c>
      <c r="D370" t="s">
        <v>324</v>
      </c>
      <c r="E370" t="s">
        <v>325</v>
      </c>
      <c r="F370" t="s">
        <v>14</v>
      </c>
      <c r="G370" s="140">
        <v>88719.33</v>
      </c>
      <c r="H370" s="140">
        <v>9343.8700000000008</v>
      </c>
      <c r="I370" s="140">
        <v>8871.93</v>
      </c>
      <c r="J370" s="140">
        <v>2254.88</v>
      </c>
      <c r="K370" s="141">
        <f t="shared" si="611"/>
        <v>0.10531943827799421</v>
      </c>
      <c r="L370" s="141">
        <f t="shared" si="612"/>
        <v>9.9999966185497571E-2</v>
      </c>
      <c r="M370" s="141">
        <f t="shared" si="613"/>
        <v>2.5415881747528977E-2</v>
      </c>
      <c r="N370" s="140">
        <f t="shared" si="614"/>
        <v>68248.649999999994</v>
      </c>
      <c r="U370" s="142">
        <f t="shared" si="610"/>
        <v>88719.33</v>
      </c>
      <c r="V370" s="142">
        <f t="shared" si="610"/>
        <v>9343.8700000000008</v>
      </c>
      <c r="W370" s="142">
        <f t="shared" si="610"/>
        <v>8871.93</v>
      </c>
      <c r="X370" s="142">
        <f t="shared" si="610"/>
        <v>2254.88</v>
      </c>
      <c r="Y370" s="142">
        <f t="shared" si="615"/>
        <v>68248.649999999994</v>
      </c>
    </row>
    <row r="371" spans="1:25" ht="15" hidden="1" x14ac:dyDescent="0.25">
      <c r="A371">
        <v>6</v>
      </c>
      <c r="B371">
        <v>2020</v>
      </c>
      <c r="C371">
        <v>2020</v>
      </c>
      <c r="D371" t="s">
        <v>324</v>
      </c>
      <c r="E371" t="s">
        <v>65</v>
      </c>
      <c r="F371" s="143" t="s">
        <v>15</v>
      </c>
      <c r="G371" s="140">
        <v>1336.3600000000001</v>
      </c>
      <c r="H371" s="140">
        <v>7646.59</v>
      </c>
      <c r="I371" s="140">
        <v>133.63999999999999</v>
      </c>
      <c r="J371" s="140">
        <v>0</v>
      </c>
      <c r="K371" s="141">
        <f t="shared" si="611"/>
        <v>5.7219536651800409</v>
      </c>
      <c r="L371" s="141">
        <f t="shared" si="612"/>
        <v>0.10000299320542366</v>
      </c>
      <c r="M371" s="141">
        <f t="shared" si="613"/>
        <v>0</v>
      </c>
      <c r="N371" s="140">
        <f t="shared" si="614"/>
        <v>-6443.87</v>
      </c>
      <c r="U371" s="142">
        <f t="shared" si="610"/>
        <v>1336.3600000000001</v>
      </c>
      <c r="V371" s="142">
        <f t="shared" si="610"/>
        <v>7646.59</v>
      </c>
      <c r="W371" s="142">
        <f t="shared" si="610"/>
        <v>133.63999999999999</v>
      </c>
      <c r="X371" s="142">
        <f t="shared" si="610"/>
        <v>0</v>
      </c>
      <c r="Y371" s="142">
        <f t="shared" si="615"/>
        <v>-6443.87</v>
      </c>
    </row>
    <row r="372" spans="1:25" ht="15" hidden="1" x14ac:dyDescent="0.25">
      <c r="A372">
        <v>6</v>
      </c>
      <c r="B372">
        <v>2020</v>
      </c>
      <c r="C372">
        <v>2020</v>
      </c>
      <c r="D372" t="s">
        <v>324</v>
      </c>
      <c r="E372" t="s">
        <v>325</v>
      </c>
      <c r="F372" t="s">
        <v>14</v>
      </c>
      <c r="G372" s="140">
        <v>103840.84</v>
      </c>
      <c r="H372" s="140">
        <v>19072.71</v>
      </c>
      <c r="I372" s="140">
        <v>10384.09</v>
      </c>
      <c r="J372" s="140">
        <v>1702.1299999999999</v>
      </c>
      <c r="K372" s="141">
        <f t="shared" si="611"/>
        <v>0.18367253192481878</v>
      </c>
      <c r="L372" s="141">
        <f t="shared" si="612"/>
        <v>0.10000005778073444</v>
      </c>
      <c r="M372" s="141">
        <f t="shared" si="613"/>
        <v>1.6391720251877778E-2</v>
      </c>
      <c r="N372" s="140">
        <f t="shared" si="614"/>
        <v>72681.91</v>
      </c>
      <c r="U372" s="142">
        <f t="shared" si="610"/>
        <v>103840.84</v>
      </c>
      <c r="V372" s="142">
        <f t="shared" si="610"/>
        <v>19072.71</v>
      </c>
      <c r="W372" s="142">
        <f t="shared" si="610"/>
        <v>10384.09</v>
      </c>
      <c r="X372" s="142">
        <f t="shared" si="610"/>
        <v>1702.1299999999999</v>
      </c>
      <c r="Y372" s="142">
        <f t="shared" si="615"/>
        <v>72681.91</v>
      </c>
    </row>
    <row r="373" spans="1:25" ht="15" hidden="1" x14ac:dyDescent="0.25">
      <c r="A373">
        <v>7</v>
      </c>
      <c r="B373">
        <v>2020</v>
      </c>
      <c r="C373">
        <v>2020</v>
      </c>
      <c r="D373" t="s">
        <v>324</v>
      </c>
      <c r="E373" t="s">
        <v>65</v>
      </c>
      <c r="F373" s="143" t="s">
        <v>15</v>
      </c>
      <c r="G373" s="140">
        <v>0</v>
      </c>
      <c r="H373" s="140">
        <v>0</v>
      </c>
      <c r="I373" s="140">
        <v>0</v>
      </c>
      <c r="J373" s="140">
        <v>0</v>
      </c>
      <c r="K373" s="141" t="e">
        <f t="shared" si="611"/>
        <v>#DIV/0!</v>
      </c>
      <c r="L373" s="141" t="e">
        <f t="shared" si="612"/>
        <v>#DIV/0!</v>
      </c>
      <c r="M373" s="141" t="e">
        <f t="shared" si="613"/>
        <v>#DIV/0!</v>
      </c>
      <c r="N373" s="140">
        <f t="shared" si="614"/>
        <v>0</v>
      </c>
      <c r="U373" s="142">
        <f t="shared" si="610"/>
        <v>0</v>
      </c>
      <c r="V373" s="142">
        <f t="shared" si="610"/>
        <v>0</v>
      </c>
      <c r="W373" s="142">
        <f t="shared" si="610"/>
        <v>0</v>
      </c>
      <c r="X373" s="142">
        <f t="shared" si="610"/>
        <v>0</v>
      </c>
      <c r="Y373" s="142">
        <f t="shared" si="615"/>
        <v>0</v>
      </c>
    </row>
    <row r="374" spans="1:25" ht="15" hidden="1" x14ac:dyDescent="0.25">
      <c r="A374">
        <v>7</v>
      </c>
      <c r="B374">
        <v>2020</v>
      </c>
      <c r="C374">
        <v>2020</v>
      </c>
      <c r="D374" t="s">
        <v>324</v>
      </c>
      <c r="E374" t="s">
        <v>325</v>
      </c>
      <c r="F374" t="s">
        <v>14</v>
      </c>
      <c r="G374" s="140">
        <v>85.25</v>
      </c>
      <c r="H374" s="140">
        <v>17.05</v>
      </c>
      <c r="I374" s="140">
        <v>8.5299999999999994</v>
      </c>
      <c r="J374" s="140">
        <v>1.43</v>
      </c>
      <c r="K374" s="141">
        <f t="shared" si="611"/>
        <v>0.2</v>
      </c>
      <c r="L374" s="141">
        <f t="shared" si="612"/>
        <v>0.10005865102639296</v>
      </c>
      <c r="M374" s="141">
        <f t="shared" si="613"/>
        <v>1.6774193548387096E-2</v>
      </c>
      <c r="N374" s="140">
        <f t="shared" si="614"/>
        <v>58.24</v>
      </c>
      <c r="U374" s="142">
        <f t="shared" si="610"/>
        <v>85.25</v>
      </c>
      <c r="V374" s="142">
        <f t="shared" si="610"/>
        <v>17.05</v>
      </c>
      <c r="W374" s="142">
        <f t="shared" si="610"/>
        <v>8.5299999999999994</v>
      </c>
      <c r="X374" s="142">
        <f t="shared" si="610"/>
        <v>1.43</v>
      </c>
      <c r="Y374" s="142">
        <f t="shared" si="615"/>
        <v>58.24</v>
      </c>
    </row>
    <row r="375" spans="1:25" ht="15" hidden="1" x14ac:dyDescent="0.25">
      <c r="A375">
        <v>8</v>
      </c>
      <c r="B375">
        <v>2020</v>
      </c>
      <c r="C375">
        <v>2020</v>
      </c>
      <c r="D375" t="s">
        <v>324</v>
      </c>
      <c r="E375" t="s">
        <v>65</v>
      </c>
      <c r="F375" s="143" t="s">
        <v>15</v>
      </c>
      <c r="G375" s="140">
        <v>-100.22999999999999</v>
      </c>
      <c r="H375" s="140">
        <v>0</v>
      </c>
      <c r="I375" s="140">
        <v>-10.023</v>
      </c>
      <c r="J375" s="140">
        <v>0</v>
      </c>
      <c r="K375" s="141">
        <f t="shared" si="611"/>
        <v>0</v>
      </c>
      <c r="L375" s="141">
        <f t="shared" si="612"/>
        <v>0.1</v>
      </c>
      <c r="M375" s="141">
        <f t="shared" si="613"/>
        <v>0</v>
      </c>
      <c r="N375" s="140">
        <f t="shared" si="614"/>
        <v>-90.206999999999994</v>
      </c>
      <c r="U375" s="142">
        <f t="shared" si="610"/>
        <v>-100.22999999999999</v>
      </c>
      <c r="V375" s="142">
        <f t="shared" si="610"/>
        <v>0</v>
      </c>
      <c r="W375" s="142">
        <f t="shared" si="610"/>
        <v>-10.023</v>
      </c>
      <c r="X375" s="142">
        <f t="shared" si="610"/>
        <v>0</v>
      </c>
      <c r="Y375" s="142">
        <f t="shared" si="615"/>
        <v>-90.206999999999994</v>
      </c>
    </row>
    <row r="376" spans="1:25" ht="15" hidden="1" x14ac:dyDescent="0.25">
      <c r="A376">
        <v>8</v>
      </c>
      <c r="B376">
        <v>2020</v>
      </c>
      <c r="C376">
        <v>2020</v>
      </c>
      <c r="D376" t="s">
        <v>324</v>
      </c>
      <c r="E376" t="s">
        <v>325</v>
      </c>
      <c r="F376" t="s">
        <v>14</v>
      </c>
      <c r="G376" s="140">
        <v>19784.34</v>
      </c>
      <c r="H376" s="140">
        <v>3058.2370000000001</v>
      </c>
      <c r="I376" s="140">
        <v>1978.4340000000002</v>
      </c>
      <c r="J376" s="140">
        <v>677.18999999999994</v>
      </c>
      <c r="K376" s="141">
        <f t="shared" si="611"/>
        <v>0.15457867181821583</v>
      </c>
      <c r="L376" s="141">
        <f t="shared" si="612"/>
        <v>0.1</v>
      </c>
      <c r="M376" s="141">
        <f t="shared" si="613"/>
        <v>3.4228586852025386E-2</v>
      </c>
      <c r="N376" s="140">
        <f t="shared" si="614"/>
        <v>14070.478999999998</v>
      </c>
      <c r="U376" s="142">
        <f t="shared" si="610"/>
        <v>19784.34</v>
      </c>
      <c r="V376" s="142">
        <f t="shared" si="610"/>
        <v>3058.2370000000001</v>
      </c>
      <c r="W376" s="142">
        <f t="shared" si="610"/>
        <v>1978.4340000000002</v>
      </c>
      <c r="X376" s="142">
        <f t="shared" si="610"/>
        <v>677.18999999999994</v>
      </c>
      <c r="Y376" s="142">
        <f t="shared" si="615"/>
        <v>14070.478999999998</v>
      </c>
    </row>
    <row r="377" spans="1:25" ht="15" hidden="1" x14ac:dyDescent="0.25">
      <c r="A377">
        <v>9</v>
      </c>
      <c r="B377">
        <v>2020</v>
      </c>
      <c r="C377">
        <v>2020</v>
      </c>
      <c r="D377" t="s">
        <v>324</v>
      </c>
      <c r="E377" t="s">
        <v>65</v>
      </c>
      <c r="F377" s="143" t="s">
        <v>15</v>
      </c>
      <c r="G377" s="140">
        <v>0</v>
      </c>
      <c r="H377" s="140">
        <v>0</v>
      </c>
      <c r="I377" s="140">
        <v>0</v>
      </c>
      <c r="J377" s="140">
        <v>0</v>
      </c>
      <c r="K377" s="141" t="e">
        <f t="shared" si="611"/>
        <v>#DIV/0!</v>
      </c>
      <c r="L377" s="141" t="e">
        <f t="shared" si="612"/>
        <v>#DIV/0!</v>
      </c>
      <c r="M377" s="141" t="e">
        <f t="shared" si="613"/>
        <v>#DIV/0!</v>
      </c>
      <c r="N377" s="140">
        <f t="shared" si="614"/>
        <v>0</v>
      </c>
      <c r="U377" s="142">
        <f t="shared" si="610"/>
        <v>0</v>
      </c>
      <c r="V377" s="142">
        <f t="shared" si="610"/>
        <v>0</v>
      </c>
      <c r="W377" s="142">
        <f t="shared" si="610"/>
        <v>0</v>
      </c>
      <c r="X377" s="142">
        <f t="shared" si="610"/>
        <v>0</v>
      </c>
      <c r="Y377" s="142">
        <f t="shared" si="615"/>
        <v>0</v>
      </c>
    </row>
    <row r="378" spans="1:25" ht="15" hidden="1" x14ac:dyDescent="0.25">
      <c r="A378">
        <v>9</v>
      </c>
      <c r="B378">
        <v>2020</v>
      </c>
      <c r="C378">
        <v>2020</v>
      </c>
      <c r="D378" t="s">
        <v>324</v>
      </c>
      <c r="E378" t="s">
        <v>325</v>
      </c>
      <c r="F378" t="s">
        <v>14</v>
      </c>
      <c r="G378" s="140">
        <v>11280</v>
      </c>
      <c r="H378" s="140">
        <v>3588.72300094</v>
      </c>
      <c r="I378" s="140">
        <v>1128</v>
      </c>
      <c r="J378" s="140">
        <v>308.87</v>
      </c>
      <c r="K378" s="141">
        <f t="shared" si="611"/>
        <v>0.31814920221099291</v>
      </c>
      <c r="L378" s="141">
        <f t="shared" si="612"/>
        <v>0.1</v>
      </c>
      <c r="M378" s="141">
        <f t="shared" si="613"/>
        <v>2.7382092198581561E-2</v>
      </c>
      <c r="N378" s="140">
        <f t="shared" si="614"/>
        <v>6254.4069990600001</v>
      </c>
      <c r="U378" s="142">
        <f t="shared" si="610"/>
        <v>11280</v>
      </c>
      <c r="V378" s="142">
        <f t="shared" si="610"/>
        <v>3588.72300094</v>
      </c>
      <c r="W378" s="142">
        <f t="shared" si="610"/>
        <v>1128</v>
      </c>
      <c r="X378" s="142">
        <f t="shared" si="610"/>
        <v>308.87</v>
      </c>
      <c r="Y378" s="142">
        <f t="shared" si="615"/>
        <v>6254.4069990600001</v>
      </c>
    </row>
    <row r="379" spans="1:25" ht="15" hidden="1" x14ac:dyDescent="0.25">
      <c r="A379">
        <v>10</v>
      </c>
      <c r="B379">
        <v>2020</v>
      </c>
      <c r="C379">
        <v>2020</v>
      </c>
      <c r="D379" t="s">
        <v>324</v>
      </c>
      <c r="E379" t="s">
        <v>65</v>
      </c>
      <c r="F379" s="143" t="s">
        <v>15</v>
      </c>
      <c r="G379" s="140">
        <v>400</v>
      </c>
      <c r="H379" s="140">
        <v>100</v>
      </c>
      <c r="I379" s="140">
        <v>40</v>
      </c>
      <c r="J379" s="140">
        <v>0</v>
      </c>
      <c r="K379" s="141">
        <f t="shared" si="611"/>
        <v>0.25</v>
      </c>
      <c r="L379" s="141">
        <f t="shared" si="612"/>
        <v>0.1</v>
      </c>
      <c r="M379" s="141">
        <f t="shared" si="613"/>
        <v>0</v>
      </c>
      <c r="N379" s="140">
        <f t="shared" si="614"/>
        <v>260</v>
      </c>
      <c r="U379" s="142">
        <f t="shared" si="610"/>
        <v>400</v>
      </c>
      <c r="V379" s="142">
        <f t="shared" si="610"/>
        <v>100</v>
      </c>
      <c r="W379" s="142">
        <f t="shared" si="610"/>
        <v>40</v>
      </c>
      <c r="X379" s="142">
        <f t="shared" si="610"/>
        <v>0</v>
      </c>
      <c r="Y379" s="142">
        <f t="shared" si="615"/>
        <v>260</v>
      </c>
    </row>
    <row r="380" spans="1:25" ht="15" hidden="1" x14ac:dyDescent="0.25">
      <c r="A380">
        <v>10</v>
      </c>
      <c r="B380">
        <v>2020</v>
      </c>
      <c r="C380">
        <v>2020</v>
      </c>
      <c r="D380" t="s">
        <v>324</v>
      </c>
      <c r="E380" t="s">
        <v>325</v>
      </c>
      <c r="F380" t="s">
        <v>14</v>
      </c>
      <c r="G380" s="140">
        <v>180811.66</v>
      </c>
      <c r="H380" s="140">
        <v>39738.409999999996</v>
      </c>
      <c r="I380" s="140">
        <v>18081.165999999997</v>
      </c>
      <c r="J380" s="140">
        <v>6134</v>
      </c>
      <c r="K380" s="141">
        <f t="shared" si="611"/>
        <v>0.21977791697725685</v>
      </c>
      <c r="L380" s="141">
        <f t="shared" si="612"/>
        <v>9.9999999999999978E-2</v>
      </c>
      <c r="M380" s="141">
        <f t="shared" si="613"/>
        <v>3.3924803300849071E-2</v>
      </c>
      <c r="N380" s="140">
        <f t="shared" si="614"/>
        <v>116858.084</v>
      </c>
      <c r="U380" s="142">
        <f t="shared" si="610"/>
        <v>180811.66</v>
      </c>
      <c r="V380" s="142">
        <f t="shared" si="610"/>
        <v>39738.409999999996</v>
      </c>
      <c r="W380" s="142">
        <f t="shared" si="610"/>
        <v>18081.165999999997</v>
      </c>
      <c r="X380" s="142">
        <f t="shared" si="610"/>
        <v>6134</v>
      </c>
      <c r="Y380" s="142">
        <f t="shared" si="615"/>
        <v>116858.084</v>
      </c>
    </row>
    <row r="381" spans="1:25" ht="15" hidden="1" x14ac:dyDescent="0.25">
      <c r="A381">
        <v>11</v>
      </c>
      <c r="B381">
        <v>2020</v>
      </c>
      <c r="C381">
        <v>2020</v>
      </c>
      <c r="D381" t="s">
        <v>324</v>
      </c>
      <c r="E381" t="s">
        <v>65</v>
      </c>
      <c r="F381" s="143" t="s">
        <v>15</v>
      </c>
      <c r="G381" s="140">
        <v>0</v>
      </c>
      <c r="H381" s="140">
        <v>0</v>
      </c>
      <c r="I381" s="140">
        <v>0</v>
      </c>
      <c r="J381" s="140">
        <v>0</v>
      </c>
      <c r="K381" s="141" t="e">
        <f t="shared" si="611"/>
        <v>#DIV/0!</v>
      </c>
      <c r="L381" s="141" t="e">
        <f t="shared" si="612"/>
        <v>#DIV/0!</v>
      </c>
      <c r="M381" s="141" t="e">
        <f t="shared" si="613"/>
        <v>#DIV/0!</v>
      </c>
      <c r="N381" s="140">
        <f t="shared" si="614"/>
        <v>0</v>
      </c>
      <c r="U381" s="142">
        <f t="shared" si="610"/>
        <v>0</v>
      </c>
      <c r="V381" s="142">
        <f t="shared" si="610"/>
        <v>0</v>
      </c>
      <c r="W381" s="142">
        <f t="shared" si="610"/>
        <v>0</v>
      </c>
      <c r="X381" s="142">
        <f t="shared" si="610"/>
        <v>0</v>
      </c>
      <c r="Y381" s="142">
        <f t="shared" si="615"/>
        <v>0</v>
      </c>
    </row>
    <row r="382" spans="1:25" ht="15" hidden="1" x14ac:dyDescent="0.25">
      <c r="A382">
        <v>11</v>
      </c>
      <c r="B382">
        <v>2020</v>
      </c>
      <c r="C382">
        <v>2020</v>
      </c>
      <c r="D382" t="s">
        <v>324</v>
      </c>
      <c r="E382" t="s">
        <v>325</v>
      </c>
      <c r="F382" t="s">
        <v>14</v>
      </c>
      <c r="G382" s="140">
        <v>46592.160000000003</v>
      </c>
      <c r="H382" s="140">
        <v>6988.8240000000005</v>
      </c>
      <c r="I382" s="140">
        <v>4659.2160000000003</v>
      </c>
      <c r="J382" s="140">
        <v>465.92</v>
      </c>
      <c r="K382" s="141">
        <f t="shared" si="611"/>
        <v>0.15</v>
      </c>
      <c r="L382" s="141">
        <f t="shared" si="612"/>
        <v>0.1</v>
      </c>
      <c r="M382" s="141">
        <f t="shared" si="613"/>
        <v>9.9999656594585862E-3</v>
      </c>
      <c r="N382" s="140">
        <f t="shared" si="614"/>
        <v>34478.200000000004</v>
      </c>
      <c r="U382" s="142">
        <f t="shared" si="610"/>
        <v>46592.160000000003</v>
      </c>
      <c r="V382" s="142">
        <f t="shared" si="610"/>
        <v>6988.8240000000005</v>
      </c>
      <c r="W382" s="142">
        <f t="shared" si="610"/>
        <v>4659.2160000000003</v>
      </c>
      <c r="X382" s="142">
        <f t="shared" si="610"/>
        <v>465.92</v>
      </c>
      <c r="Y382" s="142">
        <f t="shared" si="615"/>
        <v>34478.200000000004</v>
      </c>
    </row>
    <row r="383" spans="1:25" ht="15" hidden="1" x14ac:dyDescent="0.25">
      <c r="A383">
        <v>12</v>
      </c>
      <c r="B383">
        <v>2020</v>
      </c>
      <c r="C383">
        <v>2020</v>
      </c>
      <c r="D383" t="s">
        <v>324</v>
      </c>
      <c r="E383" t="s">
        <v>65</v>
      </c>
      <c r="F383" s="143" t="s">
        <v>15</v>
      </c>
      <c r="G383" s="140">
        <v>4273.97</v>
      </c>
      <c r="H383" s="140">
        <v>961.64325000000008</v>
      </c>
      <c r="I383" s="140">
        <v>427.39700000000005</v>
      </c>
      <c r="J383" s="140">
        <v>0</v>
      </c>
      <c r="K383" s="141">
        <f t="shared" si="611"/>
        <v>0.22500000000000001</v>
      </c>
      <c r="L383" s="141">
        <f t="shared" si="612"/>
        <v>0.1</v>
      </c>
      <c r="M383" s="141">
        <f t="shared" si="613"/>
        <v>0</v>
      </c>
      <c r="N383" s="140">
        <f t="shared" si="614"/>
        <v>2884.9297500000002</v>
      </c>
      <c r="U383" s="142">
        <f t="shared" si="610"/>
        <v>4273.97</v>
      </c>
      <c r="V383" s="142">
        <f t="shared" si="610"/>
        <v>961.64325000000008</v>
      </c>
      <c r="W383" s="142">
        <f t="shared" si="610"/>
        <v>427.39700000000005</v>
      </c>
      <c r="X383" s="142">
        <f t="shared" si="610"/>
        <v>0</v>
      </c>
      <c r="Y383" s="142">
        <f t="shared" si="615"/>
        <v>2884.9297500000002</v>
      </c>
    </row>
    <row r="384" spans="1:25" ht="15" hidden="1" x14ac:dyDescent="0.25">
      <c r="A384">
        <v>12</v>
      </c>
      <c r="B384">
        <v>2020</v>
      </c>
      <c r="C384">
        <v>2020</v>
      </c>
      <c r="D384" t="s">
        <v>324</v>
      </c>
      <c r="E384" t="s">
        <v>325</v>
      </c>
      <c r="F384" t="s">
        <v>14</v>
      </c>
      <c r="G384" s="140">
        <v>-921.76</v>
      </c>
      <c r="H384" s="140">
        <v>-230.44</v>
      </c>
      <c r="I384" s="140">
        <v>-92.176000000000002</v>
      </c>
      <c r="J384" s="140">
        <v>-32.26</v>
      </c>
      <c r="K384" s="141">
        <f t="shared" si="611"/>
        <v>0.25</v>
      </c>
      <c r="L384" s="141">
        <f t="shared" si="612"/>
        <v>0.1</v>
      </c>
      <c r="M384" s="141">
        <f t="shared" si="613"/>
        <v>3.4998264190244745E-2</v>
      </c>
      <c r="N384" s="140">
        <f t="shared" si="614"/>
        <v>-566.8839999999999</v>
      </c>
      <c r="U384" s="142">
        <f t="shared" si="610"/>
        <v>-921.76</v>
      </c>
      <c r="V384" s="142">
        <f t="shared" si="610"/>
        <v>-230.44</v>
      </c>
      <c r="W384" s="142">
        <f t="shared" si="610"/>
        <v>-92.176000000000002</v>
      </c>
      <c r="X384" s="142">
        <f t="shared" si="610"/>
        <v>-32.26</v>
      </c>
      <c r="Y384" s="142">
        <f t="shared" si="615"/>
        <v>-566.8839999999999</v>
      </c>
    </row>
    <row r="385" spans="1:25" ht="15" hidden="1" x14ac:dyDescent="0.25">
      <c r="A385">
        <v>1</v>
      </c>
      <c r="B385">
        <v>2021</v>
      </c>
      <c r="C385">
        <v>2020</v>
      </c>
      <c r="D385" t="s">
        <v>324</v>
      </c>
      <c r="E385" t="s">
        <v>65</v>
      </c>
      <c r="F385" s="143" t="s">
        <v>15</v>
      </c>
      <c r="G385" s="140">
        <v>-9279.3399999999983</v>
      </c>
      <c r="H385" s="140">
        <v>-4175.7389999999996</v>
      </c>
      <c r="I385" s="140">
        <v>-927.93399999999997</v>
      </c>
      <c r="J385" s="140">
        <v>-92.79</v>
      </c>
      <c r="K385" s="141">
        <f t="shared" si="611"/>
        <v>0.4500038795862637</v>
      </c>
      <c r="L385" s="141">
        <f t="shared" si="612"/>
        <v>0.10000000000000002</v>
      </c>
      <c r="M385" s="141">
        <f t="shared" si="613"/>
        <v>9.9996335946306546E-3</v>
      </c>
      <c r="N385" s="140">
        <f t="shared" si="614"/>
        <v>-4082.8769999999986</v>
      </c>
      <c r="U385" s="142">
        <f t="shared" si="610"/>
        <v>-9279.3399999999983</v>
      </c>
      <c r="V385" s="142">
        <f t="shared" si="610"/>
        <v>-4175.7389999999996</v>
      </c>
      <c r="W385" s="142">
        <f t="shared" si="610"/>
        <v>-927.93399999999997</v>
      </c>
      <c r="X385" s="142">
        <f t="shared" si="610"/>
        <v>-92.79</v>
      </c>
      <c r="Y385" s="142">
        <f t="shared" si="615"/>
        <v>-4082.8769999999986</v>
      </c>
    </row>
    <row r="386" spans="1:25" ht="15" hidden="1" x14ac:dyDescent="0.25">
      <c r="A386">
        <v>1</v>
      </c>
      <c r="B386">
        <v>2021</v>
      </c>
      <c r="C386">
        <v>2020</v>
      </c>
      <c r="D386" t="s">
        <v>324</v>
      </c>
      <c r="E386" t="s">
        <v>325</v>
      </c>
      <c r="F386" t="s">
        <v>14</v>
      </c>
      <c r="G386" s="140">
        <v>0</v>
      </c>
      <c r="H386" s="140">
        <v>0</v>
      </c>
      <c r="I386" s="140">
        <v>0</v>
      </c>
      <c r="J386" s="140">
        <v>0</v>
      </c>
      <c r="K386" s="141" t="e">
        <f t="shared" si="611"/>
        <v>#DIV/0!</v>
      </c>
      <c r="L386" s="141" t="e">
        <f t="shared" si="612"/>
        <v>#DIV/0!</v>
      </c>
      <c r="M386" s="141" t="e">
        <f t="shared" si="613"/>
        <v>#DIV/0!</v>
      </c>
      <c r="N386" s="140">
        <f t="shared" si="614"/>
        <v>0</v>
      </c>
      <c r="U386" s="142">
        <f t="shared" si="610"/>
        <v>0</v>
      </c>
      <c r="V386" s="142">
        <f t="shared" si="610"/>
        <v>0</v>
      </c>
      <c r="W386" s="142">
        <f t="shared" si="610"/>
        <v>0</v>
      </c>
      <c r="X386" s="142">
        <f t="shared" si="610"/>
        <v>0</v>
      </c>
      <c r="Y386" s="142">
        <f t="shared" si="615"/>
        <v>0</v>
      </c>
    </row>
    <row r="387" spans="1:25" ht="15" hidden="1" x14ac:dyDescent="0.25">
      <c r="A387">
        <v>2</v>
      </c>
      <c r="B387">
        <v>2021</v>
      </c>
      <c r="C387">
        <v>2020</v>
      </c>
      <c r="D387" t="s">
        <v>324</v>
      </c>
      <c r="E387" t="s">
        <v>65</v>
      </c>
      <c r="F387" s="143" t="s">
        <v>15</v>
      </c>
      <c r="G387" s="140">
        <v>0</v>
      </c>
      <c r="H387" s="140">
        <v>0</v>
      </c>
      <c r="I387" s="140">
        <v>0</v>
      </c>
      <c r="J387" s="140">
        <v>0</v>
      </c>
      <c r="K387" s="141" t="e">
        <f t="shared" si="611"/>
        <v>#DIV/0!</v>
      </c>
      <c r="L387" s="141" t="e">
        <f t="shared" si="612"/>
        <v>#DIV/0!</v>
      </c>
      <c r="M387" s="141" t="e">
        <f t="shared" si="613"/>
        <v>#DIV/0!</v>
      </c>
      <c r="N387" s="140">
        <f t="shared" si="614"/>
        <v>0</v>
      </c>
      <c r="U387" s="142">
        <f t="shared" si="610"/>
        <v>0</v>
      </c>
      <c r="V387" s="142">
        <f t="shared" si="610"/>
        <v>0</v>
      </c>
      <c r="W387" s="142">
        <f t="shared" si="610"/>
        <v>0</v>
      </c>
      <c r="X387" s="142">
        <f t="shared" si="610"/>
        <v>0</v>
      </c>
      <c r="Y387" s="142">
        <f t="shared" si="615"/>
        <v>0</v>
      </c>
    </row>
    <row r="388" spans="1:25" ht="15" hidden="1" x14ac:dyDescent="0.25">
      <c r="A388">
        <v>2</v>
      </c>
      <c r="B388">
        <v>2021</v>
      </c>
      <c r="C388">
        <v>2020</v>
      </c>
      <c r="D388" t="s">
        <v>324</v>
      </c>
      <c r="E388" t="s">
        <v>325</v>
      </c>
      <c r="F388" t="s">
        <v>14</v>
      </c>
      <c r="G388" s="140">
        <v>0</v>
      </c>
      <c r="H388" s="140">
        <v>0</v>
      </c>
      <c r="I388" s="140">
        <v>0</v>
      </c>
      <c r="J388" s="140">
        <v>0</v>
      </c>
      <c r="K388" s="141" t="e">
        <f t="shared" si="611"/>
        <v>#DIV/0!</v>
      </c>
      <c r="L388" s="141" t="e">
        <f t="shared" si="612"/>
        <v>#DIV/0!</v>
      </c>
      <c r="M388" s="141" t="e">
        <f t="shared" si="613"/>
        <v>#DIV/0!</v>
      </c>
      <c r="N388" s="140">
        <f t="shared" si="614"/>
        <v>0</v>
      </c>
      <c r="U388" s="142">
        <f t="shared" si="610"/>
        <v>0</v>
      </c>
      <c r="V388" s="142">
        <f t="shared" si="610"/>
        <v>0</v>
      </c>
      <c r="W388" s="142">
        <f t="shared" si="610"/>
        <v>0</v>
      </c>
      <c r="X388" s="142">
        <f t="shared" si="610"/>
        <v>0</v>
      </c>
      <c r="Y388" s="142">
        <f t="shared" si="615"/>
        <v>0</v>
      </c>
    </row>
    <row r="389" spans="1:25" ht="15" hidden="1" x14ac:dyDescent="0.25">
      <c r="A389">
        <v>3</v>
      </c>
      <c r="B389">
        <v>2021</v>
      </c>
      <c r="C389">
        <v>2020</v>
      </c>
      <c r="D389" t="s">
        <v>324</v>
      </c>
      <c r="E389" t="s">
        <v>65</v>
      </c>
      <c r="F389" s="143" t="s">
        <v>15</v>
      </c>
      <c r="G389" s="140">
        <v>0</v>
      </c>
      <c r="H389" s="140">
        <v>0</v>
      </c>
      <c r="I389" s="140">
        <v>0</v>
      </c>
      <c r="J389" s="140">
        <v>0</v>
      </c>
      <c r="K389" s="141" t="e">
        <f t="shared" si="611"/>
        <v>#DIV/0!</v>
      </c>
      <c r="L389" s="141" t="e">
        <f t="shared" si="612"/>
        <v>#DIV/0!</v>
      </c>
      <c r="M389" s="141" t="e">
        <f t="shared" si="613"/>
        <v>#DIV/0!</v>
      </c>
      <c r="N389" s="140">
        <f t="shared" si="614"/>
        <v>0</v>
      </c>
      <c r="U389" s="142">
        <f t="shared" si="610"/>
        <v>0</v>
      </c>
      <c r="V389" s="142">
        <f t="shared" si="610"/>
        <v>0</v>
      </c>
      <c r="W389" s="142">
        <f t="shared" si="610"/>
        <v>0</v>
      </c>
      <c r="X389" s="142">
        <f t="shared" si="610"/>
        <v>0</v>
      </c>
      <c r="Y389" s="142">
        <f t="shared" si="615"/>
        <v>0</v>
      </c>
    </row>
    <row r="390" spans="1:25" ht="15" hidden="1" x14ac:dyDescent="0.25">
      <c r="A390">
        <v>3</v>
      </c>
      <c r="B390">
        <v>2021</v>
      </c>
      <c r="C390">
        <v>2020</v>
      </c>
      <c r="D390" t="s">
        <v>324</v>
      </c>
      <c r="E390" t="s">
        <v>325</v>
      </c>
      <c r="F390" t="s">
        <v>14</v>
      </c>
      <c r="G390" s="140">
        <v>0</v>
      </c>
      <c r="H390" s="140">
        <v>0</v>
      </c>
      <c r="I390" s="140">
        <v>0</v>
      </c>
      <c r="J390" s="140">
        <v>0</v>
      </c>
      <c r="K390" s="141" t="e">
        <f t="shared" si="611"/>
        <v>#DIV/0!</v>
      </c>
      <c r="L390" s="141" t="e">
        <f t="shared" si="612"/>
        <v>#DIV/0!</v>
      </c>
      <c r="M390" s="141" t="e">
        <f t="shared" si="613"/>
        <v>#DIV/0!</v>
      </c>
      <c r="N390" s="140">
        <f t="shared" si="614"/>
        <v>0</v>
      </c>
      <c r="U390" s="142">
        <f t="shared" si="610"/>
        <v>0</v>
      </c>
      <c r="V390" s="142">
        <f t="shared" si="610"/>
        <v>0</v>
      </c>
      <c r="W390" s="142">
        <f t="shared" si="610"/>
        <v>0</v>
      </c>
      <c r="X390" s="142">
        <f t="shared" si="610"/>
        <v>0</v>
      </c>
      <c r="Y390" s="142">
        <f t="shared" si="615"/>
        <v>0</v>
      </c>
    </row>
    <row r="391" spans="1:25" ht="15" hidden="1" x14ac:dyDescent="0.25">
      <c r="A391">
        <v>4</v>
      </c>
      <c r="B391">
        <v>2021</v>
      </c>
      <c r="C391">
        <v>2020</v>
      </c>
      <c r="D391" t="s">
        <v>324</v>
      </c>
      <c r="E391" t="s">
        <v>65</v>
      </c>
      <c r="F391" s="143" t="s">
        <v>15</v>
      </c>
      <c r="G391" s="140">
        <v>0</v>
      </c>
      <c r="H391" s="140">
        <v>0</v>
      </c>
      <c r="I391" s="140">
        <v>0</v>
      </c>
      <c r="J391" s="140">
        <v>0</v>
      </c>
      <c r="K391" s="141" t="e">
        <f t="shared" si="611"/>
        <v>#DIV/0!</v>
      </c>
      <c r="L391" s="141" t="e">
        <f t="shared" si="612"/>
        <v>#DIV/0!</v>
      </c>
      <c r="M391" s="141" t="e">
        <f t="shared" si="613"/>
        <v>#DIV/0!</v>
      </c>
      <c r="N391" s="140">
        <f t="shared" si="614"/>
        <v>0</v>
      </c>
      <c r="U391" s="142">
        <f t="shared" si="610"/>
        <v>0</v>
      </c>
      <c r="V391" s="142">
        <f t="shared" si="610"/>
        <v>0</v>
      </c>
      <c r="W391" s="142">
        <f t="shared" si="610"/>
        <v>0</v>
      </c>
      <c r="X391" s="142">
        <f t="shared" si="610"/>
        <v>0</v>
      </c>
      <c r="Y391" s="142">
        <f t="shared" si="615"/>
        <v>0</v>
      </c>
    </row>
    <row r="392" spans="1:25" ht="15" hidden="1" x14ac:dyDescent="0.25">
      <c r="A392">
        <v>4</v>
      </c>
      <c r="B392">
        <v>2021</v>
      </c>
      <c r="C392">
        <v>2020</v>
      </c>
      <c r="D392" t="s">
        <v>324</v>
      </c>
      <c r="E392" t="s">
        <v>325</v>
      </c>
      <c r="F392" t="s">
        <v>14</v>
      </c>
      <c r="G392" s="140">
        <v>-17875.169999999998</v>
      </c>
      <c r="H392" s="140">
        <v>0</v>
      </c>
      <c r="I392" s="140">
        <v>-1787.5169999999998</v>
      </c>
      <c r="J392" s="140">
        <v>0</v>
      </c>
      <c r="K392" s="141">
        <f t="shared" si="611"/>
        <v>0</v>
      </c>
      <c r="L392" s="141">
        <f t="shared" si="612"/>
        <v>0.1</v>
      </c>
      <c r="M392" s="141">
        <f t="shared" si="613"/>
        <v>0</v>
      </c>
      <c r="N392" s="140">
        <f t="shared" si="614"/>
        <v>-16087.652999999998</v>
      </c>
      <c r="U392" s="142">
        <f t="shared" si="610"/>
        <v>-17875.169999999998</v>
      </c>
      <c r="V392" s="142">
        <f t="shared" si="610"/>
        <v>0</v>
      </c>
      <c r="W392" s="142">
        <f t="shared" si="610"/>
        <v>-1787.5169999999998</v>
      </c>
      <c r="X392" s="142">
        <f t="shared" si="610"/>
        <v>0</v>
      </c>
      <c r="Y392" s="142">
        <f t="shared" si="615"/>
        <v>-16087.652999999998</v>
      </c>
    </row>
    <row r="393" spans="1:25" ht="15" hidden="1" x14ac:dyDescent="0.25">
      <c r="A393">
        <v>5</v>
      </c>
      <c r="B393">
        <v>2021</v>
      </c>
      <c r="C393">
        <v>2020</v>
      </c>
      <c r="D393" t="s">
        <v>324</v>
      </c>
      <c r="E393" t="s">
        <v>65</v>
      </c>
      <c r="F393" s="143" t="s">
        <v>15</v>
      </c>
      <c r="G393" s="140">
        <v>0</v>
      </c>
      <c r="H393" s="140">
        <v>0</v>
      </c>
      <c r="I393" s="140">
        <v>0</v>
      </c>
      <c r="J393" s="140">
        <v>0</v>
      </c>
      <c r="K393" s="141" t="e">
        <f t="shared" si="611"/>
        <v>#DIV/0!</v>
      </c>
      <c r="L393" s="141" t="e">
        <f t="shared" si="612"/>
        <v>#DIV/0!</v>
      </c>
      <c r="M393" s="141" t="e">
        <f t="shared" si="613"/>
        <v>#DIV/0!</v>
      </c>
      <c r="N393" s="140">
        <f t="shared" si="614"/>
        <v>0</v>
      </c>
      <c r="U393" s="142">
        <f t="shared" si="610"/>
        <v>0</v>
      </c>
      <c r="V393" s="142">
        <f t="shared" si="610"/>
        <v>0</v>
      </c>
      <c r="W393" s="142">
        <f t="shared" si="610"/>
        <v>0</v>
      </c>
      <c r="X393" s="142">
        <f t="shared" si="610"/>
        <v>0</v>
      </c>
      <c r="Y393" s="142">
        <f t="shared" si="615"/>
        <v>0</v>
      </c>
    </row>
    <row r="394" spans="1:25" ht="15" hidden="1" x14ac:dyDescent="0.25">
      <c r="A394">
        <v>5</v>
      </c>
      <c r="B394">
        <v>2021</v>
      </c>
      <c r="C394">
        <v>2020</v>
      </c>
      <c r="D394" t="s">
        <v>324</v>
      </c>
      <c r="E394" t="s">
        <v>325</v>
      </c>
      <c r="F394" t="s">
        <v>14</v>
      </c>
      <c r="G394" s="140">
        <v>0</v>
      </c>
      <c r="H394" s="140">
        <v>0</v>
      </c>
      <c r="I394" s="140">
        <v>0</v>
      </c>
      <c r="J394" s="140">
        <v>0</v>
      </c>
      <c r="K394" s="141" t="e">
        <f t="shared" si="611"/>
        <v>#DIV/0!</v>
      </c>
      <c r="L394" s="141" t="e">
        <f t="shared" si="612"/>
        <v>#DIV/0!</v>
      </c>
      <c r="M394" s="141" t="e">
        <f t="shared" si="613"/>
        <v>#DIV/0!</v>
      </c>
      <c r="N394" s="140">
        <f t="shared" si="614"/>
        <v>0</v>
      </c>
      <c r="U394" s="142">
        <f t="shared" si="610"/>
        <v>0</v>
      </c>
      <c r="V394" s="142">
        <f t="shared" si="610"/>
        <v>0</v>
      </c>
      <c r="W394" s="142">
        <f t="shared" si="610"/>
        <v>0</v>
      </c>
      <c r="X394" s="142">
        <f t="shared" si="610"/>
        <v>0</v>
      </c>
      <c r="Y394" s="142">
        <f t="shared" si="615"/>
        <v>0</v>
      </c>
    </row>
    <row r="395" spans="1:25" ht="15" hidden="1" x14ac:dyDescent="0.25">
      <c r="A395">
        <v>6</v>
      </c>
      <c r="B395">
        <v>2021</v>
      </c>
      <c r="C395">
        <v>2020</v>
      </c>
      <c r="D395" t="s">
        <v>324</v>
      </c>
      <c r="E395" t="s">
        <v>65</v>
      </c>
      <c r="F395" s="143" t="s">
        <v>15</v>
      </c>
      <c r="G395" s="140">
        <v>0</v>
      </c>
      <c r="H395" s="140">
        <v>0</v>
      </c>
      <c r="I395" s="140">
        <v>0</v>
      </c>
      <c r="J395" s="140">
        <v>0</v>
      </c>
      <c r="K395" s="141" t="e">
        <f t="shared" si="611"/>
        <v>#DIV/0!</v>
      </c>
      <c r="L395" s="141" t="e">
        <f t="shared" si="612"/>
        <v>#DIV/0!</v>
      </c>
      <c r="M395" s="141" t="e">
        <f t="shared" si="613"/>
        <v>#DIV/0!</v>
      </c>
      <c r="N395" s="140">
        <f t="shared" si="614"/>
        <v>0</v>
      </c>
      <c r="U395" s="142">
        <f t="shared" si="610"/>
        <v>0</v>
      </c>
      <c r="V395" s="142">
        <f t="shared" si="610"/>
        <v>0</v>
      </c>
      <c r="W395" s="142">
        <f t="shared" si="610"/>
        <v>0</v>
      </c>
      <c r="X395" s="142">
        <f t="shared" si="610"/>
        <v>0</v>
      </c>
      <c r="Y395" s="142">
        <f t="shared" si="615"/>
        <v>0</v>
      </c>
    </row>
    <row r="396" spans="1:25" ht="15" hidden="1" x14ac:dyDescent="0.25">
      <c r="A396">
        <v>6</v>
      </c>
      <c r="B396">
        <v>2021</v>
      </c>
      <c r="C396">
        <v>2020</v>
      </c>
      <c r="D396" t="s">
        <v>324</v>
      </c>
      <c r="E396" t="s">
        <v>325</v>
      </c>
      <c r="F396" t="s">
        <v>14</v>
      </c>
      <c r="G396" s="140">
        <v>0</v>
      </c>
      <c r="H396" s="140">
        <v>0</v>
      </c>
      <c r="I396" s="140">
        <v>0</v>
      </c>
      <c r="J396" s="140">
        <v>0</v>
      </c>
      <c r="K396" s="141" t="e">
        <f t="shared" si="611"/>
        <v>#DIV/0!</v>
      </c>
      <c r="L396" s="141" t="e">
        <f t="shared" si="612"/>
        <v>#DIV/0!</v>
      </c>
      <c r="M396" s="141" t="e">
        <f t="shared" si="613"/>
        <v>#DIV/0!</v>
      </c>
      <c r="N396" s="140">
        <f t="shared" si="614"/>
        <v>0</v>
      </c>
      <c r="U396" s="142">
        <f t="shared" si="610"/>
        <v>0</v>
      </c>
      <c r="V396" s="142">
        <f t="shared" si="610"/>
        <v>0</v>
      </c>
      <c r="W396" s="142">
        <f t="shared" si="610"/>
        <v>0</v>
      </c>
      <c r="X396" s="142">
        <f t="shared" si="610"/>
        <v>0</v>
      </c>
      <c r="Y396" s="142">
        <f t="shared" si="615"/>
        <v>0</v>
      </c>
    </row>
    <row r="397" spans="1:25" ht="15" hidden="1" x14ac:dyDescent="0.25">
      <c r="A397">
        <v>7</v>
      </c>
      <c r="B397">
        <v>2021</v>
      </c>
      <c r="C397">
        <v>2020</v>
      </c>
      <c r="D397" t="s">
        <v>324</v>
      </c>
      <c r="E397" t="s">
        <v>65</v>
      </c>
      <c r="F397" s="143" t="s">
        <v>15</v>
      </c>
      <c r="G397" s="140">
        <v>0</v>
      </c>
      <c r="H397" s="140">
        <v>0</v>
      </c>
      <c r="I397" s="140">
        <v>0</v>
      </c>
      <c r="J397" s="140">
        <v>0</v>
      </c>
      <c r="K397" s="141" t="e">
        <f t="shared" si="611"/>
        <v>#DIV/0!</v>
      </c>
      <c r="L397" s="141" t="e">
        <f t="shared" si="612"/>
        <v>#DIV/0!</v>
      </c>
      <c r="M397" s="141" t="e">
        <f t="shared" si="613"/>
        <v>#DIV/0!</v>
      </c>
      <c r="N397" s="140">
        <f t="shared" si="614"/>
        <v>0</v>
      </c>
      <c r="U397" s="142">
        <f t="shared" si="610"/>
        <v>0</v>
      </c>
      <c r="V397" s="142">
        <f t="shared" si="610"/>
        <v>0</v>
      </c>
      <c r="W397" s="142">
        <f t="shared" si="610"/>
        <v>0</v>
      </c>
      <c r="X397" s="142">
        <f t="shared" si="610"/>
        <v>0</v>
      </c>
      <c r="Y397" s="142">
        <f t="shared" si="615"/>
        <v>0</v>
      </c>
    </row>
    <row r="398" spans="1:25" ht="15" hidden="1" x14ac:dyDescent="0.25">
      <c r="A398">
        <v>7</v>
      </c>
      <c r="B398">
        <v>2021</v>
      </c>
      <c r="C398">
        <v>2020</v>
      </c>
      <c r="D398" t="s">
        <v>324</v>
      </c>
      <c r="E398" t="s">
        <v>325</v>
      </c>
      <c r="F398" t="s">
        <v>14</v>
      </c>
      <c r="G398" s="140">
        <v>0</v>
      </c>
      <c r="H398" s="140">
        <v>0</v>
      </c>
      <c r="I398" s="140">
        <v>0</v>
      </c>
      <c r="J398" s="140">
        <v>0</v>
      </c>
      <c r="K398" s="141" t="e">
        <f t="shared" si="611"/>
        <v>#DIV/0!</v>
      </c>
      <c r="L398" s="141" t="e">
        <f t="shared" si="612"/>
        <v>#DIV/0!</v>
      </c>
      <c r="M398" s="141" t="e">
        <f t="shared" si="613"/>
        <v>#DIV/0!</v>
      </c>
      <c r="N398" s="140">
        <f t="shared" si="614"/>
        <v>0</v>
      </c>
      <c r="U398" s="142">
        <f t="shared" si="610"/>
        <v>0</v>
      </c>
      <c r="V398" s="142">
        <f t="shared" si="610"/>
        <v>0</v>
      </c>
      <c r="W398" s="142">
        <f t="shared" si="610"/>
        <v>0</v>
      </c>
      <c r="X398" s="142">
        <f t="shared" si="610"/>
        <v>0</v>
      </c>
      <c r="Y398" s="142">
        <f t="shared" si="615"/>
        <v>0</v>
      </c>
    </row>
    <row r="399" spans="1:25" ht="15" hidden="1" x14ac:dyDescent="0.25">
      <c r="A399">
        <v>8</v>
      </c>
      <c r="B399">
        <v>2021</v>
      </c>
      <c r="C399">
        <v>2020</v>
      </c>
      <c r="D399" t="s">
        <v>324</v>
      </c>
      <c r="E399" t="s">
        <v>65</v>
      </c>
      <c r="F399" s="143" t="s">
        <v>15</v>
      </c>
      <c r="G399" s="140">
        <v>0</v>
      </c>
      <c r="H399" s="140">
        <v>0</v>
      </c>
      <c r="I399" s="140">
        <v>0</v>
      </c>
      <c r="J399" s="140">
        <v>0</v>
      </c>
      <c r="K399" s="141" t="e">
        <f t="shared" si="611"/>
        <v>#DIV/0!</v>
      </c>
      <c r="L399" s="141" t="e">
        <f t="shared" si="612"/>
        <v>#DIV/0!</v>
      </c>
      <c r="M399" s="141" t="e">
        <f t="shared" si="613"/>
        <v>#DIV/0!</v>
      </c>
      <c r="N399" s="140">
        <f t="shared" si="614"/>
        <v>0</v>
      </c>
      <c r="U399" s="142">
        <f t="shared" si="610"/>
        <v>0</v>
      </c>
      <c r="V399" s="142">
        <f t="shared" si="610"/>
        <v>0</v>
      </c>
      <c r="W399" s="142">
        <f t="shared" si="610"/>
        <v>0</v>
      </c>
      <c r="X399" s="142">
        <f t="shared" si="610"/>
        <v>0</v>
      </c>
      <c r="Y399" s="142">
        <f t="shared" si="615"/>
        <v>0</v>
      </c>
    </row>
    <row r="400" spans="1:25" ht="15" hidden="1" x14ac:dyDescent="0.25">
      <c r="A400">
        <v>8</v>
      </c>
      <c r="B400">
        <v>2021</v>
      </c>
      <c r="C400">
        <v>2020</v>
      </c>
      <c r="D400" t="s">
        <v>324</v>
      </c>
      <c r="E400" t="s">
        <v>325</v>
      </c>
      <c r="F400" t="s">
        <v>14</v>
      </c>
      <c r="G400" s="140">
        <v>3096.02</v>
      </c>
      <c r="H400" s="140">
        <v>774.005</v>
      </c>
      <c r="I400" s="140">
        <v>309.60200000000003</v>
      </c>
      <c r="J400" s="140">
        <v>30.96</v>
      </c>
      <c r="K400" s="141">
        <f t="shared" si="611"/>
        <v>0.25</v>
      </c>
      <c r="L400" s="141">
        <f t="shared" si="612"/>
        <v>0.1</v>
      </c>
      <c r="M400" s="141">
        <f t="shared" si="613"/>
        <v>9.9999354009341034E-3</v>
      </c>
      <c r="N400" s="140">
        <f t="shared" si="614"/>
        <v>1981.4529999999997</v>
      </c>
      <c r="U400" s="142">
        <f t="shared" si="610"/>
        <v>3096.02</v>
      </c>
      <c r="V400" s="142">
        <f t="shared" si="610"/>
        <v>774.005</v>
      </c>
      <c r="W400" s="142">
        <f t="shared" si="610"/>
        <v>309.60200000000003</v>
      </c>
      <c r="X400" s="142">
        <f t="shared" si="610"/>
        <v>30.96</v>
      </c>
      <c r="Y400" s="142">
        <f t="shared" si="615"/>
        <v>1981.4529999999997</v>
      </c>
    </row>
    <row r="401" spans="1:25" ht="15" hidden="1" x14ac:dyDescent="0.25">
      <c r="A401">
        <v>9</v>
      </c>
      <c r="B401">
        <v>2021</v>
      </c>
      <c r="C401">
        <v>2020</v>
      </c>
      <c r="D401" t="s">
        <v>324</v>
      </c>
      <c r="E401" t="s">
        <v>65</v>
      </c>
      <c r="F401" s="143" t="s">
        <v>15</v>
      </c>
      <c r="G401" s="140">
        <v>0</v>
      </c>
      <c r="H401" s="140">
        <v>0</v>
      </c>
      <c r="I401" s="140">
        <v>0</v>
      </c>
      <c r="J401" s="140">
        <v>0</v>
      </c>
      <c r="K401" s="141" t="e">
        <f t="shared" si="611"/>
        <v>#DIV/0!</v>
      </c>
      <c r="L401" s="141" t="e">
        <f t="shared" si="612"/>
        <v>#DIV/0!</v>
      </c>
      <c r="M401" s="141" t="e">
        <f t="shared" si="613"/>
        <v>#DIV/0!</v>
      </c>
      <c r="N401" s="140">
        <f t="shared" si="614"/>
        <v>0</v>
      </c>
      <c r="U401" s="142">
        <f t="shared" si="610"/>
        <v>0</v>
      </c>
      <c r="V401" s="142">
        <f t="shared" si="610"/>
        <v>0</v>
      </c>
      <c r="W401" s="142">
        <f t="shared" si="610"/>
        <v>0</v>
      </c>
      <c r="X401" s="142">
        <f t="shared" si="610"/>
        <v>0</v>
      </c>
      <c r="Y401" s="142">
        <f t="shared" si="615"/>
        <v>0</v>
      </c>
    </row>
    <row r="402" spans="1:25" ht="15" hidden="1" x14ac:dyDescent="0.25">
      <c r="A402">
        <v>9</v>
      </c>
      <c r="B402">
        <v>2021</v>
      </c>
      <c r="C402">
        <v>2020</v>
      </c>
      <c r="D402" t="s">
        <v>324</v>
      </c>
      <c r="E402" t="s">
        <v>325</v>
      </c>
      <c r="F402" t="s">
        <v>14</v>
      </c>
      <c r="G402" s="140">
        <v>1436.28</v>
      </c>
      <c r="H402" s="140">
        <v>646.32600000000002</v>
      </c>
      <c r="I402" s="140">
        <v>143.62800000000001</v>
      </c>
      <c r="J402" s="140">
        <v>0</v>
      </c>
      <c r="K402" s="141">
        <f t="shared" si="611"/>
        <v>0.45</v>
      </c>
      <c r="L402" s="141">
        <f t="shared" si="612"/>
        <v>0.1</v>
      </c>
      <c r="M402" s="141">
        <f t="shared" si="613"/>
        <v>0</v>
      </c>
      <c r="N402" s="140">
        <f t="shared" si="614"/>
        <v>646.32599999999991</v>
      </c>
      <c r="U402" s="142">
        <f t="shared" si="610"/>
        <v>1436.28</v>
      </c>
      <c r="V402" s="142">
        <f t="shared" si="610"/>
        <v>646.32600000000002</v>
      </c>
      <c r="W402" s="142">
        <f t="shared" si="610"/>
        <v>143.62800000000001</v>
      </c>
      <c r="X402" s="142">
        <f t="shared" si="610"/>
        <v>0</v>
      </c>
      <c r="Y402" s="142">
        <f t="shared" si="615"/>
        <v>646.32599999999991</v>
      </c>
    </row>
    <row r="403" spans="1:25" ht="15" hidden="1" x14ac:dyDescent="0.25">
      <c r="A403">
        <v>10</v>
      </c>
      <c r="B403">
        <v>2021</v>
      </c>
      <c r="C403">
        <v>2020</v>
      </c>
      <c r="D403" t="s">
        <v>324</v>
      </c>
      <c r="E403" t="s">
        <v>65</v>
      </c>
      <c r="F403" s="143" t="s">
        <v>15</v>
      </c>
      <c r="G403" s="140">
        <v>0</v>
      </c>
      <c r="H403" s="140">
        <v>0</v>
      </c>
      <c r="I403" s="140">
        <v>0</v>
      </c>
      <c r="J403" s="140">
        <v>0</v>
      </c>
      <c r="K403" s="141" t="e">
        <f t="shared" si="611"/>
        <v>#DIV/0!</v>
      </c>
      <c r="L403" s="141" t="e">
        <f t="shared" si="612"/>
        <v>#DIV/0!</v>
      </c>
      <c r="M403" s="141" t="e">
        <f t="shared" si="613"/>
        <v>#DIV/0!</v>
      </c>
      <c r="N403" s="140">
        <f t="shared" si="614"/>
        <v>0</v>
      </c>
      <c r="U403" s="142">
        <f t="shared" si="610"/>
        <v>0</v>
      </c>
      <c r="V403" s="142">
        <f t="shared" si="610"/>
        <v>0</v>
      </c>
      <c r="W403" s="142">
        <f t="shared" si="610"/>
        <v>0</v>
      </c>
      <c r="X403" s="142">
        <f t="shared" si="610"/>
        <v>0</v>
      </c>
      <c r="Y403" s="142">
        <f t="shared" si="615"/>
        <v>0</v>
      </c>
    </row>
    <row r="404" spans="1:25" ht="15" hidden="1" x14ac:dyDescent="0.25">
      <c r="A404">
        <v>10</v>
      </c>
      <c r="B404">
        <v>2021</v>
      </c>
      <c r="C404">
        <v>2020</v>
      </c>
      <c r="D404" t="s">
        <v>324</v>
      </c>
      <c r="E404" t="s">
        <v>325</v>
      </c>
      <c r="F404" t="s">
        <v>14</v>
      </c>
      <c r="G404" s="140">
        <v>-528</v>
      </c>
      <c r="H404" s="140">
        <v>0</v>
      </c>
      <c r="I404" s="140">
        <v>-52.800000000000004</v>
      </c>
      <c r="J404" s="140">
        <v>0</v>
      </c>
      <c r="K404" s="141">
        <f t="shared" si="611"/>
        <v>0</v>
      </c>
      <c r="L404" s="141">
        <f t="shared" si="612"/>
        <v>0.1</v>
      </c>
      <c r="M404" s="141">
        <f t="shared" si="613"/>
        <v>0</v>
      </c>
      <c r="N404" s="140">
        <f t="shared" si="614"/>
        <v>-475.2</v>
      </c>
      <c r="U404" s="142">
        <f t="shared" si="610"/>
        <v>-528</v>
      </c>
      <c r="V404" s="142">
        <f t="shared" si="610"/>
        <v>0</v>
      </c>
      <c r="W404" s="142">
        <f t="shared" si="610"/>
        <v>-52.800000000000004</v>
      </c>
      <c r="X404" s="142">
        <f t="shared" si="610"/>
        <v>0</v>
      </c>
      <c r="Y404" s="142">
        <f t="shared" si="615"/>
        <v>-475.2</v>
      </c>
    </row>
    <row r="405" spans="1:25" ht="15" hidden="1" x14ac:dyDescent="0.25">
      <c r="A405">
        <v>11</v>
      </c>
      <c r="B405">
        <v>2021</v>
      </c>
      <c r="C405">
        <v>2020</v>
      </c>
      <c r="D405" t="s">
        <v>324</v>
      </c>
      <c r="E405" t="s">
        <v>65</v>
      </c>
      <c r="F405" s="143" t="s">
        <v>15</v>
      </c>
      <c r="G405" s="140">
        <v>0</v>
      </c>
      <c r="H405" s="140">
        <v>0</v>
      </c>
      <c r="I405" s="140">
        <v>0</v>
      </c>
      <c r="J405" s="140">
        <v>0</v>
      </c>
      <c r="K405" s="141" t="e">
        <f t="shared" si="611"/>
        <v>#DIV/0!</v>
      </c>
      <c r="L405" s="141" t="e">
        <f t="shared" si="612"/>
        <v>#DIV/0!</v>
      </c>
      <c r="M405" s="141" t="e">
        <f t="shared" si="613"/>
        <v>#DIV/0!</v>
      </c>
      <c r="N405" s="140">
        <f t="shared" si="614"/>
        <v>0</v>
      </c>
      <c r="U405" s="142">
        <f t="shared" si="610"/>
        <v>0</v>
      </c>
      <c r="V405" s="142">
        <f t="shared" si="610"/>
        <v>0</v>
      </c>
      <c r="W405" s="142">
        <f t="shared" si="610"/>
        <v>0</v>
      </c>
      <c r="X405" s="142">
        <f t="shared" si="610"/>
        <v>0</v>
      </c>
      <c r="Y405" s="142">
        <f t="shared" si="615"/>
        <v>0</v>
      </c>
    </row>
    <row r="406" spans="1:25" ht="15" hidden="1" x14ac:dyDescent="0.25">
      <c r="A406">
        <v>11</v>
      </c>
      <c r="B406">
        <v>2021</v>
      </c>
      <c r="C406">
        <v>2020</v>
      </c>
      <c r="D406" t="s">
        <v>324</v>
      </c>
      <c r="E406" t="s">
        <v>325</v>
      </c>
      <c r="F406" t="s">
        <v>14</v>
      </c>
      <c r="G406" s="140">
        <v>0</v>
      </c>
      <c r="H406" s="140">
        <v>0</v>
      </c>
      <c r="I406" s="140">
        <v>0</v>
      </c>
      <c r="J406" s="140">
        <v>0</v>
      </c>
      <c r="K406" s="141" t="e">
        <f t="shared" si="611"/>
        <v>#DIV/0!</v>
      </c>
      <c r="L406" s="141" t="e">
        <f t="shared" si="612"/>
        <v>#DIV/0!</v>
      </c>
      <c r="M406" s="141" t="e">
        <f t="shared" si="613"/>
        <v>#DIV/0!</v>
      </c>
      <c r="N406" s="140">
        <f t="shared" si="614"/>
        <v>0</v>
      </c>
      <c r="U406" s="142">
        <f t="shared" si="610"/>
        <v>0</v>
      </c>
      <c r="V406" s="142">
        <f t="shared" si="610"/>
        <v>0</v>
      </c>
      <c r="W406" s="142">
        <f t="shared" si="610"/>
        <v>0</v>
      </c>
      <c r="X406" s="142">
        <f t="shared" si="610"/>
        <v>0</v>
      </c>
      <c r="Y406" s="142">
        <f t="shared" si="615"/>
        <v>0</v>
      </c>
    </row>
    <row r="407" spans="1:25" ht="15" hidden="1" x14ac:dyDescent="0.25">
      <c r="A407">
        <v>12</v>
      </c>
      <c r="B407">
        <v>2021</v>
      </c>
      <c r="C407">
        <v>2020</v>
      </c>
      <c r="D407" t="s">
        <v>324</v>
      </c>
      <c r="E407" t="s">
        <v>65</v>
      </c>
      <c r="F407" s="143" t="s">
        <v>15</v>
      </c>
      <c r="G407" s="140">
        <v>0</v>
      </c>
      <c r="H407" s="140">
        <v>0</v>
      </c>
      <c r="I407" s="140">
        <v>0</v>
      </c>
      <c r="J407" s="140">
        <v>0</v>
      </c>
      <c r="K407" s="141" t="e">
        <f t="shared" si="611"/>
        <v>#DIV/0!</v>
      </c>
      <c r="L407" s="141" t="e">
        <f t="shared" si="612"/>
        <v>#DIV/0!</v>
      </c>
      <c r="M407" s="141" t="e">
        <f t="shared" si="613"/>
        <v>#DIV/0!</v>
      </c>
      <c r="N407" s="140">
        <f t="shared" si="614"/>
        <v>0</v>
      </c>
      <c r="U407" s="142">
        <f t="shared" si="610"/>
        <v>0</v>
      </c>
      <c r="V407" s="142">
        <f t="shared" si="610"/>
        <v>0</v>
      </c>
      <c r="W407" s="142">
        <f t="shared" si="610"/>
        <v>0</v>
      </c>
      <c r="X407" s="142">
        <f t="shared" si="610"/>
        <v>0</v>
      </c>
      <c r="Y407" s="142">
        <f t="shared" si="615"/>
        <v>0</v>
      </c>
    </row>
    <row r="408" spans="1:25" ht="15" hidden="1" x14ac:dyDescent="0.25">
      <c r="A408">
        <v>12</v>
      </c>
      <c r="B408">
        <v>2021</v>
      </c>
      <c r="C408">
        <v>2020</v>
      </c>
      <c r="D408" t="s">
        <v>324</v>
      </c>
      <c r="E408" t="s">
        <v>325</v>
      </c>
      <c r="F408" t="s">
        <v>14</v>
      </c>
      <c r="G408" s="140">
        <v>0</v>
      </c>
      <c r="H408" s="140">
        <v>0</v>
      </c>
      <c r="I408" s="140">
        <v>0</v>
      </c>
      <c r="J408" s="140">
        <v>0</v>
      </c>
      <c r="K408" s="141" t="e">
        <f t="shared" si="611"/>
        <v>#DIV/0!</v>
      </c>
      <c r="L408" s="141" t="e">
        <f t="shared" si="612"/>
        <v>#DIV/0!</v>
      </c>
      <c r="M408" s="141" t="e">
        <f t="shared" si="613"/>
        <v>#DIV/0!</v>
      </c>
      <c r="N408" s="140">
        <f t="shared" si="614"/>
        <v>0</v>
      </c>
      <c r="U408" s="142">
        <f t="shared" si="610"/>
        <v>0</v>
      </c>
      <c r="V408" s="142">
        <f t="shared" si="610"/>
        <v>0</v>
      </c>
      <c r="W408" s="142">
        <f t="shared" si="610"/>
        <v>0</v>
      </c>
      <c r="X408" s="142">
        <f t="shared" si="610"/>
        <v>0</v>
      </c>
      <c r="Y408" s="142">
        <f t="shared" si="615"/>
        <v>0</v>
      </c>
    </row>
    <row r="409" spans="1:25" ht="15" hidden="1" x14ac:dyDescent="0.25">
      <c r="A409">
        <v>1</v>
      </c>
      <c r="B409">
        <v>2022</v>
      </c>
      <c r="C409">
        <v>2020</v>
      </c>
      <c r="D409" t="s">
        <v>324</v>
      </c>
      <c r="E409" t="s">
        <v>65</v>
      </c>
      <c r="F409" s="143" t="s">
        <v>15</v>
      </c>
      <c r="G409" s="140">
        <v>0</v>
      </c>
      <c r="H409" s="140">
        <v>0</v>
      </c>
      <c r="I409" s="140">
        <v>0</v>
      </c>
      <c r="J409" s="140">
        <v>0</v>
      </c>
      <c r="K409" s="141" t="e">
        <f t="shared" si="611"/>
        <v>#DIV/0!</v>
      </c>
      <c r="L409" s="141" t="e">
        <f t="shared" si="612"/>
        <v>#DIV/0!</v>
      </c>
      <c r="M409" s="141" t="e">
        <f t="shared" si="613"/>
        <v>#DIV/0!</v>
      </c>
      <c r="N409" s="140">
        <f t="shared" si="614"/>
        <v>0</v>
      </c>
      <c r="U409" s="142">
        <f t="shared" si="610"/>
        <v>0</v>
      </c>
      <c r="V409" s="142">
        <f t="shared" si="610"/>
        <v>0</v>
      </c>
      <c r="W409" s="142">
        <f t="shared" si="610"/>
        <v>0</v>
      </c>
      <c r="X409" s="142">
        <f t="shared" si="610"/>
        <v>0</v>
      </c>
      <c r="Y409" s="142">
        <f t="shared" si="615"/>
        <v>0</v>
      </c>
    </row>
    <row r="410" spans="1:25" ht="15" hidden="1" x14ac:dyDescent="0.25">
      <c r="A410">
        <v>1</v>
      </c>
      <c r="B410">
        <v>2022</v>
      </c>
      <c r="C410">
        <v>2020</v>
      </c>
      <c r="D410" t="s">
        <v>324</v>
      </c>
      <c r="E410" t="s">
        <v>325</v>
      </c>
      <c r="F410" t="s">
        <v>14</v>
      </c>
      <c r="G410" s="140">
        <v>0</v>
      </c>
      <c r="H410" s="140">
        <v>0</v>
      </c>
      <c r="I410" s="140">
        <v>0</v>
      </c>
      <c r="J410" s="140">
        <v>0</v>
      </c>
      <c r="K410" s="141" t="e">
        <f t="shared" si="611"/>
        <v>#DIV/0!</v>
      </c>
      <c r="L410" s="141" t="e">
        <f t="shared" si="612"/>
        <v>#DIV/0!</v>
      </c>
      <c r="M410" s="141" t="e">
        <f t="shared" si="613"/>
        <v>#DIV/0!</v>
      </c>
      <c r="N410" s="140">
        <f t="shared" si="614"/>
        <v>0</v>
      </c>
      <c r="U410" s="142">
        <f t="shared" si="610"/>
        <v>0</v>
      </c>
      <c r="V410" s="142">
        <f t="shared" si="610"/>
        <v>0</v>
      </c>
      <c r="W410" s="142">
        <f t="shared" si="610"/>
        <v>0</v>
      </c>
      <c r="X410" s="142">
        <f t="shared" si="610"/>
        <v>0</v>
      </c>
      <c r="Y410" s="142">
        <f t="shared" si="615"/>
        <v>0</v>
      </c>
    </row>
    <row r="411" spans="1:25" ht="15" hidden="1" x14ac:dyDescent="0.25">
      <c r="A411">
        <v>1</v>
      </c>
      <c r="B411">
        <v>2021</v>
      </c>
      <c r="C411">
        <v>2021</v>
      </c>
      <c r="D411" t="s">
        <v>324</v>
      </c>
      <c r="E411" t="s">
        <v>65</v>
      </c>
      <c r="F411" t="s">
        <v>326</v>
      </c>
      <c r="G411" s="140">
        <v>0</v>
      </c>
      <c r="H411" s="140">
        <v>0</v>
      </c>
      <c r="I411" s="140">
        <v>0</v>
      </c>
      <c r="J411" s="140">
        <v>0</v>
      </c>
      <c r="K411" s="141" t="e">
        <f t="shared" si="611"/>
        <v>#DIV/0!</v>
      </c>
      <c r="L411" s="141" t="e">
        <f t="shared" si="612"/>
        <v>#DIV/0!</v>
      </c>
      <c r="M411" s="141" t="e">
        <f t="shared" si="613"/>
        <v>#DIV/0!</v>
      </c>
      <c r="N411" s="140">
        <f t="shared" si="614"/>
        <v>0</v>
      </c>
      <c r="U411" s="142">
        <f t="shared" si="610"/>
        <v>0</v>
      </c>
      <c r="V411" s="142">
        <f t="shared" si="610"/>
        <v>0</v>
      </c>
      <c r="W411" s="142">
        <f t="shared" si="610"/>
        <v>0</v>
      </c>
      <c r="X411" s="142">
        <f t="shared" si="610"/>
        <v>0</v>
      </c>
      <c r="Y411" s="142">
        <f t="shared" si="615"/>
        <v>0</v>
      </c>
    </row>
    <row r="412" spans="1:25" ht="15" hidden="1" x14ac:dyDescent="0.25">
      <c r="A412">
        <v>1</v>
      </c>
      <c r="B412">
        <v>2021</v>
      </c>
      <c r="C412">
        <v>2021</v>
      </c>
      <c r="D412" t="s">
        <v>324</v>
      </c>
      <c r="E412" t="s">
        <v>325</v>
      </c>
      <c r="F412" s="143" t="s">
        <v>19</v>
      </c>
      <c r="G412" s="140">
        <v>0</v>
      </c>
      <c r="H412" s="140">
        <v>0</v>
      </c>
      <c r="I412" s="140">
        <v>0</v>
      </c>
      <c r="J412" s="140">
        <v>0</v>
      </c>
      <c r="K412" s="141" t="e">
        <f t="shared" si="611"/>
        <v>#DIV/0!</v>
      </c>
      <c r="L412" s="141" t="e">
        <f t="shared" si="612"/>
        <v>#DIV/0!</v>
      </c>
      <c r="M412" s="141" t="e">
        <f t="shared" si="613"/>
        <v>#DIV/0!</v>
      </c>
      <c r="N412" s="140">
        <f t="shared" si="614"/>
        <v>0</v>
      </c>
      <c r="O412" s="137">
        <v>617529.16</v>
      </c>
      <c r="P412" s="137">
        <v>163257.91</v>
      </c>
      <c r="Q412">
        <v>0</v>
      </c>
      <c r="R412" s="137">
        <v>17060.39</v>
      </c>
      <c r="S412" s="137">
        <f>O412-P412-Q412-R412</f>
        <v>437210.86</v>
      </c>
      <c r="U412" s="142">
        <f t="shared" si="610"/>
        <v>-617529.16</v>
      </c>
      <c r="V412" s="142">
        <f t="shared" si="610"/>
        <v>-163257.91</v>
      </c>
      <c r="W412" s="142">
        <f t="shared" si="610"/>
        <v>0</v>
      </c>
      <c r="X412" s="142">
        <f t="shared" ref="X412:X438" si="616">J412-R412</f>
        <v>-17060.39</v>
      </c>
      <c r="Y412" s="142">
        <f t="shared" si="615"/>
        <v>-437210.86</v>
      </c>
    </row>
    <row r="413" spans="1:25" ht="15" hidden="1" x14ac:dyDescent="0.25">
      <c r="A413">
        <v>2</v>
      </c>
      <c r="B413">
        <v>2021</v>
      </c>
      <c r="C413">
        <v>2021</v>
      </c>
      <c r="D413" t="s">
        <v>324</v>
      </c>
      <c r="E413" t="s">
        <v>65</v>
      </c>
      <c r="F413" t="s">
        <v>326</v>
      </c>
      <c r="G413" s="140">
        <v>0</v>
      </c>
      <c r="H413" s="140">
        <v>0</v>
      </c>
      <c r="I413" s="140">
        <v>0</v>
      </c>
      <c r="J413" s="140">
        <v>0</v>
      </c>
      <c r="K413" s="141" t="e">
        <f t="shared" si="611"/>
        <v>#DIV/0!</v>
      </c>
      <c r="L413" s="141" t="e">
        <f t="shared" si="612"/>
        <v>#DIV/0!</v>
      </c>
      <c r="M413" s="141" t="e">
        <f t="shared" si="613"/>
        <v>#DIV/0!</v>
      </c>
      <c r="N413" s="140">
        <f t="shared" si="614"/>
        <v>0</v>
      </c>
      <c r="U413" s="142">
        <f t="shared" ref="U413:W438" si="617">G413-O413</f>
        <v>0</v>
      </c>
      <c r="V413" s="142">
        <f t="shared" si="617"/>
        <v>0</v>
      </c>
      <c r="W413" s="142">
        <f t="shared" si="617"/>
        <v>0</v>
      </c>
      <c r="X413" s="142">
        <f t="shared" si="616"/>
        <v>0</v>
      </c>
      <c r="Y413" s="142">
        <f t="shared" si="615"/>
        <v>0</v>
      </c>
    </row>
    <row r="414" spans="1:25" ht="15" hidden="1" x14ac:dyDescent="0.25">
      <c r="A414">
        <v>2</v>
      </c>
      <c r="B414">
        <v>2021</v>
      </c>
      <c r="C414">
        <v>2021</v>
      </c>
      <c r="D414" t="s">
        <v>324</v>
      </c>
      <c r="E414" t="s">
        <v>325</v>
      </c>
      <c r="F414" s="143" t="s">
        <v>19</v>
      </c>
      <c r="G414" s="140">
        <v>0</v>
      </c>
      <c r="H414" s="140">
        <v>0</v>
      </c>
      <c r="I414" s="140">
        <v>0</v>
      </c>
      <c r="J414" s="140">
        <v>0</v>
      </c>
      <c r="K414" s="141" t="e">
        <f t="shared" si="611"/>
        <v>#DIV/0!</v>
      </c>
      <c r="L414" s="141" t="e">
        <f t="shared" si="612"/>
        <v>#DIV/0!</v>
      </c>
      <c r="M414" s="141" t="e">
        <f t="shared" si="613"/>
        <v>#DIV/0!</v>
      </c>
      <c r="N414" s="140">
        <f t="shared" si="614"/>
        <v>0</v>
      </c>
      <c r="U414" s="142">
        <f t="shared" si="617"/>
        <v>0</v>
      </c>
      <c r="V414" s="142">
        <f t="shared" si="617"/>
        <v>0</v>
      </c>
      <c r="W414" s="142">
        <f t="shared" si="617"/>
        <v>0</v>
      </c>
      <c r="X414" s="142">
        <f t="shared" si="616"/>
        <v>0</v>
      </c>
      <c r="Y414" s="142">
        <f t="shared" si="615"/>
        <v>0</v>
      </c>
    </row>
    <row r="415" spans="1:25" ht="15" hidden="1" x14ac:dyDescent="0.25">
      <c r="A415">
        <v>3</v>
      </c>
      <c r="B415">
        <v>2021</v>
      </c>
      <c r="C415">
        <v>2021</v>
      </c>
      <c r="D415" t="s">
        <v>324</v>
      </c>
      <c r="E415" t="s">
        <v>65</v>
      </c>
      <c r="F415" t="s">
        <v>326</v>
      </c>
      <c r="G415" s="140">
        <v>0</v>
      </c>
      <c r="H415" s="140">
        <v>0</v>
      </c>
      <c r="I415" s="140">
        <v>0</v>
      </c>
      <c r="J415" s="140">
        <v>0</v>
      </c>
      <c r="K415" s="141" t="e">
        <f t="shared" si="611"/>
        <v>#DIV/0!</v>
      </c>
      <c r="L415" s="141" t="e">
        <f t="shared" si="612"/>
        <v>#DIV/0!</v>
      </c>
      <c r="M415" s="141" t="e">
        <f t="shared" si="613"/>
        <v>#DIV/0!</v>
      </c>
      <c r="N415" s="140">
        <f t="shared" si="614"/>
        <v>0</v>
      </c>
      <c r="U415" s="142">
        <f t="shared" si="617"/>
        <v>0</v>
      </c>
      <c r="V415" s="142">
        <f t="shared" si="617"/>
        <v>0</v>
      </c>
      <c r="W415" s="142">
        <f t="shared" si="617"/>
        <v>0</v>
      </c>
      <c r="X415" s="142">
        <f t="shared" si="616"/>
        <v>0</v>
      </c>
      <c r="Y415" s="142">
        <f t="shared" si="615"/>
        <v>0</v>
      </c>
    </row>
    <row r="416" spans="1:25" ht="15" hidden="1" x14ac:dyDescent="0.25">
      <c r="A416">
        <v>3</v>
      </c>
      <c r="B416">
        <v>2021</v>
      </c>
      <c r="C416">
        <v>2021</v>
      </c>
      <c r="D416" t="s">
        <v>324</v>
      </c>
      <c r="E416" t="s">
        <v>325</v>
      </c>
      <c r="F416" s="143" t="s">
        <v>19</v>
      </c>
      <c r="G416" s="140">
        <v>0</v>
      </c>
      <c r="H416" s="140">
        <v>0</v>
      </c>
      <c r="I416" s="140">
        <v>0</v>
      </c>
      <c r="J416" s="140">
        <v>0</v>
      </c>
      <c r="K416" s="141" t="e">
        <f t="shared" si="611"/>
        <v>#DIV/0!</v>
      </c>
      <c r="L416" s="141" t="e">
        <f t="shared" si="612"/>
        <v>#DIV/0!</v>
      </c>
      <c r="M416" s="141" t="e">
        <f t="shared" si="613"/>
        <v>#DIV/0!</v>
      </c>
      <c r="N416" s="140">
        <f t="shared" si="614"/>
        <v>0</v>
      </c>
      <c r="U416" s="142">
        <f t="shared" si="617"/>
        <v>0</v>
      </c>
      <c r="V416" s="142">
        <f t="shared" si="617"/>
        <v>0</v>
      </c>
      <c r="W416" s="142">
        <f t="shared" si="617"/>
        <v>0</v>
      </c>
      <c r="X416" s="142">
        <f t="shared" si="616"/>
        <v>0</v>
      </c>
      <c r="Y416" s="142">
        <f t="shared" si="615"/>
        <v>0</v>
      </c>
    </row>
    <row r="417" spans="1:25" ht="15" hidden="1" x14ac:dyDescent="0.25">
      <c r="A417">
        <v>4</v>
      </c>
      <c r="B417">
        <v>2021</v>
      </c>
      <c r="C417">
        <v>2021</v>
      </c>
      <c r="D417" t="s">
        <v>324</v>
      </c>
      <c r="E417" t="s">
        <v>65</v>
      </c>
      <c r="F417" t="s">
        <v>326</v>
      </c>
      <c r="G417" s="140">
        <v>0</v>
      </c>
      <c r="H417" s="140">
        <v>0</v>
      </c>
      <c r="I417" s="140">
        <v>0</v>
      </c>
      <c r="J417" s="140">
        <v>0</v>
      </c>
      <c r="K417" s="141" t="e">
        <f t="shared" si="611"/>
        <v>#DIV/0!</v>
      </c>
      <c r="L417" s="141" t="e">
        <f t="shared" si="612"/>
        <v>#DIV/0!</v>
      </c>
      <c r="M417" s="141" t="e">
        <f t="shared" si="613"/>
        <v>#DIV/0!</v>
      </c>
      <c r="N417" s="140">
        <f t="shared" si="614"/>
        <v>0</v>
      </c>
      <c r="U417" s="142">
        <f t="shared" si="617"/>
        <v>0</v>
      </c>
      <c r="V417" s="142">
        <f t="shared" si="617"/>
        <v>0</v>
      </c>
      <c r="W417" s="142">
        <f t="shared" si="617"/>
        <v>0</v>
      </c>
      <c r="X417" s="142">
        <f t="shared" si="616"/>
        <v>0</v>
      </c>
      <c r="Y417" s="142">
        <f t="shared" si="615"/>
        <v>0</v>
      </c>
    </row>
    <row r="418" spans="1:25" ht="15" hidden="1" x14ac:dyDescent="0.25">
      <c r="A418">
        <v>4</v>
      </c>
      <c r="B418">
        <v>2021</v>
      </c>
      <c r="C418">
        <v>2021</v>
      </c>
      <c r="D418" t="s">
        <v>324</v>
      </c>
      <c r="E418" t="s">
        <v>325</v>
      </c>
      <c r="F418" s="143" t="s">
        <v>19</v>
      </c>
      <c r="G418" s="140">
        <v>39125</v>
      </c>
      <c r="H418" s="140">
        <v>7993.75</v>
      </c>
      <c r="I418" s="140">
        <v>3521.2499999999995</v>
      </c>
      <c r="J418" s="140">
        <v>428.29999999999995</v>
      </c>
      <c r="K418" s="141">
        <f t="shared" si="611"/>
        <v>0.20431309904153355</v>
      </c>
      <c r="L418" s="141">
        <f t="shared" si="612"/>
        <v>8.9999999999999983E-2</v>
      </c>
      <c r="M418" s="141">
        <f t="shared" si="613"/>
        <v>1.0946964856230031E-2</v>
      </c>
      <c r="N418" s="140">
        <f t="shared" si="614"/>
        <v>27181.7</v>
      </c>
      <c r="U418" s="142">
        <f t="shared" si="617"/>
        <v>39125</v>
      </c>
      <c r="V418" s="142">
        <f t="shared" si="617"/>
        <v>7993.75</v>
      </c>
      <c r="W418" s="142">
        <f t="shared" si="617"/>
        <v>3521.2499999999995</v>
      </c>
      <c r="X418" s="142">
        <f t="shared" si="616"/>
        <v>428.29999999999995</v>
      </c>
      <c r="Y418" s="142">
        <f t="shared" si="615"/>
        <v>27181.7</v>
      </c>
    </row>
    <row r="419" spans="1:25" ht="15" hidden="1" x14ac:dyDescent="0.25">
      <c r="A419">
        <v>5</v>
      </c>
      <c r="B419">
        <v>2021</v>
      </c>
      <c r="C419">
        <v>2021</v>
      </c>
      <c r="D419" t="s">
        <v>324</v>
      </c>
      <c r="E419" t="s">
        <v>65</v>
      </c>
      <c r="F419" t="s">
        <v>326</v>
      </c>
      <c r="G419" s="140">
        <v>0</v>
      </c>
      <c r="H419" s="140">
        <v>0</v>
      </c>
      <c r="I419" s="140">
        <v>0</v>
      </c>
      <c r="J419" s="140">
        <v>0</v>
      </c>
      <c r="K419" s="141" t="e">
        <f t="shared" si="611"/>
        <v>#DIV/0!</v>
      </c>
      <c r="L419" s="141" t="e">
        <f t="shared" si="612"/>
        <v>#DIV/0!</v>
      </c>
      <c r="M419" s="141" t="e">
        <f t="shared" si="613"/>
        <v>#DIV/0!</v>
      </c>
      <c r="N419" s="140">
        <f t="shared" si="614"/>
        <v>0</v>
      </c>
      <c r="U419" s="142">
        <f t="shared" si="617"/>
        <v>0</v>
      </c>
      <c r="V419" s="142">
        <f t="shared" si="617"/>
        <v>0</v>
      </c>
      <c r="W419" s="142">
        <f t="shared" si="617"/>
        <v>0</v>
      </c>
      <c r="X419" s="142">
        <f t="shared" si="616"/>
        <v>0</v>
      </c>
      <c r="Y419" s="142">
        <f t="shared" si="615"/>
        <v>0</v>
      </c>
    </row>
    <row r="420" spans="1:25" ht="15" hidden="1" x14ac:dyDescent="0.25">
      <c r="A420">
        <v>5</v>
      </c>
      <c r="B420">
        <v>2021</v>
      </c>
      <c r="C420">
        <v>2021</v>
      </c>
      <c r="D420" t="s">
        <v>324</v>
      </c>
      <c r="E420" t="s">
        <v>325</v>
      </c>
      <c r="F420" s="143" t="s">
        <v>19</v>
      </c>
      <c r="G420" s="140">
        <v>99102.399999999994</v>
      </c>
      <c r="H420" s="140">
        <v>15146.609999999999</v>
      </c>
      <c r="I420" s="140">
        <v>8919.2159999999985</v>
      </c>
      <c r="J420" s="140">
        <v>3271.71</v>
      </c>
      <c r="K420" s="141">
        <f t="shared" si="611"/>
        <v>0.15283797365149582</v>
      </c>
      <c r="L420" s="141">
        <f t="shared" si="612"/>
        <v>0.09</v>
      </c>
      <c r="M420" s="141">
        <f t="shared" si="613"/>
        <v>3.3013428534525907E-2</v>
      </c>
      <c r="N420" s="140">
        <f t="shared" si="614"/>
        <v>71764.863999999987</v>
      </c>
      <c r="U420" s="142">
        <f t="shared" si="617"/>
        <v>99102.399999999994</v>
      </c>
      <c r="V420" s="142">
        <f t="shared" si="617"/>
        <v>15146.609999999999</v>
      </c>
      <c r="W420" s="142">
        <f t="shared" si="617"/>
        <v>8919.2159999999985</v>
      </c>
      <c r="X420" s="142">
        <f t="shared" si="616"/>
        <v>3271.71</v>
      </c>
      <c r="Y420" s="142">
        <f t="shared" si="615"/>
        <v>71764.863999999987</v>
      </c>
    </row>
    <row r="421" spans="1:25" ht="15" hidden="1" x14ac:dyDescent="0.25">
      <c r="A421">
        <v>6</v>
      </c>
      <c r="B421">
        <v>2021</v>
      </c>
      <c r="C421">
        <v>2021</v>
      </c>
      <c r="D421" t="s">
        <v>324</v>
      </c>
      <c r="E421" t="s">
        <v>65</v>
      </c>
      <c r="F421" t="s">
        <v>326</v>
      </c>
      <c r="G421" s="140">
        <v>0</v>
      </c>
      <c r="H421" s="140">
        <v>0</v>
      </c>
      <c r="I421" s="140">
        <v>0</v>
      </c>
      <c r="J421" s="140">
        <v>0</v>
      </c>
      <c r="K421" s="141" t="e">
        <f t="shared" si="611"/>
        <v>#DIV/0!</v>
      </c>
      <c r="L421" s="141" t="e">
        <f t="shared" si="612"/>
        <v>#DIV/0!</v>
      </c>
      <c r="M421" s="141" t="e">
        <f t="shared" si="613"/>
        <v>#DIV/0!</v>
      </c>
      <c r="N421" s="140">
        <f t="shared" si="614"/>
        <v>0</v>
      </c>
      <c r="U421" s="142">
        <f t="shared" si="617"/>
        <v>0</v>
      </c>
      <c r="V421" s="142">
        <f t="shared" si="617"/>
        <v>0</v>
      </c>
      <c r="W421" s="142">
        <f t="shared" si="617"/>
        <v>0</v>
      </c>
      <c r="X421" s="142">
        <f t="shared" si="616"/>
        <v>0</v>
      </c>
      <c r="Y421" s="142">
        <f t="shared" si="615"/>
        <v>0</v>
      </c>
    </row>
    <row r="422" spans="1:25" ht="15" hidden="1" x14ac:dyDescent="0.25">
      <c r="A422">
        <v>6</v>
      </c>
      <c r="B422">
        <v>2021</v>
      </c>
      <c r="C422">
        <v>2021</v>
      </c>
      <c r="D422" t="s">
        <v>324</v>
      </c>
      <c r="E422" t="s">
        <v>325</v>
      </c>
      <c r="F422" s="143" t="s">
        <v>19</v>
      </c>
      <c r="G422" s="140">
        <v>61279.75</v>
      </c>
      <c r="H422" s="140">
        <v>10645.775</v>
      </c>
      <c r="I422" s="140">
        <v>5515.1774999999998</v>
      </c>
      <c r="J422" s="140">
        <v>1495.4</v>
      </c>
      <c r="K422" s="141">
        <f t="shared" ref="K422:K485" si="618">H422/G422</f>
        <v>0.17372419110717652</v>
      </c>
      <c r="L422" s="141">
        <f t="shared" si="612"/>
        <v>0.09</v>
      </c>
      <c r="M422" s="141">
        <f t="shared" si="613"/>
        <v>2.4402841069031778E-2</v>
      </c>
      <c r="N422" s="140">
        <f t="shared" si="614"/>
        <v>43623.397499999999</v>
      </c>
      <c r="U422" s="142">
        <f t="shared" si="617"/>
        <v>61279.75</v>
      </c>
      <c r="V422" s="142">
        <f t="shared" si="617"/>
        <v>10645.775</v>
      </c>
      <c r="W422" s="142">
        <f t="shared" si="617"/>
        <v>5515.1774999999998</v>
      </c>
      <c r="X422" s="142">
        <f t="shared" si="616"/>
        <v>1495.4</v>
      </c>
      <c r="Y422" s="142">
        <f t="shared" si="615"/>
        <v>43623.397499999999</v>
      </c>
    </row>
    <row r="423" spans="1:25" ht="15" hidden="1" x14ac:dyDescent="0.25">
      <c r="A423">
        <v>7</v>
      </c>
      <c r="B423">
        <v>2021</v>
      </c>
      <c r="C423">
        <v>2021</v>
      </c>
      <c r="D423" t="s">
        <v>324</v>
      </c>
      <c r="E423" t="s">
        <v>65</v>
      </c>
      <c r="F423" t="s">
        <v>326</v>
      </c>
      <c r="G423" s="140">
        <v>0</v>
      </c>
      <c r="H423" s="140">
        <v>0</v>
      </c>
      <c r="I423" s="140">
        <v>0</v>
      </c>
      <c r="J423" s="140">
        <v>0</v>
      </c>
      <c r="K423" s="141" t="e">
        <f t="shared" si="618"/>
        <v>#DIV/0!</v>
      </c>
      <c r="L423" s="141" t="e">
        <f t="shared" si="612"/>
        <v>#DIV/0!</v>
      </c>
      <c r="M423" s="141" t="e">
        <f t="shared" si="613"/>
        <v>#DIV/0!</v>
      </c>
      <c r="N423" s="140">
        <f t="shared" si="614"/>
        <v>0</v>
      </c>
      <c r="U423" s="142">
        <f t="shared" si="617"/>
        <v>0</v>
      </c>
      <c r="V423" s="142">
        <f t="shared" si="617"/>
        <v>0</v>
      </c>
      <c r="W423" s="142">
        <f t="shared" si="617"/>
        <v>0</v>
      </c>
      <c r="X423" s="142">
        <f t="shared" si="616"/>
        <v>0</v>
      </c>
      <c r="Y423" s="142">
        <f t="shared" si="615"/>
        <v>0</v>
      </c>
    </row>
    <row r="424" spans="1:25" ht="15" hidden="1" x14ac:dyDescent="0.25">
      <c r="A424">
        <v>7</v>
      </c>
      <c r="B424">
        <v>2021</v>
      </c>
      <c r="C424">
        <v>2021</v>
      </c>
      <c r="D424" t="s">
        <v>324</v>
      </c>
      <c r="E424" t="s">
        <v>325</v>
      </c>
      <c r="F424" s="143" t="s">
        <v>19</v>
      </c>
      <c r="G424" s="140">
        <v>0</v>
      </c>
      <c r="H424" s="140">
        <v>0</v>
      </c>
      <c r="I424" s="140">
        <v>0</v>
      </c>
      <c r="J424" s="140">
        <v>0</v>
      </c>
      <c r="K424" s="141" t="e">
        <f t="shared" si="618"/>
        <v>#DIV/0!</v>
      </c>
      <c r="L424" s="141" t="e">
        <f t="shared" si="612"/>
        <v>#DIV/0!</v>
      </c>
      <c r="M424" s="141" t="e">
        <f t="shared" si="613"/>
        <v>#DIV/0!</v>
      </c>
      <c r="N424" s="140">
        <f t="shared" si="614"/>
        <v>0</v>
      </c>
      <c r="U424" s="142">
        <f t="shared" si="617"/>
        <v>0</v>
      </c>
      <c r="V424" s="142">
        <f t="shared" si="617"/>
        <v>0</v>
      </c>
      <c r="W424" s="142">
        <f t="shared" si="617"/>
        <v>0</v>
      </c>
      <c r="X424" s="142">
        <f t="shared" si="616"/>
        <v>0</v>
      </c>
      <c r="Y424" s="142">
        <f t="shared" si="615"/>
        <v>0</v>
      </c>
    </row>
    <row r="425" spans="1:25" ht="15" hidden="1" x14ac:dyDescent="0.25">
      <c r="A425">
        <v>8</v>
      </c>
      <c r="B425">
        <v>2021</v>
      </c>
      <c r="C425">
        <v>2021</v>
      </c>
      <c r="D425" t="s">
        <v>324</v>
      </c>
      <c r="E425" t="s">
        <v>65</v>
      </c>
      <c r="F425" t="s">
        <v>326</v>
      </c>
      <c r="G425" s="140">
        <v>0</v>
      </c>
      <c r="H425" s="140">
        <v>0</v>
      </c>
      <c r="I425" s="140">
        <v>0</v>
      </c>
      <c r="J425" s="140">
        <v>0</v>
      </c>
      <c r="K425" s="141" t="e">
        <f t="shared" si="618"/>
        <v>#DIV/0!</v>
      </c>
      <c r="L425" s="141" t="e">
        <f t="shared" si="612"/>
        <v>#DIV/0!</v>
      </c>
      <c r="M425" s="141" t="e">
        <f t="shared" si="613"/>
        <v>#DIV/0!</v>
      </c>
      <c r="N425" s="140">
        <f t="shared" si="614"/>
        <v>0</v>
      </c>
      <c r="U425" s="142">
        <f t="shared" si="617"/>
        <v>0</v>
      </c>
      <c r="V425" s="142">
        <f t="shared" si="617"/>
        <v>0</v>
      </c>
      <c r="W425" s="142">
        <f t="shared" si="617"/>
        <v>0</v>
      </c>
      <c r="X425" s="142">
        <f t="shared" si="616"/>
        <v>0</v>
      </c>
      <c r="Y425" s="142">
        <f t="shared" si="615"/>
        <v>0</v>
      </c>
    </row>
    <row r="426" spans="1:25" ht="15" hidden="1" x14ac:dyDescent="0.25">
      <c r="A426">
        <v>8</v>
      </c>
      <c r="B426">
        <v>2021</v>
      </c>
      <c r="C426">
        <v>2021</v>
      </c>
      <c r="D426" t="s">
        <v>324</v>
      </c>
      <c r="E426" t="s">
        <v>325</v>
      </c>
      <c r="F426" s="143" t="s">
        <v>19</v>
      </c>
      <c r="G426" s="140">
        <v>22650</v>
      </c>
      <c r="H426" s="140">
        <v>4108.125</v>
      </c>
      <c r="I426" s="140">
        <v>2038.5</v>
      </c>
      <c r="J426" s="140">
        <v>566.25</v>
      </c>
      <c r="K426" s="141">
        <f t="shared" si="618"/>
        <v>0.18137417218543048</v>
      </c>
      <c r="L426" s="141">
        <f t="shared" si="612"/>
        <v>0.09</v>
      </c>
      <c r="M426" s="141">
        <f t="shared" si="613"/>
        <v>2.5000000000000001E-2</v>
      </c>
      <c r="N426" s="140">
        <f t="shared" si="614"/>
        <v>15937.125</v>
      </c>
      <c r="U426" s="142">
        <f t="shared" si="617"/>
        <v>22650</v>
      </c>
      <c r="V426" s="142">
        <f t="shared" si="617"/>
        <v>4108.125</v>
      </c>
      <c r="W426" s="142">
        <f t="shared" si="617"/>
        <v>2038.5</v>
      </c>
      <c r="X426" s="142">
        <f t="shared" si="616"/>
        <v>566.25</v>
      </c>
      <c r="Y426" s="142">
        <f t="shared" si="615"/>
        <v>15937.125</v>
      </c>
    </row>
    <row r="427" spans="1:25" ht="15" hidden="1" x14ac:dyDescent="0.25">
      <c r="A427">
        <v>9</v>
      </c>
      <c r="B427">
        <v>2021</v>
      </c>
      <c r="C427">
        <v>2021</v>
      </c>
      <c r="D427" t="s">
        <v>324</v>
      </c>
      <c r="E427" t="s">
        <v>65</v>
      </c>
      <c r="F427" t="s">
        <v>326</v>
      </c>
      <c r="G427" s="140">
        <v>0</v>
      </c>
      <c r="H427" s="140">
        <v>0</v>
      </c>
      <c r="I427" s="140">
        <v>0</v>
      </c>
      <c r="J427" s="140">
        <v>0</v>
      </c>
      <c r="K427" s="141" t="e">
        <f t="shared" si="618"/>
        <v>#DIV/0!</v>
      </c>
      <c r="L427" s="141" t="e">
        <f t="shared" si="612"/>
        <v>#DIV/0!</v>
      </c>
      <c r="M427" s="141" t="e">
        <f t="shared" si="613"/>
        <v>#DIV/0!</v>
      </c>
      <c r="N427" s="140">
        <f t="shared" si="614"/>
        <v>0</v>
      </c>
      <c r="U427" s="142">
        <f t="shared" si="617"/>
        <v>0</v>
      </c>
      <c r="V427" s="142">
        <f t="shared" si="617"/>
        <v>0</v>
      </c>
      <c r="W427" s="142">
        <f t="shared" si="617"/>
        <v>0</v>
      </c>
      <c r="X427" s="142">
        <f t="shared" si="616"/>
        <v>0</v>
      </c>
      <c r="Y427" s="142">
        <f t="shared" si="615"/>
        <v>0</v>
      </c>
    </row>
    <row r="428" spans="1:25" ht="15" hidden="1" x14ac:dyDescent="0.25">
      <c r="A428">
        <v>9</v>
      </c>
      <c r="B428">
        <v>2021</v>
      </c>
      <c r="C428">
        <v>2021</v>
      </c>
      <c r="D428" t="s">
        <v>324</v>
      </c>
      <c r="E428" t="s">
        <v>325</v>
      </c>
      <c r="F428" s="143" t="s">
        <v>19</v>
      </c>
      <c r="G428" s="140">
        <v>15541.9</v>
      </c>
      <c r="H428" s="140">
        <v>2719.8325</v>
      </c>
      <c r="I428" s="140">
        <v>1398.771</v>
      </c>
      <c r="J428" s="140">
        <v>388.55</v>
      </c>
      <c r="K428" s="141">
        <f t="shared" si="618"/>
        <v>0.17500000000000002</v>
      </c>
      <c r="L428" s="141">
        <f t="shared" si="612"/>
        <v>0.09</v>
      </c>
      <c r="M428" s="141">
        <f t="shared" si="613"/>
        <v>2.500016085549386E-2</v>
      </c>
      <c r="N428" s="140">
        <f t="shared" si="614"/>
        <v>11034.746499999999</v>
      </c>
      <c r="U428" s="142">
        <f t="shared" si="617"/>
        <v>15541.9</v>
      </c>
      <c r="V428" s="142">
        <f t="shared" si="617"/>
        <v>2719.8325</v>
      </c>
      <c r="W428" s="142">
        <f t="shared" si="617"/>
        <v>1398.771</v>
      </c>
      <c r="X428" s="142">
        <f t="shared" si="616"/>
        <v>388.55</v>
      </c>
      <c r="Y428" s="142">
        <f t="shared" si="615"/>
        <v>11034.746499999999</v>
      </c>
    </row>
    <row r="429" spans="1:25" ht="15" hidden="1" x14ac:dyDescent="0.25">
      <c r="A429">
        <v>10</v>
      </c>
      <c r="B429">
        <v>2021</v>
      </c>
      <c r="C429">
        <v>2021</v>
      </c>
      <c r="D429" t="s">
        <v>324</v>
      </c>
      <c r="E429" t="s">
        <v>65</v>
      </c>
      <c r="F429" t="s">
        <v>326</v>
      </c>
      <c r="G429" s="140">
        <v>0</v>
      </c>
      <c r="H429" s="140">
        <v>0</v>
      </c>
      <c r="I429" s="140">
        <v>0</v>
      </c>
      <c r="J429" s="140">
        <v>0</v>
      </c>
      <c r="K429" s="141" t="e">
        <f t="shared" si="618"/>
        <v>#DIV/0!</v>
      </c>
      <c r="L429" s="141" t="e">
        <f t="shared" si="612"/>
        <v>#DIV/0!</v>
      </c>
      <c r="M429" s="141" t="e">
        <f t="shared" si="613"/>
        <v>#DIV/0!</v>
      </c>
      <c r="N429" s="140">
        <f t="shared" si="614"/>
        <v>0</v>
      </c>
      <c r="U429" s="142">
        <f t="shared" si="617"/>
        <v>0</v>
      </c>
      <c r="V429" s="142">
        <f t="shared" si="617"/>
        <v>0</v>
      </c>
      <c r="W429" s="142">
        <f t="shared" si="617"/>
        <v>0</v>
      </c>
      <c r="X429" s="142">
        <f t="shared" si="616"/>
        <v>0</v>
      </c>
      <c r="Y429" s="142">
        <f t="shared" si="615"/>
        <v>0</v>
      </c>
    </row>
    <row r="430" spans="1:25" ht="15" hidden="1" x14ac:dyDescent="0.25">
      <c r="A430">
        <v>10</v>
      </c>
      <c r="B430">
        <v>2021</v>
      </c>
      <c r="C430">
        <v>2021</v>
      </c>
      <c r="D430" t="s">
        <v>324</v>
      </c>
      <c r="E430" t="s">
        <v>325</v>
      </c>
      <c r="F430" s="143" t="s">
        <v>19</v>
      </c>
      <c r="G430" s="140">
        <v>188201.67249999999</v>
      </c>
      <c r="H430" s="140">
        <v>35965.799562500004</v>
      </c>
      <c r="I430" s="140">
        <v>16938.150525000001</v>
      </c>
      <c r="J430" s="140">
        <v>4131.1932875000002</v>
      </c>
      <c r="K430" s="141">
        <f t="shared" si="618"/>
        <v>0.19110244390894032</v>
      </c>
      <c r="L430" s="141">
        <f t="shared" si="612"/>
        <v>9.0000000000000011E-2</v>
      </c>
      <c r="M430" s="141">
        <f t="shared" si="613"/>
        <v>2.1950885093754948E-2</v>
      </c>
      <c r="N430" s="140">
        <f t="shared" si="614"/>
        <v>131166.52912499997</v>
      </c>
      <c r="U430" s="142">
        <f t="shared" si="617"/>
        <v>188201.67249999999</v>
      </c>
      <c r="V430" s="142">
        <f t="shared" si="617"/>
        <v>35965.799562500004</v>
      </c>
      <c r="W430" s="142">
        <f t="shared" si="617"/>
        <v>16938.150525000001</v>
      </c>
      <c r="X430" s="142">
        <f t="shared" si="616"/>
        <v>4131.1932875000002</v>
      </c>
      <c r="Y430" s="142">
        <f t="shared" si="615"/>
        <v>131166.52912499997</v>
      </c>
    </row>
    <row r="431" spans="1:25" ht="15" hidden="1" x14ac:dyDescent="0.25">
      <c r="A431">
        <v>11</v>
      </c>
      <c r="B431">
        <v>2021</v>
      </c>
      <c r="C431">
        <v>2021</v>
      </c>
      <c r="D431" t="s">
        <v>324</v>
      </c>
      <c r="E431" t="s">
        <v>65</v>
      </c>
      <c r="F431" t="s">
        <v>326</v>
      </c>
      <c r="G431" s="140">
        <v>0</v>
      </c>
      <c r="H431" s="140">
        <v>0</v>
      </c>
      <c r="I431" s="140">
        <v>0</v>
      </c>
      <c r="J431" s="140">
        <v>0</v>
      </c>
      <c r="K431" s="141" t="e">
        <f t="shared" si="618"/>
        <v>#DIV/0!</v>
      </c>
      <c r="L431" s="141" t="e">
        <f t="shared" si="612"/>
        <v>#DIV/0!</v>
      </c>
      <c r="M431" s="141" t="e">
        <f t="shared" si="613"/>
        <v>#DIV/0!</v>
      </c>
      <c r="N431" s="140">
        <f t="shared" si="614"/>
        <v>0</v>
      </c>
      <c r="U431" s="142">
        <f t="shared" si="617"/>
        <v>0</v>
      </c>
      <c r="V431" s="142">
        <f t="shared" si="617"/>
        <v>0</v>
      </c>
      <c r="W431" s="142">
        <f t="shared" si="617"/>
        <v>0</v>
      </c>
      <c r="X431" s="142">
        <f t="shared" si="616"/>
        <v>0</v>
      </c>
      <c r="Y431" s="142">
        <f t="shared" si="615"/>
        <v>0</v>
      </c>
    </row>
    <row r="432" spans="1:25" ht="15" hidden="1" x14ac:dyDescent="0.25">
      <c r="A432">
        <v>11</v>
      </c>
      <c r="B432">
        <v>2021</v>
      </c>
      <c r="C432">
        <v>2021</v>
      </c>
      <c r="D432" t="s">
        <v>324</v>
      </c>
      <c r="E432" t="s">
        <v>325</v>
      </c>
      <c r="F432" s="143" t="s">
        <v>19</v>
      </c>
      <c r="G432" s="140">
        <v>107100.3094</v>
      </c>
      <c r="H432" s="140">
        <v>18739.850630000001</v>
      </c>
      <c r="I432" s="140">
        <v>9639.027845999999</v>
      </c>
      <c r="J432" s="140">
        <v>1317.34377417</v>
      </c>
      <c r="K432" s="141">
        <f t="shared" si="618"/>
        <v>0.17497475716909555</v>
      </c>
      <c r="L432" s="141">
        <f t="shared" si="612"/>
        <v>0.09</v>
      </c>
      <c r="M432" s="141">
        <f t="shared" si="613"/>
        <v>1.2300093076761923E-2</v>
      </c>
      <c r="N432" s="140">
        <f t="shared" si="614"/>
        <v>77404.087149829997</v>
      </c>
      <c r="U432" s="142">
        <f t="shared" si="617"/>
        <v>107100.3094</v>
      </c>
      <c r="V432" s="142">
        <f t="shared" si="617"/>
        <v>18739.850630000001</v>
      </c>
      <c r="W432" s="142">
        <f t="shared" si="617"/>
        <v>9639.027845999999</v>
      </c>
      <c r="X432" s="142">
        <f t="shared" si="616"/>
        <v>1317.34377417</v>
      </c>
      <c r="Y432" s="142">
        <f t="shared" si="615"/>
        <v>77404.087149829997</v>
      </c>
    </row>
    <row r="433" spans="1:25" ht="15" hidden="1" x14ac:dyDescent="0.25">
      <c r="A433">
        <v>12</v>
      </c>
      <c r="B433">
        <v>2021</v>
      </c>
      <c r="C433">
        <v>2021</v>
      </c>
      <c r="D433" t="s">
        <v>324</v>
      </c>
      <c r="E433" t="s">
        <v>65</v>
      </c>
      <c r="F433" t="s">
        <v>326</v>
      </c>
      <c r="G433" s="140">
        <v>0</v>
      </c>
      <c r="H433" s="140">
        <v>0</v>
      </c>
      <c r="I433" s="140">
        <v>0</v>
      </c>
      <c r="J433" s="140">
        <v>0</v>
      </c>
      <c r="K433" s="141" t="e">
        <f t="shared" si="618"/>
        <v>#DIV/0!</v>
      </c>
      <c r="L433" s="141" t="e">
        <f t="shared" ref="L433:L496" si="619">I433/G433</f>
        <v>#DIV/0!</v>
      </c>
      <c r="M433" s="141" t="e">
        <f t="shared" ref="M433:M496" si="620">J433/G433</f>
        <v>#DIV/0!</v>
      </c>
      <c r="N433" s="140">
        <f t="shared" ref="N433:N496" si="621">G433-H433-I433-J433</f>
        <v>0</v>
      </c>
      <c r="U433" s="142">
        <f t="shared" si="617"/>
        <v>0</v>
      </c>
      <c r="V433" s="142">
        <f t="shared" si="617"/>
        <v>0</v>
      </c>
      <c r="W433" s="142">
        <f t="shared" si="617"/>
        <v>0</v>
      </c>
      <c r="X433" s="142">
        <f t="shared" si="616"/>
        <v>0</v>
      </c>
      <c r="Y433" s="142">
        <f t="shared" ref="Y433:Y496" si="622">N433-S433</f>
        <v>0</v>
      </c>
    </row>
    <row r="434" spans="1:25" ht="15" hidden="1" x14ac:dyDescent="0.25">
      <c r="A434">
        <v>12</v>
      </c>
      <c r="B434">
        <v>2021</v>
      </c>
      <c r="C434">
        <v>2021</v>
      </c>
      <c r="D434" t="s">
        <v>324</v>
      </c>
      <c r="E434" t="s">
        <v>325</v>
      </c>
      <c r="F434" s="143" t="s">
        <v>19</v>
      </c>
      <c r="G434" s="140">
        <v>29190.5</v>
      </c>
      <c r="H434" s="140">
        <v>6273.3924999999999</v>
      </c>
      <c r="I434" s="140">
        <v>2627.1449999999995</v>
      </c>
      <c r="J434" s="140">
        <v>481.26</v>
      </c>
      <c r="K434" s="141">
        <f t="shared" si="618"/>
        <v>0.21491212894606121</v>
      </c>
      <c r="L434" s="141">
        <f t="shared" si="619"/>
        <v>8.9999999999999983E-2</v>
      </c>
      <c r="M434" s="141">
        <f t="shared" si="620"/>
        <v>1.6486870728490432E-2</v>
      </c>
      <c r="N434" s="140">
        <f t="shared" si="621"/>
        <v>19808.702499999999</v>
      </c>
      <c r="U434" s="142">
        <f t="shared" si="617"/>
        <v>29190.5</v>
      </c>
      <c r="V434" s="142">
        <f t="shared" si="617"/>
        <v>6273.3924999999999</v>
      </c>
      <c r="W434" s="142">
        <f t="shared" si="617"/>
        <v>2627.1449999999995</v>
      </c>
      <c r="X434" s="142">
        <f t="shared" si="616"/>
        <v>481.26</v>
      </c>
      <c r="Y434" s="142">
        <f t="shared" si="622"/>
        <v>19808.702499999999</v>
      </c>
    </row>
    <row r="435" spans="1:25" ht="15" hidden="1" x14ac:dyDescent="0.25">
      <c r="A435">
        <v>1</v>
      </c>
      <c r="B435">
        <v>2022</v>
      </c>
      <c r="C435">
        <v>2021</v>
      </c>
      <c r="D435" t="s">
        <v>324</v>
      </c>
      <c r="E435" t="s">
        <v>65</v>
      </c>
      <c r="F435" t="s">
        <v>326</v>
      </c>
      <c r="G435" s="140">
        <v>0</v>
      </c>
      <c r="H435" s="140">
        <v>0</v>
      </c>
      <c r="I435" s="140">
        <v>0</v>
      </c>
      <c r="J435" s="140">
        <v>0</v>
      </c>
      <c r="K435" s="141" t="e">
        <f t="shared" si="618"/>
        <v>#DIV/0!</v>
      </c>
      <c r="L435" s="141" t="e">
        <f t="shared" si="619"/>
        <v>#DIV/0!</v>
      </c>
      <c r="M435" s="141" t="e">
        <f t="shared" si="620"/>
        <v>#DIV/0!</v>
      </c>
      <c r="N435" s="140">
        <f t="shared" si="621"/>
        <v>0</v>
      </c>
      <c r="U435" s="142">
        <f t="shared" si="617"/>
        <v>0</v>
      </c>
      <c r="V435" s="142">
        <f t="shared" si="617"/>
        <v>0</v>
      </c>
      <c r="W435" s="142">
        <f t="shared" si="617"/>
        <v>0</v>
      </c>
      <c r="X435" s="142">
        <f t="shared" si="616"/>
        <v>0</v>
      </c>
      <c r="Y435" s="142">
        <f t="shared" si="622"/>
        <v>0</v>
      </c>
    </row>
    <row r="436" spans="1:25" ht="15" hidden="1" x14ac:dyDescent="0.25">
      <c r="A436">
        <v>1</v>
      </c>
      <c r="B436">
        <v>2022</v>
      </c>
      <c r="C436">
        <v>2021</v>
      </c>
      <c r="D436" t="s">
        <v>324</v>
      </c>
      <c r="E436" t="s">
        <v>325</v>
      </c>
      <c r="F436" s="143" t="s">
        <v>19</v>
      </c>
      <c r="G436" s="140">
        <v>-11776.66</v>
      </c>
      <c r="H436" s="140">
        <v>-1766.499</v>
      </c>
      <c r="I436" s="140">
        <v>-1059.8994</v>
      </c>
      <c r="J436" s="140">
        <v>-117.77</v>
      </c>
      <c r="K436" s="141">
        <f t="shared" si="618"/>
        <v>0.15</v>
      </c>
      <c r="L436" s="141">
        <f t="shared" si="619"/>
        <v>0.09</v>
      </c>
      <c r="M436" s="141">
        <f t="shared" si="620"/>
        <v>1.0000288706645178E-2</v>
      </c>
      <c r="N436" s="140">
        <f t="shared" si="621"/>
        <v>-8832.4915999999994</v>
      </c>
      <c r="U436" s="142">
        <f t="shared" si="617"/>
        <v>-11776.66</v>
      </c>
      <c r="V436" s="142">
        <f t="shared" si="617"/>
        <v>-1766.499</v>
      </c>
      <c r="W436" s="142">
        <f t="shared" si="617"/>
        <v>-1059.8994</v>
      </c>
      <c r="X436" s="142">
        <f t="shared" si="616"/>
        <v>-117.77</v>
      </c>
      <c r="Y436" s="142">
        <f t="shared" si="622"/>
        <v>-8832.4915999999994</v>
      </c>
    </row>
    <row r="437" spans="1:25" ht="15" hidden="1" x14ac:dyDescent="0.25">
      <c r="A437">
        <v>1</v>
      </c>
      <c r="B437">
        <v>2022</v>
      </c>
      <c r="C437">
        <v>2022</v>
      </c>
      <c r="D437" t="s">
        <v>324</v>
      </c>
      <c r="E437" t="s">
        <v>65</v>
      </c>
      <c r="F437" t="s">
        <v>326</v>
      </c>
      <c r="G437" s="140">
        <v>0</v>
      </c>
      <c r="H437" s="140">
        <v>0</v>
      </c>
      <c r="I437" s="140">
        <v>0</v>
      </c>
      <c r="J437" s="140">
        <v>0</v>
      </c>
      <c r="K437" s="141" t="e">
        <f t="shared" si="618"/>
        <v>#DIV/0!</v>
      </c>
      <c r="L437" s="141" t="e">
        <f t="shared" si="619"/>
        <v>#DIV/0!</v>
      </c>
      <c r="M437" s="141" t="e">
        <f t="shared" si="620"/>
        <v>#DIV/0!</v>
      </c>
      <c r="N437" s="140">
        <f t="shared" si="621"/>
        <v>0</v>
      </c>
      <c r="U437" s="142">
        <f t="shared" si="617"/>
        <v>0</v>
      </c>
      <c r="V437" s="142">
        <f t="shared" si="617"/>
        <v>0</v>
      </c>
      <c r="W437" s="142">
        <f t="shared" si="617"/>
        <v>0</v>
      </c>
      <c r="X437" s="142">
        <f t="shared" si="616"/>
        <v>0</v>
      </c>
      <c r="Y437" s="142">
        <f t="shared" si="622"/>
        <v>0</v>
      </c>
    </row>
    <row r="438" spans="1:25" ht="15" hidden="1" x14ac:dyDescent="0.25">
      <c r="A438">
        <v>1</v>
      </c>
      <c r="B438">
        <v>2022</v>
      </c>
      <c r="C438">
        <v>2022</v>
      </c>
      <c r="D438" t="s">
        <v>324</v>
      </c>
      <c r="E438" t="s">
        <v>325</v>
      </c>
      <c r="F438" t="s">
        <v>326</v>
      </c>
      <c r="G438" s="140">
        <v>0</v>
      </c>
      <c r="H438" s="140">
        <v>0</v>
      </c>
      <c r="I438" s="140">
        <v>0</v>
      </c>
      <c r="J438" s="140">
        <v>0</v>
      </c>
      <c r="K438" s="141" t="e">
        <f t="shared" si="618"/>
        <v>#DIV/0!</v>
      </c>
      <c r="L438" s="141" t="e">
        <f t="shared" si="619"/>
        <v>#DIV/0!</v>
      </c>
      <c r="M438" s="141" t="e">
        <f t="shared" si="620"/>
        <v>#DIV/0!</v>
      </c>
      <c r="N438" s="140">
        <f t="shared" si="621"/>
        <v>0</v>
      </c>
      <c r="U438" s="142">
        <f t="shared" si="617"/>
        <v>0</v>
      </c>
      <c r="V438" s="142">
        <f t="shared" si="617"/>
        <v>0</v>
      </c>
      <c r="W438" s="142">
        <f t="shared" si="617"/>
        <v>0</v>
      </c>
      <c r="X438" s="142">
        <f t="shared" si="616"/>
        <v>0</v>
      </c>
      <c r="Y438" s="142">
        <f t="shared" si="622"/>
        <v>0</v>
      </c>
    </row>
    <row r="439" spans="1:25" ht="15" hidden="1" x14ac:dyDescent="0.25">
      <c r="A439">
        <v>10</v>
      </c>
      <c r="B439">
        <v>2019</v>
      </c>
      <c r="C439">
        <v>2019</v>
      </c>
      <c r="D439" t="s">
        <v>327</v>
      </c>
      <c r="E439" t="s">
        <v>67</v>
      </c>
      <c r="F439" s="143" t="s">
        <v>11</v>
      </c>
      <c r="G439" s="140">
        <v>1782818.78</v>
      </c>
      <c r="H439" s="140">
        <v>300902.26</v>
      </c>
      <c r="I439" s="140">
        <v>222852.35</v>
      </c>
      <c r="J439" s="140">
        <v>28423.45</v>
      </c>
      <c r="K439" s="141">
        <f t="shared" si="618"/>
        <v>0.16877893781217629</v>
      </c>
      <c r="L439" s="141">
        <f t="shared" si="619"/>
        <v>0.12500000140227377</v>
      </c>
      <c r="M439" s="141">
        <f t="shared" si="620"/>
        <v>1.5942983279545665E-2</v>
      </c>
      <c r="N439" s="140">
        <f t="shared" si="621"/>
        <v>1230640.72</v>
      </c>
      <c r="O439" s="137">
        <v>4827501.92</v>
      </c>
      <c r="P439" s="137">
        <v>1247479.48</v>
      </c>
      <c r="Q439">
        <v>0</v>
      </c>
      <c r="R439" s="137">
        <v>77308.17</v>
      </c>
      <c r="S439" s="137">
        <f>O439-P439-Q439-R439</f>
        <v>3502714.27</v>
      </c>
      <c r="U439" s="142">
        <f t="shared" ref="U439:X454" si="623">G439-O439</f>
        <v>-3044683.1399999997</v>
      </c>
      <c r="V439" s="142">
        <f t="shared" si="623"/>
        <v>-946577.22</v>
      </c>
      <c r="W439" s="142">
        <f t="shared" si="623"/>
        <v>222852.35</v>
      </c>
      <c r="X439" s="142">
        <f t="shared" si="623"/>
        <v>-48884.72</v>
      </c>
      <c r="Y439" s="142">
        <f t="shared" si="622"/>
        <v>-2272073.5499999998</v>
      </c>
    </row>
    <row r="440" spans="1:25" ht="15" hidden="1" x14ac:dyDescent="0.25">
      <c r="A440">
        <v>10</v>
      </c>
      <c r="B440">
        <v>2019</v>
      </c>
      <c r="C440">
        <v>2019</v>
      </c>
      <c r="D440" t="s">
        <v>327</v>
      </c>
      <c r="E440" t="s">
        <v>68</v>
      </c>
      <c r="F440" s="143" t="s">
        <v>8</v>
      </c>
      <c r="G440" s="140">
        <v>414145.53</v>
      </c>
      <c r="H440" s="140">
        <v>52710.31</v>
      </c>
      <c r="I440" s="140">
        <v>51768.19</v>
      </c>
      <c r="J440" s="140">
        <v>13093.18</v>
      </c>
      <c r="K440" s="141">
        <f t="shared" si="618"/>
        <v>0.12727484949553844</v>
      </c>
      <c r="L440" s="141">
        <f t="shared" si="619"/>
        <v>0.1249999969817373</v>
      </c>
      <c r="M440" s="141">
        <f t="shared" si="620"/>
        <v>3.1614925313814206E-2</v>
      </c>
      <c r="N440" s="140">
        <f t="shared" si="621"/>
        <v>296573.85000000003</v>
      </c>
      <c r="O440" s="137">
        <v>635109.01</v>
      </c>
      <c r="P440" s="137">
        <v>170337.81</v>
      </c>
      <c r="Q440">
        <v>0</v>
      </c>
      <c r="R440" s="137">
        <v>23237.119999999999</v>
      </c>
      <c r="S440" s="137">
        <f>O440-P440-Q440-R440</f>
        <v>441534.08</v>
      </c>
      <c r="U440" s="142">
        <f t="shared" si="623"/>
        <v>-220963.47999999998</v>
      </c>
      <c r="V440" s="142">
        <f t="shared" si="623"/>
        <v>-117627.5</v>
      </c>
      <c r="W440" s="142">
        <f t="shared" si="623"/>
        <v>51768.19</v>
      </c>
      <c r="X440" s="142">
        <f t="shared" si="623"/>
        <v>-10143.939999999999</v>
      </c>
      <c r="Y440" s="142">
        <f t="shared" si="622"/>
        <v>-144960.22999999998</v>
      </c>
    </row>
    <row r="441" spans="1:25" ht="15" hidden="1" x14ac:dyDescent="0.25">
      <c r="A441">
        <v>11</v>
      </c>
      <c r="B441">
        <v>2019</v>
      </c>
      <c r="C441">
        <v>2019</v>
      </c>
      <c r="D441" t="s">
        <v>327</v>
      </c>
      <c r="E441" t="s">
        <v>67</v>
      </c>
      <c r="F441" s="143" t="s">
        <v>11</v>
      </c>
      <c r="G441" s="140">
        <v>159941.82529361683</v>
      </c>
      <c r="H441" s="140">
        <v>15797.519710012568</v>
      </c>
      <c r="I441" s="140">
        <v>19992.728161702104</v>
      </c>
      <c r="J441" s="140">
        <v>4642.3814888089537</v>
      </c>
      <c r="K441" s="141">
        <f t="shared" si="618"/>
        <v>9.8770410310198176E-2</v>
      </c>
      <c r="L441" s="141">
        <f t="shared" si="619"/>
        <v>0.125</v>
      </c>
      <c r="M441" s="141">
        <f t="shared" si="620"/>
        <v>2.9025437719537066E-2</v>
      </c>
      <c r="N441" s="140">
        <f t="shared" si="621"/>
        <v>119509.1959330932</v>
      </c>
      <c r="U441" s="142">
        <f t="shared" si="623"/>
        <v>159941.82529361683</v>
      </c>
      <c r="V441" s="142">
        <f t="shared" si="623"/>
        <v>15797.519710012568</v>
      </c>
      <c r="W441" s="142">
        <f t="shared" si="623"/>
        <v>19992.728161702104</v>
      </c>
      <c r="X441" s="142">
        <f t="shared" si="623"/>
        <v>4642.3814888089537</v>
      </c>
      <c r="Y441" s="142">
        <f t="shared" si="622"/>
        <v>119509.1959330932</v>
      </c>
    </row>
    <row r="442" spans="1:25" ht="15" hidden="1" x14ac:dyDescent="0.25">
      <c r="A442">
        <v>11</v>
      </c>
      <c r="B442">
        <v>2019</v>
      </c>
      <c r="C442">
        <v>2019</v>
      </c>
      <c r="D442" t="s">
        <v>327</v>
      </c>
      <c r="E442" t="s">
        <v>68</v>
      </c>
      <c r="F442" s="143" t="s">
        <v>8</v>
      </c>
      <c r="G442" s="140">
        <v>99564.071995000006</v>
      </c>
      <c r="H442" s="140">
        <v>19393.030252775003</v>
      </c>
      <c r="I442" s="140">
        <v>12445.508999375001</v>
      </c>
      <c r="J442" s="140">
        <v>3416.7165255395003</v>
      </c>
      <c r="K442" s="141">
        <f t="shared" si="618"/>
        <v>0.19477940048242401</v>
      </c>
      <c r="L442" s="141">
        <f t="shared" si="619"/>
        <v>0.125</v>
      </c>
      <c r="M442" s="141">
        <f t="shared" si="620"/>
        <v>3.4316761629748165E-2</v>
      </c>
      <c r="N442" s="140">
        <f t="shared" si="621"/>
        <v>64308.816217310501</v>
      </c>
      <c r="U442" s="142">
        <f t="shared" si="623"/>
        <v>99564.071995000006</v>
      </c>
      <c r="V442" s="142">
        <f t="shared" si="623"/>
        <v>19393.030252775003</v>
      </c>
      <c r="W442" s="142">
        <f t="shared" si="623"/>
        <v>12445.508999375001</v>
      </c>
      <c r="X442" s="142">
        <f t="shared" si="623"/>
        <v>3416.7165255395003</v>
      </c>
      <c r="Y442" s="142">
        <f t="shared" si="622"/>
        <v>64308.816217310501</v>
      </c>
    </row>
    <row r="443" spans="1:25" ht="15" hidden="1" x14ac:dyDescent="0.25">
      <c r="A443">
        <v>12</v>
      </c>
      <c r="B443">
        <v>2019</v>
      </c>
      <c r="C443">
        <v>2019</v>
      </c>
      <c r="D443" t="s">
        <v>327</v>
      </c>
      <c r="E443" t="s">
        <v>67</v>
      </c>
      <c r="F443" s="143" t="s">
        <v>11</v>
      </c>
      <c r="G443" s="140">
        <v>586450.61135810509</v>
      </c>
      <c r="H443" s="140">
        <v>106312.28903784373</v>
      </c>
      <c r="I443" s="140">
        <v>73306.326419763136</v>
      </c>
      <c r="J443" s="140">
        <v>5533.0788732286273</v>
      </c>
      <c r="K443" s="141">
        <f t="shared" si="618"/>
        <v>0.18128089046005977</v>
      </c>
      <c r="L443" s="141">
        <f t="shared" si="619"/>
        <v>0.125</v>
      </c>
      <c r="M443" s="141">
        <f t="shared" si="620"/>
        <v>9.4348590760526228E-3</v>
      </c>
      <c r="N443" s="140">
        <f t="shared" si="621"/>
        <v>401298.91702726961</v>
      </c>
      <c r="U443" s="142">
        <f t="shared" si="623"/>
        <v>586450.61135810509</v>
      </c>
      <c r="V443" s="142">
        <f t="shared" si="623"/>
        <v>106312.28903784373</v>
      </c>
      <c r="W443" s="142">
        <f t="shared" si="623"/>
        <v>73306.326419763136</v>
      </c>
      <c r="X443" s="142">
        <f t="shared" si="623"/>
        <v>5533.0788732286273</v>
      </c>
      <c r="Y443" s="142">
        <f t="shared" si="622"/>
        <v>401298.91702726961</v>
      </c>
    </row>
    <row r="444" spans="1:25" ht="15" hidden="1" x14ac:dyDescent="0.25">
      <c r="A444">
        <v>12</v>
      </c>
      <c r="B444">
        <v>2019</v>
      </c>
      <c r="C444">
        <v>2019</v>
      </c>
      <c r="D444" t="s">
        <v>327</v>
      </c>
      <c r="E444" t="s">
        <v>68</v>
      </c>
      <c r="F444" s="143" t="s">
        <v>8</v>
      </c>
      <c r="G444" s="140">
        <v>129497.80506085695</v>
      </c>
      <c r="H444" s="140">
        <v>11028.707835964491</v>
      </c>
      <c r="I444" s="140">
        <v>16187.225632607118</v>
      </c>
      <c r="J444" s="140">
        <v>2876.0840040857961</v>
      </c>
      <c r="K444" s="141">
        <f t="shared" si="618"/>
        <v>8.5165210566940472E-2</v>
      </c>
      <c r="L444" s="141">
        <f t="shared" si="619"/>
        <v>0.125</v>
      </c>
      <c r="M444" s="141">
        <f t="shared" si="620"/>
        <v>2.2209519325321326E-2</v>
      </c>
      <c r="N444" s="140">
        <f t="shared" si="621"/>
        <v>99405.787588199528</v>
      </c>
      <c r="U444" s="142">
        <f t="shared" si="623"/>
        <v>129497.80506085695</v>
      </c>
      <c r="V444" s="142">
        <f t="shared" si="623"/>
        <v>11028.707835964491</v>
      </c>
      <c r="W444" s="142">
        <f t="shared" si="623"/>
        <v>16187.225632607118</v>
      </c>
      <c r="X444" s="142">
        <f t="shared" si="623"/>
        <v>2876.0840040857961</v>
      </c>
      <c r="Y444" s="142">
        <f t="shared" si="622"/>
        <v>99405.787588199528</v>
      </c>
    </row>
    <row r="445" spans="1:25" ht="15" hidden="1" x14ac:dyDescent="0.25">
      <c r="A445">
        <v>1</v>
      </c>
      <c r="B445">
        <v>2020</v>
      </c>
      <c r="C445">
        <v>2019</v>
      </c>
      <c r="D445" t="s">
        <v>327</v>
      </c>
      <c r="E445" t="s">
        <v>67</v>
      </c>
      <c r="F445" s="143" t="s">
        <v>11</v>
      </c>
      <c r="G445" s="140">
        <v>52580.857974386061</v>
      </c>
      <c r="H445" s="140">
        <v>11579.874078081319</v>
      </c>
      <c r="I445" s="140">
        <v>6572.6072467982594</v>
      </c>
      <c r="J445" s="140">
        <v>1408.5651736098396</v>
      </c>
      <c r="K445" s="141">
        <f t="shared" si="618"/>
        <v>0.22022984264962495</v>
      </c>
      <c r="L445" s="141">
        <f t="shared" si="619"/>
        <v>0.12500000000000003</v>
      </c>
      <c r="M445" s="141">
        <f t="shared" si="620"/>
        <v>2.6788554387910519E-2</v>
      </c>
      <c r="N445" s="140">
        <f t="shared" si="621"/>
        <v>33019.811475896648</v>
      </c>
      <c r="U445" s="142">
        <f t="shared" si="623"/>
        <v>52580.857974386061</v>
      </c>
      <c r="V445" s="142">
        <f t="shared" si="623"/>
        <v>11579.874078081319</v>
      </c>
      <c r="W445" s="142">
        <f t="shared" si="623"/>
        <v>6572.6072467982594</v>
      </c>
      <c r="X445" s="142">
        <f t="shared" si="623"/>
        <v>1408.5651736098396</v>
      </c>
      <c r="Y445" s="142">
        <f t="shared" si="622"/>
        <v>33019.811475896648</v>
      </c>
    </row>
    <row r="446" spans="1:25" ht="15" hidden="1" x14ac:dyDescent="0.25">
      <c r="A446">
        <v>1</v>
      </c>
      <c r="B446">
        <v>2020</v>
      </c>
      <c r="C446">
        <v>2019</v>
      </c>
      <c r="D446" t="s">
        <v>327</v>
      </c>
      <c r="E446" t="s">
        <v>68</v>
      </c>
      <c r="F446" s="143" t="s">
        <v>8</v>
      </c>
      <c r="G446" s="140">
        <v>-2587.7538074328695</v>
      </c>
      <c r="H446" s="140">
        <v>-486.01490555087923</v>
      </c>
      <c r="I446" s="140">
        <v>-323.46922592910875</v>
      </c>
      <c r="J446" s="140">
        <v>-36.87520866234722</v>
      </c>
      <c r="K446" s="141">
        <f t="shared" si="618"/>
        <v>0.18781342496913214</v>
      </c>
      <c r="L446" s="141">
        <f t="shared" si="619"/>
        <v>0.12500000000000003</v>
      </c>
      <c r="M446" s="141">
        <f t="shared" si="620"/>
        <v>1.4249890602587325E-2</v>
      </c>
      <c r="N446" s="140">
        <f t="shared" si="621"/>
        <v>-1741.3944672905345</v>
      </c>
      <c r="U446" s="142">
        <f t="shared" si="623"/>
        <v>-2587.7538074328695</v>
      </c>
      <c r="V446" s="142">
        <f t="shared" si="623"/>
        <v>-486.01490555087923</v>
      </c>
      <c r="W446" s="142">
        <f t="shared" si="623"/>
        <v>-323.46922592910875</v>
      </c>
      <c r="X446" s="142">
        <f t="shared" si="623"/>
        <v>-36.87520866234722</v>
      </c>
      <c r="Y446" s="142">
        <f t="shared" si="622"/>
        <v>-1741.3944672905345</v>
      </c>
    </row>
    <row r="447" spans="1:25" ht="15" hidden="1" x14ac:dyDescent="0.25">
      <c r="A447">
        <v>2</v>
      </c>
      <c r="B447">
        <v>2020</v>
      </c>
      <c r="C447">
        <v>2019</v>
      </c>
      <c r="D447" t="s">
        <v>327</v>
      </c>
      <c r="E447" t="s">
        <v>67</v>
      </c>
      <c r="F447" s="143" t="s">
        <v>11</v>
      </c>
      <c r="G447" s="140">
        <v>13206.774927465478</v>
      </c>
      <c r="H447" s="140">
        <v>2213.2089657207412</v>
      </c>
      <c r="I447" s="140">
        <v>1650.8468659331847</v>
      </c>
      <c r="J447" s="140">
        <v>-3717.6076362579033</v>
      </c>
      <c r="K447" s="141">
        <f t="shared" si="618"/>
        <v>0.16758133441935469</v>
      </c>
      <c r="L447" s="141">
        <f t="shared" si="619"/>
        <v>0.125</v>
      </c>
      <c r="M447" s="141">
        <f t="shared" si="620"/>
        <v>-0.28149246554710178</v>
      </c>
      <c r="N447" s="140">
        <f t="shared" si="621"/>
        <v>13060.326732069454</v>
      </c>
      <c r="U447" s="142">
        <f t="shared" si="623"/>
        <v>13206.774927465478</v>
      </c>
      <c r="V447" s="142">
        <f t="shared" si="623"/>
        <v>2213.2089657207412</v>
      </c>
      <c r="W447" s="142">
        <f t="shared" si="623"/>
        <v>1650.8468659331847</v>
      </c>
      <c r="X447" s="142">
        <f t="shared" si="623"/>
        <v>-3717.6076362579033</v>
      </c>
      <c r="Y447" s="142">
        <f t="shared" si="622"/>
        <v>13060.326732069454</v>
      </c>
    </row>
    <row r="448" spans="1:25" ht="15" hidden="1" x14ac:dyDescent="0.25">
      <c r="A448">
        <v>2</v>
      </c>
      <c r="B448">
        <v>2020</v>
      </c>
      <c r="C448">
        <v>2019</v>
      </c>
      <c r="D448" t="s">
        <v>327</v>
      </c>
      <c r="E448" t="s">
        <v>68</v>
      </c>
      <c r="F448" s="143" t="s">
        <v>8</v>
      </c>
      <c r="G448" s="140">
        <v>-912.20499779057423</v>
      </c>
      <c r="H448" s="140">
        <v>-139.63086645691172</v>
      </c>
      <c r="I448" s="140">
        <v>-114.02562472382178</v>
      </c>
      <c r="J448" s="140">
        <v>-42.32232489811166</v>
      </c>
      <c r="K448" s="141">
        <f t="shared" si="618"/>
        <v>0.15306961351352785</v>
      </c>
      <c r="L448" s="141">
        <f t="shared" si="619"/>
        <v>0.125</v>
      </c>
      <c r="M448" s="141">
        <f t="shared" si="620"/>
        <v>4.6395629272607979E-2</v>
      </c>
      <c r="N448" s="140">
        <f t="shared" si="621"/>
        <v>-616.22618171172905</v>
      </c>
      <c r="U448" s="142">
        <f t="shared" si="623"/>
        <v>-912.20499779057423</v>
      </c>
      <c r="V448" s="142">
        <f t="shared" si="623"/>
        <v>-139.63086645691172</v>
      </c>
      <c r="W448" s="142">
        <f t="shared" si="623"/>
        <v>-114.02562472382178</v>
      </c>
      <c r="X448" s="142">
        <f t="shared" si="623"/>
        <v>-42.32232489811166</v>
      </c>
      <c r="Y448" s="142">
        <f t="shared" si="622"/>
        <v>-616.22618171172905</v>
      </c>
    </row>
    <row r="449" spans="1:25" ht="15" hidden="1" x14ac:dyDescent="0.25">
      <c r="A449">
        <v>3</v>
      </c>
      <c r="B449">
        <v>2020</v>
      </c>
      <c r="C449">
        <v>2019</v>
      </c>
      <c r="D449" t="s">
        <v>327</v>
      </c>
      <c r="E449" t="s">
        <v>67</v>
      </c>
      <c r="F449" s="143" t="s">
        <v>11</v>
      </c>
      <c r="G449" s="140">
        <v>3943.6900356100127</v>
      </c>
      <c r="H449" s="140">
        <v>1306.6643594091468</v>
      </c>
      <c r="I449" s="140">
        <v>492.96125445125159</v>
      </c>
      <c r="J449" s="140">
        <v>202.42057663246351</v>
      </c>
      <c r="K449" s="141">
        <f t="shared" si="618"/>
        <v>0.3313303904745219</v>
      </c>
      <c r="L449" s="141">
        <f t="shared" si="619"/>
        <v>0.125</v>
      </c>
      <c r="M449" s="141">
        <f t="shared" si="620"/>
        <v>5.1327709532109043E-2</v>
      </c>
      <c r="N449" s="140">
        <f t="shared" si="621"/>
        <v>1941.6438451171507</v>
      </c>
      <c r="U449" s="142">
        <f t="shared" si="623"/>
        <v>3943.6900356100127</v>
      </c>
      <c r="V449" s="142">
        <f t="shared" si="623"/>
        <v>1306.6643594091468</v>
      </c>
      <c r="W449" s="142">
        <f t="shared" si="623"/>
        <v>492.96125445125159</v>
      </c>
      <c r="X449" s="142">
        <f t="shared" si="623"/>
        <v>202.42057663246351</v>
      </c>
      <c r="Y449" s="142">
        <f t="shared" si="622"/>
        <v>1941.6438451171507</v>
      </c>
    </row>
    <row r="450" spans="1:25" ht="15" hidden="1" x14ac:dyDescent="0.25">
      <c r="A450">
        <v>3</v>
      </c>
      <c r="B450">
        <v>2020</v>
      </c>
      <c r="C450">
        <v>2019</v>
      </c>
      <c r="D450" t="s">
        <v>327</v>
      </c>
      <c r="E450" t="s">
        <v>68</v>
      </c>
      <c r="F450" s="143" t="s">
        <v>8</v>
      </c>
      <c r="G450" s="140">
        <v>-3.0015060731777381</v>
      </c>
      <c r="H450" s="140">
        <v>-0.67021960731783148</v>
      </c>
      <c r="I450" s="140">
        <v>-0.37518825914721726</v>
      </c>
      <c r="J450" s="140">
        <v>-0.11320240041225647</v>
      </c>
      <c r="K450" s="141">
        <f t="shared" si="618"/>
        <v>0.22329443651875081</v>
      </c>
      <c r="L450" s="141">
        <f t="shared" si="619"/>
        <v>0.125</v>
      </c>
      <c r="M450" s="141">
        <f t="shared" si="620"/>
        <v>3.7715199520621807E-2</v>
      </c>
      <c r="N450" s="140">
        <f t="shared" si="621"/>
        <v>-1.8428958063004328</v>
      </c>
      <c r="U450" s="142">
        <f t="shared" si="623"/>
        <v>-3.0015060731777381</v>
      </c>
      <c r="V450" s="142">
        <f t="shared" si="623"/>
        <v>-0.67021960731783148</v>
      </c>
      <c r="W450" s="142">
        <f t="shared" si="623"/>
        <v>-0.37518825914721726</v>
      </c>
      <c r="X450" s="142">
        <f t="shared" si="623"/>
        <v>-0.11320240041225647</v>
      </c>
      <c r="Y450" s="142">
        <f t="shared" si="622"/>
        <v>-1.8428958063004328</v>
      </c>
    </row>
    <row r="451" spans="1:25" ht="15" hidden="1" x14ac:dyDescent="0.25">
      <c r="A451">
        <v>4</v>
      </c>
      <c r="B451">
        <v>2020</v>
      </c>
      <c r="C451">
        <v>2019</v>
      </c>
      <c r="D451" t="s">
        <v>327</v>
      </c>
      <c r="E451" t="s">
        <v>67</v>
      </c>
      <c r="F451" s="143" t="s">
        <v>11</v>
      </c>
      <c r="G451" s="140">
        <v>5135.136026255157</v>
      </c>
      <c r="H451" s="140">
        <v>938.57763089282992</v>
      </c>
      <c r="I451" s="140">
        <v>641.89200328189463</v>
      </c>
      <c r="J451" s="140">
        <v>12.61203841186706</v>
      </c>
      <c r="K451" s="141">
        <f t="shared" si="618"/>
        <v>0.18277561219294436</v>
      </c>
      <c r="L451" s="141">
        <f t="shared" si="619"/>
        <v>0.125</v>
      </c>
      <c r="M451" s="141">
        <f t="shared" si="620"/>
        <v>2.4560281066331362E-3</v>
      </c>
      <c r="N451" s="140">
        <f t="shared" si="621"/>
        <v>3542.0543536685655</v>
      </c>
      <c r="U451" s="142">
        <f t="shared" si="623"/>
        <v>5135.136026255157</v>
      </c>
      <c r="V451" s="142">
        <f t="shared" si="623"/>
        <v>938.57763089282992</v>
      </c>
      <c r="W451" s="142">
        <f t="shared" si="623"/>
        <v>641.89200328189463</v>
      </c>
      <c r="X451" s="142">
        <f t="shared" si="623"/>
        <v>12.61203841186706</v>
      </c>
      <c r="Y451" s="142">
        <f t="shared" si="622"/>
        <v>3542.0543536685655</v>
      </c>
    </row>
    <row r="452" spans="1:25" ht="15" hidden="1" x14ac:dyDescent="0.25">
      <c r="A452">
        <v>4</v>
      </c>
      <c r="B452">
        <v>2020</v>
      </c>
      <c r="C452">
        <v>2019</v>
      </c>
      <c r="D452" t="s">
        <v>327</v>
      </c>
      <c r="E452" t="s">
        <v>68</v>
      </c>
      <c r="F452" s="143" t="s">
        <v>8</v>
      </c>
      <c r="G452" s="140">
        <v>635.37157900799991</v>
      </c>
      <c r="H452" s="140">
        <v>117.54374211648</v>
      </c>
      <c r="I452" s="140">
        <v>79.421447375999989</v>
      </c>
      <c r="J452" s="140">
        <v>9.5305736851199967</v>
      </c>
      <c r="K452" s="141">
        <f t="shared" si="618"/>
        <v>0.18500000000000003</v>
      </c>
      <c r="L452" s="141">
        <f t="shared" si="619"/>
        <v>0.125</v>
      </c>
      <c r="M452" s="141">
        <f t="shared" si="620"/>
        <v>1.4999999999999998E-2</v>
      </c>
      <c r="N452" s="140">
        <f t="shared" si="621"/>
        <v>428.87581583039997</v>
      </c>
      <c r="U452" s="142">
        <f t="shared" si="623"/>
        <v>635.37157900799991</v>
      </c>
      <c r="V452" s="142">
        <f t="shared" si="623"/>
        <v>117.54374211648</v>
      </c>
      <c r="W452" s="142">
        <f t="shared" si="623"/>
        <v>79.421447375999989</v>
      </c>
      <c r="X452" s="142">
        <f t="shared" si="623"/>
        <v>9.5305736851199967</v>
      </c>
      <c r="Y452" s="142">
        <f t="shared" si="622"/>
        <v>428.87581583039997</v>
      </c>
    </row>
    <row r="453" spans="1:25" ht="15" hidden="1" x14ac:dyDescent="0.25">
      <c r="A453">
        <v>5</v>
      </c>
      <c r="B453">
        <v>2020</v>
      </c>
      <c r="C453">
        <v>2019</v>
      </c>
      <c r="D453" t="s">
        <v>327</v>
      </c>
      <c r="E453" t="s">
        <v>67</v>
      </c>
      <c r="F453" s="143" t="s">
        <v>11</v>
      </c>
      <c r="G453" s="140">
        <v>3332.4199999999992</v>
      </c>
      <c r="H453" s="140">
        <v>1042.6899999999998</v>
      </c>
      <c r="I453" s="140">
        <v>416.56000000000017</v>
      </c>
      <c r="J453" s="140">
        <v>80.77000000000001</v>
      </c>
      <c r="K453" s="141">
        <f t="shared" si="618"/>
        <v>0.31289273260873485</v>
      </c>
      <c r="L453" s="141">
        <f t="shared" si="619"/>
        <v>0.12500225061666906</v>
      </c>
      <c r="M453" s="141">
        <f t="shared" si="620"/>
        <v>2.4237641113665154E-2</v>
      </c>
      <c r="N453" s="140">
        <f t="shared" si="621"/>
        <v>1792.3999999999994</v>
      </c>
      <c r="U453" s="142">
        <f t="shared" si="623"/>
        <v>3332.4199999999992</v>
      </c>
      <c r="V453" s="142">
        <f t="shared" si="623"/>
        <v>1042.6899999999998</v>
      </c>
      <c r="W453" s="142">
        <f t="shared" si="623"/>
        <v>416.56000000000017</v>
      </c>
      <c r="X453" s="142">
        <f t="shared" si="623"/>
        <v>80.77000000000001</v>
      </c>
      <c r="Y453" s="142">
        <f t="shared" si="622"/>
        <v>1792.3999999999994</v>
      </c>
    </row>
    <row r="454" spans="1:25" ht="15" hidden="1" x14ac:dyDescent="0.25">
      <c r="A454">
        <v>5</v>
      </c>
      <c r="B454">
        <v>2020</v>
      </c>
      <c r="C454">
        <v>2019</v>
      </c>
      <c r="D454" t="s">
        <v>327</v>
      </c>
      <c r="E454" t="s">
        <v>68</v>
      </c>
      <c r="F454" s="143" t="s">
        <v>8</v>
      </c>
      <c r="G454" s="140">
        <v>-10758.879999999997</v>
      </c>
      <c r="H454" s="140">
        <v>3824.23</v>
      </c>
      <c r="I454" s="140">
        <v>-1344.8499999999992</v>
      </c>
      <c r="J454" s="140">
        <v>-267.53999999999985</v>
      </c>
      <c r="K454" s="141">
        <f t="shared" si="618"/>
        <v>-0.35544870841574594</v>
      </c>
      <c r="L454" s="141">
        <f t="shared" si="619"/>
        <v>0.12499907053522295</v>
      </c>
      <c r="M454" s="141">
        <f t="shared" si="620"/>
        <v>2.4866900643933189E-2</v>
      </c>
      <c r="N454" s="140">
        <f t="shared" si="621"/>
        <v>-12970.72</v>
      </c>
      <c r="U454" s="142">
        <f t="shared" si="623"/>
        <v>-10758.879999999997</v>
      </c>
      <c r="V454" s="142">
        <f t="shared" si="623"/>
        <v>3824.23</v>
      </c>
      <c r="W454" s="142">
        <f t="shared" si="623"/>
        <v>-1344.8499999999992</v>
      </c>
      <c r="X454" s="142">
        <f t="shared" si="623"/>
        <v>-267.53999999999985</v>
      </c>
      <c r="Y454" s="142">
        <f t="shared" si="622"/>
        <v>-12970.72</v>
      </c>
    </row>
    <row r="455" spans="1:25" ht="15" hidden="1" x14ac:dyDescent="0.25">
      <c r="A455">
        <v>6</v>
      </c>
      <c r="B455">
        <v>2020</v>
      </c>
      <c r="C455">
        <v>2019</v>
      </c>
      <c r="D455" t="s">
        <v>327</v>
      </c>
      <c r="E455" t="s">
        <v>67</v>
      </c>
      <c r="F455" s="143" t="s">
        <v>11</v>
      </c>
      <c r="G455" s="140">
        <v>7245.2200000000012</v>
      </c>
      <c r="H455" s="140">
        <v>1627.11</v>
      </c>
      <c r="I455" s="140">
        <v>905.63999999999987</v>
      </c>
      <c r="J455" s="140">
        <v>391.96</v>
      </c>
      <c r="K455" s="141">
        <f t="shared" si="618"/>
        <v>0.22457703147730498</v>
      </c>
      <c r="L455" s="141">
        <f t="shared" si="619"/>
        <v>0.12499827472457699</v>
      </c>
      <c r="M455" s="141">
        <f t="shared" si="620"/>
        <v>5.4099116382939363E-2</v>
      </c>
      <c r="N455" s="140">
        <f t="shared" si="621"/>
        <v>4320.5100000000011</v>
      </c>
      <c r="U455" s="142">
        <f t="shared" ref="U455:X518" si="624">G455-O455</f>
        <v>7245.2200000000012</v>
      </c>
      <c r="V455" s="142">
        <f t="shared" si="624"/>
        <v>1627.11</v>
      </c>
      <c r="W455" s="142">
        <f t="shared" si="624"/>
        <v>905.63999999999987</v>
      </c>
      <c r="X455" s="142">
        <f t="shared" si="624"/>
        <v>391.96</v>
      </c>
      <c r="Y455" s="142">
        <f t="shared" si="622"/>
        <v>4320.5100000000011</v>
      </c>
    </row>
    <row r="456" spans="1:25" ht="15" hidden="1" x14ac:dyDescent="0.25">
      <c r="A456">
        <v>6</v>
      </c>
      <c r="B456">
        <v>2020</v>
      </c>
      <c r="C456">
        <v>2019</v>
      </c>
      <c r="D456" t="s">
        <v>327</v>
      </c>
      <c r="E456" t="s">
        <v>68</v>
      </c>
      <c r="F456" s="143" t="s">
        <v>8</v>
      </c>
      <c r="G456" s="140">
        <v>-363.37000000000023</v>
      </c>
      <c r="H456" s="140">
        <v>-141.81000000000003</v>
      </c>
      <c r="I456" s="140">
        <v>-45.420000000000016</v>
      </c>
      <c r="J456" s="140">
        <v>-47.20000000000001</v>
      </c>
      <c r="K456" s="141">
        <f t="shared" si="618"/>
        <v>0.39026336791699906</v>
      </c>
      <c r="L456" s="141">
        <f t="shared" si="619"/>
        <v>0.12499655998018545</v>
      </c>
      <c r="M456" s="141">
        <f t="shared" si="620"/>
        <v>0.12989514819605355</v>
      </c>
      <c r="N456" s="140">
        <f t="shared" si="621"/>
        <v>-128.94000000000017</v>
      </c>
      <c r="U456" s="142">
        <f t="shared" si="624"/>
        <v>-363.37000000000023</v>
      </c>
      <c r="V456" s="142">
        <f t="shared" si="624"/>
        <v>-141.81000000000003</v>
      </c>
      <c r="W456" s="142">
        <f t="shared" si="624"/>
        <v>-45.420000000000016</v>
      </c>
      <c r="X456" s="142">
        <f t="shared" si="624"/>
        <v>-47.20000000000001</v>
      </c>
      <c r="Y456" s="142">
        <f t="shared" si="622"/>
        <v>-128.94000000000017</v>
      </c>
    </row>
    <row r="457" spans="1:25" ht="15" hidden="1" x14ac:dyDescent="0.25">
      <c r="A457">
        <v>7</v>
      </c>
      <c r="B457">
        <v>2020</v>
      </c>
      <c r="C457">
        <v>2019</v>
      </c>
      <c r="D457" t="s">
        <v>327</v>
      </c>
      <c r="E457" t="s">
        <v>67</v>
      </c>
      <c r="F457" s="143" t="s">
        <v>11</v>
      </c>
      <c r="G457" s="140">
        <v>-14775.619999999937</v>
      </c>
      <c r="H457" s="140">
        <v>-1251.4232899999909</v>
      </c>
      <c r="I457" s="140">
        <v>-1846.9024999999983</v>
      </c>
      <c r="J457" s="140">
        <v>-1339.6999999999998</v>
      </c>
      <c r="K457" s="141">
        <f t="shared" si="618"/>
        <v>8.4695145787452311E-2</v>
      </c>
      <c r="L457" s="141">
        <f t="shared" si="619"/>
        <v>0.12499661604724581</v>
      </c>
      <c r="M457" s="141">
        <f t="shared" si="620"/>
        <v>9.0669630106892676E-2</v>
      </c>
      <c r="N457" s="140">
        <f t="shared" si="621"/>
        <v>-10337.594209999948</v>
      </c>
      <c r="U457" s="142">
        <f t="shared" si="624"/>
        <v>-14775.619999999937</v>
      </c>
      <c r="V457" s="142">
        <f t="shared" si="624"/>
        <v>-1251.4232899999909</v>
      </c>
      <c r="W457" s="142">
        <f t="shared" si="624"/>
        <v>-1846.9024999999983</v>
      </c>
      <c r="X457" s="142">
        <f t="shared" si="624"/>
        <v>-1339.6999999999998</v>
      </c>
      <c r="Y457" s="142">
        <f t="shared" si="622"/>
        <v>-10337.594209999948</v>
      </c>
    </row>
    <row r="458" spans="1:25" ht="15" hidden="1" x14ac:dyDescent="0.25">
      <c r="A458">
        <v>7</v>
      </c>
      <c r="B458">
        <v>2020</v>
      </c>
      <c r="C458">
        <v>2019</v>
      </c>
      <c r="D458" t="s">
        <v>327</v>
      </c>
      <c r="E458" t="s">
        <v>68</v>
      </c>
      <c r="F458" s="143" t="s">
        <v>8</v>
      </c>
      <c r="G458" s="140">
        <v>-3.4100000000016735</v>
      </c>
      <c r="H458" s="140">
        <v>2293.5857499999997</v>
      </c>
      <c r="I458" s="140">
        <v>-0.43000000000029104</v>
      </c>
      <c r="J458" s="140">
        <v>-7.0000000000050022E-2</v>
      </c>
      <c r="K458" s="141">
        <f t="shared" si="618"/>
        <v>-672.60579178852618</v>
      </c>
      <c r="L458" s="141">
        <f t="shared" si="619"/>
        <v>0.12609970674489149</v>
      </c>
      <c r="M458" s="141">
        <f t="shared" si="620"/>
        <v>2.0527859237541253E-2</v>
      </c>
      <c r="N458" s="140">
        <f t="shared" si="621"/>
        <v>-2296.495750000001</v>
      </c>
      <c r="U458" s="142">
        <f t="shared" si="624"/>
        <v>-3.4100000000016735</v>
      </c>
      <c r="V458" s="142">
        <f t="shared" si="624"/>
        <v>2293.5857499999997</v>
      </c>
      <c r="W458" s="142">
        <f t="shared" si="624"/>
        <v>-0.43000000000029104</v>
      </c>
      <c r="X458" s="142">
        <f t="shared" si="624"/>
        <v>-7.0000000000050022E-2</v>
      </c>
      <c r="Y458" s="142">
        <f t="shared" si="622"/>
        <v>-2296.495750000001</v>
      </c>
    </row>
    <row r="459" spans="1:25" ht="15" hidden="1" x14ac:dyDescent="0.25">
      <c r="A459">
        <v>8</v>
      </c>
      <c r="B459">
        <v>2020</v>
      </c>
      <c r="C459">
        <v>2019</v>
      </c>
      <c r="D459" t="s">
        <v>327</v>
      </c>
      <c r="E459" t="s">
        <v>67</v>
      </c>
      <c r="F459" s="143" t="s">
        <v>11</v>
      </c>
      <c r="G459" s="140">
        <v>1931.4700000000166</v>
      </c>
      <c r="H459" s="140">
        <v>1446.2750000000001</v>
      </c>
      <c r="I459" s="140">
        <v>241.45875000000049</v>
      </c>
      <c r="J459" s="140">
        <v>-375.05999999999983</v>
      </c>
      <c r="K459" s="141">
        <f t="shared" si="618"/>
        <v>0.74879495927971318</v>
      </c>
      <c r="L459" s="141">
        <f t="shared" si="619"/>
        <v>0.12501294350934697</v>
      </c>
      <c r="M459" s="141">
        <f t="shared" si="620"/>
        <v>-0.19418370463946974</v>
      </c>
      <c r="N459" s="140">
        <f t="shared" si="621"/>
        <v>618.7962500000159</v>
      </c>
      <c r="U459" s="142">
        <f t="shared" si="624"/>
        <v>1931.4700000000166</v>
      </c>
      <c r="V459" s="142">
        <f t="shared" si="624"/>
        <v>1446.2750000000001</v>
      </c>
      <c r="W459" s="142">
        <f t="shared" si="624"/>
        <v>241.45875000000049</v>
      </c>
      <c r="X459" s="142">
        <f t="shared" si="624"/>
        <v>-375.05999999999983</v>
      </c>
      <c r="Y459" s="142">
        <f t="shared" si="622"/>
        <v>618.7962500000159</v>
      </c>
    </row>
    <row r="460" spans="1:25" ht="15" hidden="1" x14ac:dyDescent="0.25">
      <c r="A460">
        <v>8</v>
      </c>
      <c r="B460">
        <v>2020</v>
      </c>
      <c r="C460">
        <v>2019</v>
      </c>
      <c r="D460" t="s">
        <v>327</v>
      </c>
      <c r="E460" t="s">
        <v>68</v>
      </c>
      <c r="F460" s="143" t="s">
        <v>8</v>
      </c>
      <c r="G460" s="140">
        <v>122.59999999999934</v>
      </c>
      <c r="H460" s="140">
        <v>-29.622499999999945</v>
      </c>
      <c r="I460" s="140">
        <v>15.326249999999945</v>
      </c>
      <c r="J460" s="140">
        <v>6.6900000000000013</v>
      </c>
      <c r="K460" s="141">
        <f t="shared" si="618"/>
        <v>-0.24161908646003349</v>
      </c>
      <c r="L460" s="141">
        <f t="shared" si="619"/>
        <v>0.12501019575856465</v>
      </c>
      <c r="M460" s="141">
        <f t="shared" si="620"/>
        <v>5.4567699836868169E-2</v>
      </c>
      <c r="N460" s="140">
        <f t="shared" si="621"/>
        <v>130.20624999999933</v>
      </c>
      <c r="U460" s="142">
        <f t="shared" si="624"/>
        <v>122.59999999999934</v>
      </c>
      <c r="V460" s="142">
        <f t="shared" si="624"/>
        <v>-29.622499999999945</v>
      </c>
      <c r="W460" s="142">
        <f t="shared" si="624"/>
        <v>15.326249999999945</v>
      </c>
      <c r="X460" s="142">
        <f t="shared" si="624"/>
        <v>6.6900000000000013</v>
      </c>
      <c r="Y460" s="142">
        <f t="shared" si="622"/>
        <v>130.20624999999933</v>
      </c>
    </row>
    <row r="461" spans="1:25" ht="15" hidden="1" x14ac:dyDescent="0.25">
      <c r="A461">
        <v>9</v>
      </c>
      <c r="B461">
        <v>2020</v>
      </c>
      <c r="C461">
        <v>2019</v>
      </c>
      <c r="D461" t="s">
        <v>327</v>
      </c>
      <c r="E461" t="s">
        <v>67</v>
      </c>
      <c r="F461" s="143" t="s">
        <v>11</v>
      </c>
      <c r="G461" s="140">
        <v>22939.39</v>
      </c>
      <c r="H461" s="140">
        <v>4443.0131499999998</v>
      </c>
      <c r="I461" s="140">
        <v>2867.42625</v>
      </c>
      <c r="J461" s="140">
        <v>422.68</v>
      </c>
      <c r="K461" s="141">
        <f t="shared" si="618"/>
        <v>0.19368488656411526</v>
      </c>
      <c r="L461" s="141">
        <f t="shared" si="619"/>
        <v>0.12500010898284566</v>
      </c>
      <c r="M461" s="141">
        <f t="shared" si="620"/>
        <v>1.8425947682131044E-2</v>
      </c>
      <c r="N461" s="140">
        <f t="shared" si="621"/>
        <v>15206.2706</v>
      </c>
      <c r="U461" s="142">
        <f t="shared" si="624"/>
        <v>22939.39</v>
      </c>
      <c r="V461" s="142">
        <f t="shared" si="624"/>
        <v>4443.0131499999998</v>
      </c>
      <c r="W461" s="142">
        <f t="shared" si="624"/>
        <v>2867.42625</v>
      </c>
      <c r="X461" s="142">
        <f t="shared" si="624"/>
        <v>422.68</v>
      </c>
      <c r="Y461" s="142">
        <f t="shared" si="622"/>
        <v>15206.2706</v>
      </c>
    </row>
    <row r="462" spans="1:25" ht="15" hidden="1" x14ac:dyDescent="0.25">
      <c r="A462">
        <v>9</v>
      </c>
      <c r="B462">
        <v>2020</v>
      </c>
      <c r="C462">
        <v>2019</v>
      </c>
      <c r="D462" t="s">
        <v>327</v>
      </c>
      <c r="E462" t="s">
        <v>68</v>
      </c>
      <c r="F462" s="143" t="s">
        <v>8</v>
      </c>
      <c r="G462" s="140">
        <v>0</v>
      </c>
      <c r="H462" s="140">
        <v>0</v>
      </c>
      <c r="I462" s="140">
        <v>0</v>
      </c>
      <c r="J462" s="140">
        <v>0</v>
      </c>
      <c r="K462" s="141" t="e">
        <f t="shared" si="618"/>
        <v>#DIV/0!</v>
      </c>
      <c r="L462" s="141" t="e">
        <f t="shared" si="619"/>
        <v>#DIV/0!</v>
      </c>
      <c r="M462" s="141" t="e">
        <f t="shared" si="620"/>
        <v>#DIV/0!</v>
      </c>
      <c r="N462" s="140">
        <f t="shared" si="621"/>
        <v>0</v>
      </c>
      <c r="U462" s="142">
        <f t="shared" si="624"/>
        <v>0</v>
      </c>
      <c r="V462" s="142">
        <f t="shared" si="624"/>
        <v>0</v>
      </c>
      <c r="W462" s="142">
        <f t="shared" si="624"/>
        <v>0</v>
      </c>
      <c r="X462" s="142">
        <f t="shared" si="624"/>
        <v>0</v>
      </c>
      <c r="Y462" s="142">
        <f t="shared" si="622"/>
        <v>0</v>
      </c>
    </row>
    <row r="463" spans="1:25" ht="15" hidden="1" x14ac:dyDescent="0.25">
      <c r="A463">
        <v>10</v>
      </c>
      <c r="B463">
        <v>2020</v>
      </c>
      <c r="C463">
        <v>2019</v>
      </c>
      <c r="D463" t="s">
        <v>327</v>
      </c>
      <c r="E463" t="s">
        <v>67</v>
      </c>
      <c r="F463" s="143" t="s">
        <v>11</v>
      </c>
      <c r="G463" s="140">
        <v>747.16999999999985</v>
      </c>
      <c r="H463" s="140">
        <v>135.80574999999999</v>
      </c>
      <c r="I463" s="140">
        <v>93.403749999999988</v>
      </c>
      <c r="J463" s="140">
        <v>18.779999999999998</v>
      </c>
      <c r="K463" s="141">
        <f t="shared" si="618"/>
        <v>0.18176017506056188</v>
      </c>
      <c r="L463" s="141">
        <f t="shared" si="619"/>
        <v>0.12501003787625306</v>
      </c>
      <c r="M463" s="141">
        <f t="shared" si="620"/>
        <v>2.5134842137666129E-2</v>
      </c>
      <c r="N463" s="140">
        <f t="shared" si="621"/>
        <v>499.18049999999994</v>
      </c>
      <c r="U463" s="142">
        <f t="shared" si="624"/>
        <v>747.16999999999985</v>
      </c>
      <c r="V463" s="142">
        <f t="shared" si="624"/>
        <v>135.80574999999999</v>
      </c>
      <c r="W463" s="142">
        <f t="shared" si="624"/>
        <v>93.403749999999988</v>
      </c>
      <c r="X463" s="142">
        <f t="shared" si="624"/>
        <v>18.779999999999998</v>
      </c>
      <c r="Y463" s="142">
        <f t="shared" si="622"/>
        <v>499.18049999999994</v>
      </c>
    </row>
    <row r="464" spans="1:25" ht="15" hidden="1" x14ac:dyDescent="0.25">
      <c r="A464">
        <v>10</v>
      </c>
      <c r="B464">
        <v>2020</v>
      </c>
      <c r="C464">
        <v>2019</v>
      </c>
      <c r="D464" t="s">
        <v>327</v>
      </c>
      <c r="E464" t="s">
        <v>68</v>
      </c>
      <c r="F464" s="143" t="s">
        <v>8</v>
      </c>
      <c r="G464" s="140">
        <v>251.79000000000002</v>
      </c>
      <c r="H464" s="140">
        <v>49.659960000000005</v>
      </c>
      <c r="I464" s="140">
        <v>31.473750000000003</v>
      </c>
      <c r="J464" s="140">
        <v>0.56999999999999995</v>
      </c>
      <c r="K464" s="141">
        <f t="shared" si="618"/>
        <v>0.19722768974145122</v>
      </c>
      <c r="L464" s="141">
        <f t="shared" si="619"/>
        <v>0.125</v>
      </c>
      <c r="M464" s="141">
        <f t="shared" si="620"/>
        <v>2.2637912546169424E-3</v>
      </c>
      <c r="N464" s="140">
        <f t="shared" si="621"/>
        <v>170.08629000000002</v>
      </c>
      <c r="U464" s="142">
        <f t="shared" si="624"/>
        <v>251.79000000000002</v>
      </c>
      <c r="V464" s="142">
        <f t="shared" si="624"/>
        <v>49.659960000000005</v>
      </c>
      <c r="W464" s="142">
        <f t="shared" si="624"/>
        <v>31.473750000000003</v>
      </c>
      <c r="X464" s="142">
        <f t="shared" si="624"/>
        <v>0.56999999999999995</v>
      </c>
      <c r="Y464" s="142">
        <f t="shared" si="622"/>
        <v>170.08629000000002</v>
      </c>
    </row>
    <row r="465" spans="1:25" ht="15" hidden="1" x14ac:dyDescent="0.25">
      <c r="A465">
        <v>11</v>
      </c>
      <c r="B465">
        <v>2020</v>
      </c>
      <c r="C465">
        <v>2019</v>
      </c>
      <c r="D465" t="s">
        <v>327</v>
      </c>
      <c r="E465" t="s">
        <v>67</v>
      </c>
      <c r="F465" s="143" t="s">
        <v>11</v>
      </c>
      <c r="G465" s="140">
        <v>2953.63</v>
      </c>
      <c r="H465" s="140">
        <v>576.99929999999983</v>
      </c>
      <c r="I465" s="140">
        <v>369.20249999999987</v>
      </c>
      <c r="J465" s="140">
        <v>50.029999999999966</v>
      </c>
      <c r="K465" s="141">
        <f t="shared" si="618"/>
        <v>0.19535260002099106</v>
      </c>
      <c r="L465" s="141">
        <f t="shared" si="619"/>
        <v>0.12499957679194749</v>
      </c>
      <c r="M465" s="141">
        <f t="shared" si="620"/>
        <v>1.6938479091829363E-2</v>
      </c>
      <c r="N465" s="140">
        <f t="shared" si="621"/>
        <v>1957.3982000000003</v>
      </c>
      <c r="U465" s="142">
        <f t="shared" si="624"/>
        <v>2953.63</v>
      </c>
      <c r="V465" s="142">
        <f t="shared" si="624"/>
        <v>576.99929999999983</v>
      </c>
      <c r="W465" s="142">
        <f t="shared" si="624"/>
        <v>369.20249999999987</v>
      </c>
      <c r="X465" s="142">
        <f t="shared" si="624"/>
        <v>50.029999999999966</v>
      </c>
      <c r="Y465" s="142">
        <f t="shared" si="622"/>
        <v>1957.3982000000003</v>
      </c>
    </row>
    <row r="466" spans="1:25" ht="15" hidden="1" x14ac:dyDescent="0.25">
      <c r="A466">
        <v>11</v>
      </c>
      <c r="B466">
        <v>2020</v>
      </c>
      <c r="C466">
        <v>2019</v>
      </c>
      <c r="D466" t="s">
        <v>327</v>
      </c>
      <c r="E466" t="s">
        <v>68</v>
      </c>
      <c r="F466" s="143" t="s">
        <v>8</v>
      </c>
      <c r="G466" s="140">
        <v>-463.44</v>
      </c>
      <c r="H466" s="140">
        <v>-92.688000000000002</v>
      </c>
      <c r="I466" s="140">
        <v>-57.93</v>
      </c>
      <c r="J466" s="140">
        <v>-4.63</v>
      </c>
      <c r="K466" s="141">
        <f t="shared" si="618"/>
        <v>0.2</v>
      </c>
      <c r="L466" s="141">
        <f t="shared" si="619"/>
        <v>0.125</v>
      </c>
      <c r="M466" s="141">
        <f t="shared" si="620"/>
        <v>9.9905057828413597E-3</v>
      </c>
      <c r="N466" s="140">
        <f t="shared" si="621"/>
        <v>-308.19200000000001</v>
      </c>
      <c r="U466" s="142">
        <f t="shared" si="624"/>
        <v>-463.44</v>
      </c>
      <c r="V466" s="142">
        <f t="shared" si="624"/>
        <v>-92.688000000000002</v>
      </c>
      <c r="W466" s="142">
        <f t="shared" si="624"/>
        <v>-57.93</v>
      </c>
      <c r="X466" s="142">
        <f t="shared" si="624"/>
        <v>-4.63</v>
      </c>
      <c r="Y466" s="142">
        <f t="shared" si="622"/>
        <v>-308.19200000000001</v>
      </c>
    </row>
    <row r="467" spans="1:25" ht="15" hidden="1" x14ac:dyDescent="0.25">
      <c r="A467">
        <v>12</v>
      </c>
      <c r="B467">
        <v>2020</v>
      </c>
      <c r="C467">
        <v>2019</v>
      </c>
      <c r="D467" t="s">
        <v>327</v>
      </c>
      <c r="E467" t="s">
        <v>67</v>
      </c>
      <c r="F467" s="143" t="s">
        <v>11</v>
      </c>
      <c r="G467" s="140">
        <v>-1323.3800000000192</v>
      </c>
      <c r="H467" s="140">
        <v>-807.70805000000109</v>
      </c>
      <c r="I467" s="140">
        <v>-165.42375000000175</v>
      </c>
      <c r="J467" s="140">
        <v>2193.9299999999998</v>
      </c>
      <c r="K467" s="141">
        <f t="shared" si="618"/>
        <v>0.61033720473332631</v>
      </c>
      <c r="L467" s="141">
        <f t="shared" si="619"/>
        <v>0.12500094455107327</v>
      </c>
      <c r="M467" s="141">
        <f t="shared" si="620"/>
        <v>-1.6578231498133325</v>
      </c>
      <c r="N467" s="140">
        <f t="shared" si="621"/>
        <v>-2544.1782000000162</v>
      </c>
      <c r="U467" s="142">
        <f t="shared" si="624"/>
        <v>-1323.3800000000192</v>
      </c>
      <c r="V467" s="142">
        <f t="shared" si="624"/>
        <v>-807.70805000000109</v>
      </c>
      <c r="W467" s="142">
        <f t="shared" si="624"/>
        <v>-165.42375000000175</v>
      </c>
      <c r="X467" s="142">
        <f t="shared" si="624"/>
        <v>2193.9299999999998</v>
      </c>
      <c r="Y467" s="142">
        <f t="shared" si="622"/>
        <v>-2544.1782000000162</v>
      </c>
    </row>
    <row r="468" spans="1:25" ht="15" hidden="1" x14ac:dyDescent="0.25">
      <c r="A468">
        <v>12</v>
      </c>
      <c r="B468">
        <v>2020</v>
      </c>
      <c r="C468">
        <v>2019</v>
      </c>
      <c r="D468" t="s">
        <v>327</v>
      </c>
      <c r="E468" t="s">
        <v>68</v>
      </c>
      <c r="F468" s="143" t="s">
        <v>8</v>
      </c>
      <c r="G468" s="140">
        <v>880.05</v>
      </c>
      <c r="H468" s="140">
        <v>0</v>
      </c>
      <c r="I468" s="140">
        <v>110.00624999999999</v>
      </c>
      <c r="J468" s="140">
        <v>14.96</v>
      </c>
      <c r="K468" s="141">
        <f t="shared" si="618"/>
        <v>0</v>
      </c>
      <c r="L468" s="141">
        <f t="shared" si="619"/>
        <v>0.125</v>
      </c>
      <c r="M468" s="141">
        <f t="shared" si="620"/>
        <v>1.6999034145787174E-2</v>
      </c>
      <c r="N468" s="140">
        <f t="shared" si="621"/>
        <v>755.0837499999999</v>
      </c>
      <c r="U468" s="142">
        <f t="shared" si="624"/>
        <v>880.05</v>
      </c>
      <c r="V468" s="142">
        <f t="shared" si="624"/>
        <v>0</v>
      </c>
      <c r="W468" s="142">
        <f t="shared" si="624"/>
        <v>110.00624999999999</v>
      </c>
      <c r="X468" s="142">
        <f t="shared" si="624"/>
        <v>14.96</v>
      </c>
      <c r="Y468" s="142">
        <f t="shared" si="622"/>
        <v>755.0837499999999</v>
      </c>
    </row>
    <row r="469" spans="1:25" ht="15" hidden="1" x14ac:dyDescent="0.25">
      <c r="A469">
        <v>1</v>
      </c>
      <c r="B469">
        <v>2021</v>
      </c>
      <c r="C469">
        <v>2019</v>
      </c>
      <c r="D469" t="s">
        <v>327</v>
      </c>
      <c r="E469" t="s">
        <v>67</v>
      </c>
      <c r="F469" s="143" t="s">
        <v>11</v>
      </c>
      <c r="G469" s="140">
        <v>-97.360000000000298</v>
      </c>
      <c r="H469" s="140">
        <v>-233.37449999999987</v>
      </c>
      <c r="I469" s="140">
        <v>-12.161250000000244</v>
      </c>
      <c r="J469" s="140">
        <v>749.31</v>
      </c>
      <c r="K469" s="141">
        <f t="shared" si="618"/>
        <v>2.397026499589145</v>
      </c>
      <c r="L469" s="141">
        <f t="shared" si="619"/>
        <v>0.1249101273623686</v>
      </c>
      <c r="M469" s="141">
        <f t="shared" si="620"/>
        <v>-7.6962818405915945</v>
      </c>
      <c r="N469" s="140">
        <f t="shared" si="621"/>
        <v>-601.13425000000007</v>
      </c>
      <c r="U469" s="142">
        <f t="shared" si="624"/>
        <v>-97.360000000000298</v>
      </c>
      <c r="V469" s="142">
        <f t="shared" si="624"/>
        <v>-233.37449999999987</v>
      </c>
      <c r="W469" s="142">
        <f t="shared" si="624"/>
        <v>-12.161250000000244</v>
      </c>
      <c r="X469" s="142">
        <f t="shared" si="624"/>
        <v>749.31</v>
      </c>
      <c r="Y469" s="142">
        <f t="shared" si="622"/>
        <v>-601.13425000000007</v>
      </c>
    </row>
    <row r="470" spans="1:25" ht="15" hidden="1" x14ac:dyDescent="0.25">
      <c r="A470">
        <v>1</v>
      </c>
      <c r="B470">
        <v>2021</v>
      </c>
      <c r="C470">
        <v>2019</v>
      </c>
      <c r="D470" t="s">
        <v>327</v>
      </c>
      <c r="E470" t="s">
        <v>68</v>
      </c>
      <c r="F470" s="143" t="s">
        <v>8</v>
      </c>
      <c r="G470" s="140">
        <v>-3638.38</v>
      </c>
      <c r="H470" s="140">
        <v>-889.16000000000008</v>
      </c>
      <c r="I470" s="140">
        <v>-454.7987500000001</v>
      </c>
      <c r="J470" s="140">
        <v>-127.81000000000002</v>
      </c>
      <c r="K470" s="141">
        <f t="shared" si="618"/>
        <v>0.24438348935515258</v>
      </c>
      <c r="L470" s="141">
        <f t="shared" si="619"/>
        <v>0.12500034355949627</v>
      </c>
      <c r="M470" s="141">
        <f t="shared" si="620"/>
        <v>3.5128271373523381E-2</v>
      </c>
      <c r="N470" s="140">
        <f t="shared" si="621"/>
        <v>-2166.6112500000004</v>
      </c>
      <c r="U470" s="142">
        <f t="shared" si="624"/>
        <v>-3638.38</v>
      </c>
      <c r="V470" s="142">
        <f t="shared" si="624"/>
        <v>-889.16000000000008</v>
      </c>
      <c r="W470" s="142">
        <f t="shared" si="624"/>
        <v>-454.7987500000001</v>
      </c>
      <c r="X470" s="142">
        <f t="shared" si="624"/>
        <v>-127.81000000000002</v>
      </c>
      <c r="Y470" s="142">
        <f t="shared" si="622"/>
        <v>-2166.6112500000004</v>
      </c>
    </row>
    <row r="471" spans="1:25" ht="15" hidden="1" x14ac:dyDescent="0.25">
      <c r="A471">
        <v>2</v>
      </c>
      <c r="B471">
        <v>2021</v>
      </c>
      <c r="C471">
        <v>2019</v>
      </c>
      <c r="D471" t="s">
        <v>327</v>
      </c>
      <c r="E471" t="s">
        <v>67</v>
      </c>
      <c r="F471" s="143" t="s">
        <v>11</v>
      </c>
      <c r="G471" s="140">
        <v>28109.689999999995</v>
      </c>
      <c r="H471" s="140">
        <v>4412.8593500000006</v>
      </c>
      <c r="I471" s="140">
        <v>3513.7162499999995</v>
      </c>
      <c r="J471" s="140">
        <v>499.95</v>
      </c>
      <c r="K471" s="141">
        <f t="shared" si="618"/>
        <v>0.15698712259011044</v>
      </c>
      <c r="L471" s="141">
        <f t="shared" si="619"/>
        <v>0.12500017787460482</v>
      </c>
      <c r="M471" s="141">
        <f t="shared" si="620"/>
        <v>1.778568173466161E-2</v>
      </c>
      <c r="N471" s="140">
        <f t="shared" si="621"/>
        <v>19683.164399999998</v>
      </c>
      <c r="U471" s="142">
        <f t="shared" si="624"/>
        <v>28109.689999999995</v>
      </c>
      <c r="V471" s="142">
        <f t="shared" si="624"/>
        <v>4412.8593500000006</v>
      </c>
      <c r="W471" s="142">
        <f t="shared" si="624"/>
        <v>3513.7162499999995</v>
      </c>
      <c r="X471" s="142">
        <f t="shared" si="624"/>
        <v>499.95</v>
      </c>
      <c r="Y471" s="142">
        <f t="shared" si="622"/>
        <v>19683.164399999998</v>
      </c>
    </row>
    <row r="472" spans="1:25" ht="15" hidden="1" x14ac:dyDescent="0.25">
      <c r="A472">
        <v>2</v>
      </c>
      <c r="B472">
        <v>2021</v>
      </c>
      <c r="C472">
        <v>2019</v>
      </c>
      <c r="D472" t="s">
        <v>327</v>
      </c>
      <c r="E472" t="s">
        <v>68</v>
      </c>
      <c r="F472" s="143" t="s">
        <v>8</v>
      </c>
      <c r="G472" s="140">
        <v>-264</v>
      </c>
      <c r="H472" s="140">
        <v>0</v>
      </c>
      <c r="I472" s="140">
        <v>-33</v>
      </c>
      <c r="J472" s="140">
        <v>0</v>
      </c>
      <c r="K472" s="141">
        <f t="shared" si="618"/>
        <v>0</v>
      </c>
      <c r="L472" s="141">
        <f t="shared" si="619"/>
        <v>0.125</v>
      </c>
      <c r="M472" s="141">
        <f t="shared" si="620"/>
        <v>0</v>
      </c>
      <c r="N472" s="140">
        <f t="shared" si="621"/>
        <v>-231</v>
      </c>
      <c r="U472" s="142">
        <f t="shared" si="624"/>
        <v>-264</v>
      </c>
      <c r="V472" s="142">
        <f t="shared" si="624"/>
        <v>0</v>
      </c>
      <c r="W472" s="142">
        <f t="shared" si="624"/>
        <v>-33</v>
      </c>
      <c r="X472" s="142">
        <f t="shared" si="624"/>
        <v>0</v>
      </c>
      <c r="Y472" s="142">
        <f t="shared" si="622"/>
        <v>-231</v>
      </c>
    </row>
    <row r="473" spans="1:25" ht="15" hidden="1" x14ac:dyDescent="0.25">
      <c r="A473">
        <v>3</v>
      </c>
      <c r="B473">
        <v>2021</v>
      </c>
      <c r="C473">
        <v>2019</v>
      </c>
      <c r="D473" t="s">
        <v>327</v>
      </c>
      <c r="E473" t="s">
        <v>67</v>
      </c>
      <c r="F473" s="143" t="s">
        <v>11</v>
      </c>
      <c r="G473" s="140">
        <v>-17811.592240425147</v>
      </c>
      <c r="H473" s="140">
        <v>-3414.3279000865273</v>
      </c>
      <c r="I473" s="140">
        <v>-2226.4490300531434</v>
      </c>
      <c r="J473" s="140">
        <v>-34.165199778503002</v>
      </c>
      <c r="K473" s="141">
        <f t="shared" si="618"/>
        <v>0.19169133528317456</v>
      </c>
      <c r="L473" s="141">
        <f t="shared" si="619"/>
        <v>0.125</v>
      </c>
      <c r="M473" s="141">
        <f t="shared" si="620"/>
        <v>1.9181440556988356E-3</v>
      </c>
      <c r="N473" s="140">
        <f t="shared" si="621"/>
        <v>-12136.650110506973</v>
      </c>
      <c r="U473" s="142">
        <f t="shared" si="624"/>
        <v>-17811.592240425147</v>
      </c>
      <c r="V473" s="142">
        <f t="shared" si="624"/>
        <v>-3414.3279000865273</v>
      </c>
      <c r="W473" s="142">
        <f t="shared" si="624"/>
        <v>-2226.4490300531434</v>
      </c>
      <c r="X473" s="142">
        <f t="shared" si="624"/>
        <v>-34.165199778503002</v>
      </c>
      <c r="Y473" s="142">
        <f t="shared" si="622"/>
        <v>-12136.650110506973</v>
      </c>
    </row>
    <row r="474" spans="1:25" ht="15" hidden="1" x14ac:dyDescent="0.25">
      <c r="A474">
        <v>3</v>
      </c>
      <c r="B474">
        <v>2021</v>
      </c>
      <c r="C474">
        <v>2019</v>
      </c>
      <c r="D474" t="s">
        <v>327</v>
      </c>
      <c r="E474" t="s">
        <v>68</v>
      </c>
      <c r="F474" s="143" t="s">
        <v>8</v>
      </c>
      <c r="G474" s="140">
        <v>0</v>
      </c>
      <c r="H474" s="140">
        <v>0</v>
      </c>
      <c r="I474" s="140">
        <v>0</v>
      </c>
      <c r="J474" s="140">
        <v>0</v>
      </c>
      <c r="K474" s="141" t="e">
        <f t="shared" si="618"/>
        <v>#DIV/0!</v>
      </c>
      <c r="L474" s="141" t="e">
        <f t="shared" si="619"/>
        <v>#DIV/0!</v>
      </c>
      <c r="M474" s="141" t="e">
        <f t="shared" si="620"/>
        <v>#DIV/0!</v>
      </c>
      <c r="N474" s="140">
        <f t="shared" si="621"/>
        <v>0</v>
      </c>
      <c r="U474" s="142">
        <f t="shared" si="624"/>
        <v>0</v>
      </c>
      <c r="V474" s="142">
        <f t="shared" si="624"/>
        <v>0</v>
      </c>
      <c r="W474" s="142">
        <f t="shared" si="624"/>
        <v>0</v>
      </c>
      <c r="X474" s="142">
        <f t="shared" si="624"/>
        <v>0</v>
      </c>
      <c r="Y474" s="142">
        <f t="shared" si="622"/>
        <v>0</v>
      </c>
    </row>
    <row r="475" spans="1:25" ht="15" hidden="1" x14ac:dyDescent="0.25">
      <c r="A475">
        <v>4</v>
      </c>
      <c r="B475">
        <v>2021</v>
      </c>
      <c r="C475">
        <v>2019</v>
      </c>
      <c r="D475" t="s">
        <v>327</v>
      </c>
      <c r="E475" t="s">
        <v>67</v>
      </c>
      <c r="F475" s="143" t="s">
        <v>11</v>
      </c>
      <c r="G475" s="140">
        <v>-9862.3100000000031</v>
      </c>
      <c r="H475" s="140">
        <v>-2068.9694999999992</v>
      </c>
      <c r="I475" s="140">
        <v>-1232.8012500000007</v>
      </c>
      <c r="J475" s="140">
        <v>97.71</v>
      </c>
      <c r="K475" s="141">
        <f t="shared" si="618"/>
        <v>0.20978548636171429</v>
      </c>
      <c r="L475" s="141">
        <f t="shared" si="619"/>
        <v>0.12500126745154028</v>
      </c>
      <c r="M475" s="141">
        <f t="shared" si="620"/>
        <v>-9.9074151998872432E-3</v>
      </c>
      <c r="N475" s="140">
        <f t="shared" si="621"/>
        <v>-6658.2492500000035</v>
      </c>
      <c r="U475" s="142">
        <f t="shared" si="624"/>
        <v>-9862.3100000000031</v>
      </c>
      <c r="V475" s="142">
        <f t="shared" si="624"/>
        <v>-2068.9694999999992</v>
      </c>
      <c r="W475" s="142">
        <f t="shared" si="624"/>
        <v>-1232.8012500000007</v>
      </c>
      <c r="X475" s="142">
        <f t="shared" si="624"/>
        <v>97.71</v>
      </c>
      <c r="Y475" s="142">
        <f t="shared" si="622"/>
        <v>-6658.2492500000035</v>
      </c>
    </row>
    <row r="476" spans="1:25" ht="15" hidden="1" x14ac:dyDescent="0.25">
      <c r="A476">
        <v>4</v>
      </c>
      <c r="B476">
        <v>2021</v>
      </c>
      <c r="C476">
        <v>2019</v>
      </c>
      <c r="D476" t="s">
        <v>327</v>
      </c>
      <c r="E476" t="s">
        <v>68</v>
      </c>
      <c r="F476" s="143" t="s">
        <v>8</v>
      </c>
      <c r="G476" s="140">
        <v>0</v>
      </c>
      <c r="H476" s="140">
        <v>0</v>
      </c>
      <c r="I476" s="140">
        <v>0</v>
      </c>
      <c r="J476" s="140">
        <v>0</v>
      </c>
      <c r="K476" s="141" t="e">
        <f t="shared" si="618"/>
        <v>#DIV/0!</v>
      </c>
      <c r="L476" s="141" t="e">
        <f t="shared" si="619"/>
        <v>#DIV/0!</v>
      </c>
      <c r="M476" s="141" t="e">
        <f t="shared" si="620"/>
        <v>#DIV/0!</v>
      </c>
      <c r="N476" s="140">
        <f t="shared" si="621"/>
        <v>0</v>
      </c>
      <c r="U476" s="142">
        <f t="shared" si="624"/>
        <v>0</v>
      </c>
      <c r="V476" s="142">
        <f t="shared" si="624"/>
        <v>0</v>
      </c>
      <c r="W476" s="142">
        <f t="shared" si="624"/>
        <v>0</v>
      </c>
      <c r="X476" s="142">
        <f t="shared" si="624"/>
        <v>0</v>
      </c>
      <c r="Y476" s="142">
        <f t="shared" si="622"/>
        <v>0</v>
      </c>
    </row>
    <row r="477" spans="1:25" ht="15" hidden="1" x14ac:dyDescent="0.25">
      <c r="A477">
        <v>5</v>
      </c>
      <c r="B477">
        <v>2021</v>
      </c>
      <c r="C477">
        <v>2019</v>
      </c>
      <c r="D477" t="s">
        <v>327</v>
      </c>
      <c r="E477" t="s">
        <v>67</v>
      </c>
      <c r="F477" s="143" t="s">
        <v>11</v>
      </c>
      <c r="G477" s="140">
        <v>262.29999999999961</v>
      </c>
      <c r="H477" s="140">
        <v>-101.73200000000004</v>
      </c>
      <c r="I477" s="140">
        <v>32.792499999999947</v>
      </c>
      <c r="J477" s="140">
        <v>6.839999999999999</v>
      </c>
      <c r="K477" s="141">
        <f t="shared" si="618"/>
        <v>-0.38784597788791536</v>
      </c>
      <c r="L477" s="141">
        <f t="shared" si="619"/>
        <v>0.12501906214258482</v>
      </c>
      <c r="M477" s="141">
        <f t="shared" si="620"/>
        <v>2.6077011056042734E-2</v>
      </c>
      <c r="N477" s="140">
        <f t="shared" si="621"/>
        <v>324.3994999999997</v>
      </c>
      <c r="U477" s="142">
        <f t="shared" si="624"/>
        <v>262.29999999999961</v>
      </c>
      <c r="V477" s="142">
        <f t="shared" si="624"/>
        <v>-101.73200000000004</v>
      </c>
      <c r="W477" s="142">
        <f t="shared" si="624"/>
        <v>32.792499999999947</v>
      </c>
      <c r="X477" s="142">
        <f t="shared" si="624"/>
        <v>6.839999999999999</v>
      </c>
      <c r="Y477" s="142">
        <f t="shared" si="622"/>
        <v>324.3994999999997</v>
      </c>
    </row>
    <row r="478" spans="1:25" ht="15" hidden="1" x14ac:dyDescent="0.25">
      <c r="A478">
        <v>5</v>
      </c>
      <c r="B478">
        <v>2021</v>
      </c>
      <c r="C478">
        <v>2019</v>
      </c>
      <c r="D478" t="s">
        <v>327</v>
      </c>
      <c r="E478" t="s">
        <v>68</v>
      </c>
      <c r="F478" s="143" t="s">
        <v>8</v>
      </c>
      <c r="G478" s="140">
        <v>50.9</v>
      </c>
      <c r="H478" s="140">
        <v>10.18</v>
      </c>
      <c r="I478" s="140">
        <v>6.3624999999999998</v>
      </c>
      <c r="J478" s="140">
        <v>1.5</v>
      </c>
      <c r="K478" s="141">
        <f t="shared" si="618"/>
        <v>0.2</v>
      </c>
      <c r="L478" s="141">
        <f t="shared" si="619"/>
        <v>0.125</v>
      </c>
      <c r="M478" s="141">
        <f t="shared" si="620"/>
        <v>2.9469548133595286E-2</v>
      </c>
      <c r="N478" s="140">
        <f t="shared" si="621"/>
        <v>32.857500000000002</v>
      </c>
      <c r="U478" s="142">
        <f t="shared" si="624"/>
        <v>50.9</v>
      </c>
      <c r="V478" s="142">
        <f t="shared" si="624"/>
        <v>10.18</v>
      </c>
      <c r="W478" s="142">
        <f t="shared" si="624"/>
        <v>6.3624999999999998</v>
      </c>
      <c r="X478" s="142">
        <f t="shared" si="624"/>
        <v>1.5</v>
      </c>
      <c r="Y478" s="142">
        <f t="shared" si="622"/>
        <v>32.857500000000002</v>
      </c>
    </row>
    <row r="479" spans="1:25" ht="15" hidden="1" x14ac:dyDescent="0.25">
      <c r="A479">
        <v>6</v>
      </c>
      <c r="B479">
        <v>2021</v>
      </c>
      <c r="C479">
        <v>2019</v>
      </c>
      <c r="D479" t="s">
        <v>327</v>
      </c>
      <c r="E479" t="s">
        <v>67</v>
      </c>
      <c r="F479" s="143" t="s">
        <v>11</v>
      </c>
      <c r="G479" s="140">
        <v>-1732.5400000000002</v>
      </c>
      <c r="H479" s="140">
        <v>-36.080249999999999</v>
      </c>
      <c r="I479" s="140">
        <v>-216.57000000000002</v>
      </c>
      <c r="J479" s="140">
        <v>-24.29</v>
      </c>
      <c r="K479" s="141">
        <f t="shared" si="618"/>
        <v>2.0825060316067737E-2</v>
      </c>
      <c r="L479" s="141">
        <f t="shared" si="619"/>
        <v>0.12500144296812771</v>
      </c>
      <c r="M479" s="141">
        <f t="shared" si="620"/>
        <v>1.4019878328927468E-2</v>
      </c>
      <c r="N479" s="140">
        <f t="shared" si="621"/>
        <v>-1455.5997500000003</v>
      </c>
      <c r="U479" s="142">
        <f t="shared" si="624"/>
        <v>-1732.5400000000002</v>
      </c>
      <c r="V479" s="142">
        <f t="shared" si="624"/>
        <v>-36.080249999999999</v>
      </c>
      <c r="W479" s="142">
        <f t="shared" si="624"/>
        <v>-216.57000000000002</v>
      </c>
      <c r="X479" s="142">
        <f t="shared" si="624"/>
        <v>-24.29</v>
      </c>
      <c r="Y479" s="142">
        <f t="shared" si="622"/>
        <v>-1455.5997500000003</v>
      </c>
    </row>
    <row r="480" spans="1:25" ht="15" hidden="1" x14ac:dyDescent="0.25">
      <c r="A480">
        <v>6</v>
      </c>
      <c r="B480">
        <v>2021</v>
      </c>
      <c r="C480">
        <v>2019</v>
      </c>
      <c r="D480" t="s">
        <v>327</v>
      </c>
      <c r="E480" t="s">
        <v>68</v>
      </c>
      <c r="F480" s="143" t="s">
        <v>8</v>
      </c>
      <c r="G480" s="140">
        <v>3746.81</v>
      </c>
      <c r="H480" s="140">
        <v>749.36200000000008</v>
      </c>
      <c r="I480" s="140">
        <v>468.35124999999999</v>
      </c>
      <c r="J480" s="140">
        <v>131.13</v>
      </c>
      <c r="K480" s="141">
        <f t="shared" si="618"/>
        <v>0.2</v>
      </c>
      <c r="L480" s="141">
        <f t="shared" si="619"/>
        <v>0.125</v>
      </c>
      <c r="M480" s="141">
        <f t="shared" si="620"/>
        <v>3.4997771437569561E-2</v>
      </c>
      <c r="N480" s="140">
        <f t="shared" si="621"/>
        <v>2397.9667499999996</v>
      </c>
      <c r="U480" s="142">
        <f t="shared" si="624"/>
        <v>3746.81</v>
      </c>
      <c r="V480" s="142">
        <f t="shared" si="624"/>
        <v>749.36200000000008</v>
      </c>
      <c r="W480" s="142">
        <f t="shared" si="624"/>
        <v>468.35124999999999</v>
      </c>
      <c r="X480" s="142">
        <f t="shared" si="624"/>
        <v>131.13</v>
      </c>
      <c r="Y480" s="142">
        <f t="shared" si="622"/>
        <v>2397.9667499999996</v>
      </c>
    </row>
    <row r="481" spans="1:25" ht="15" hidden="1" x14ac:dyDescent="0.25">
      <c r="A481">
        <v>7</v>
      </c>
      <c r="B481">
        <v>2021</v>
      </c>
      <c r="C481">
        <v>2019</v>
      </c>
      <c r="D481" t="s">
        <v>327</v>
      </c>
      <c r="E481" t="s">
        <v>67</v>
      </c>
      <c r="F481" s="143" t="s">
        <v>11</v>
      </c>
      <c r="G481" s="140">
        <v>8.4499999999999886</v>
      </c>
      <c r="H481" s="140">
        <v>1.1000000000000014</v>
      </c>
      <c r="I481" s="140">
        <v>1.0499999999999972</v>
      </c>
      <c r="J481" s="140">
        <v>-1.2300000000000004</v>
      </c>
      <c r="K481" s="141">
        <f t="shared" si="618"/>
        <v>0.13017751479289974</v>
      </c>
      <c r="L481" s="141">
        <f t="shared" si="619"/>
        <v>0.12426035502958563</v>
      </c>
      <c r="M481" s="141">
        <f t="shared" si="620"/>
        <v>-0.14556213017751504</v>
      </c>
      <c r="N481" s="140">
        <f t="shared" si="621"/>
        <v>7.5299999999999905</v>
      </c>
      <c r="U481" s="142">
        <f t="shared" si="624"/>
        <v>8.4499999999999886</v>
      </c>
      <c r="V481" s="142">
        <f t="shared" si="624"/>
        <v>1.1000000000000014</v>
      </c>
      <c r="W481" s="142">
        <f t="shared" si="624"/>
        <v>1.0499999999999972</v>
      </c>
      <c r="X481" s="142">
        <f t="shared" si="624"/>
        <v>-1.2300000000000004</v>
      </c>
      <c r="Y481" s="142">
        <f t="shared" si="622"/>
        <v>7.5299999999999905</v>
      </c>
    </row>
    <row r="482" spans="1:25" ht="15" hidden="1" x14ac:dyDescent="0.25">
      <c r="A482">
        <v>7</v>
      </c>
      <c r="B482">
        <v>2021</v>
      </c>
      <c r="C482">
        <v>2019</v>
      </c>
      <c r="D482" t="s">
        <v>327</v>
      </c>
      <c r="E482" t="s">
        <v>68</v>
      </c>
      <c r="F482" s="143" t="s">
        <v>8</v>
      </c>
      <c r="G482" s="140">
        <v>3200.16</v>
      </c>
      <c r="H482" s="140">
        <v>480.02399999999994</v>
      </c>
      <c r="I482" s="140">
        <v>400.02</v>
      </c>
      <c r="J482" s="140">
        <v>112.01</v>
      </c>
      <c r="K482" s="141">
        <f t="shared" si="618"/>
        <v>0.15</v>
      </c>
      <c r="L482" s="141">
        <f t="shared" si="619"/>
        <v>0.125</v>
      </c>
      <c r="M482" s="141">
        <f t="shared" si="620"/>
        <v>3.5001374931253437E-2</v>
      </c>
      <c r="N482" s="140">
        <f t="shared" si="621"/>
        <v>2208.1059999999998</v>
      </c>
      <c r="U482" s="142">
        <f t="shared" si="624"/>
        <v>3200.16</v>
      </c>
      <c r="V482" s="142">
        <f t="shared" si="624"/>
        <v>480.02399999999994</v>
      </c>
      <c r="W482" s="142">
        <f t="shared" si="624"/>
        <v>400.02</v>
      </c>
      <c r="X482" s="142">
        <f t="shared" si="624"/>
        <v>112.01</v>
      </c>
      <c r="Y482" s="142">
        <f t="shared" si="622"/>
        <v>2208.1059999999998</v>
      </c>
    </row>
    <row r="483" spans="1:25" ht="15" hidden="1" x14ac:dyDescent="0.25">
      <c r="A483">
        <v>8</v>
      </c>
      <c r="B483">
        <v>2021</v>
      </c>
      <c r="C483">
        <v>2019</v>
      </c>
      <c r="D483" t="s">
        <v>327</v>
      </c>
      <c r="E483" t="s">
        <v>67</v>
      </c>
      <c r="F483" s="143" t="s">
        <v>11</v>
      </c>
      <c r="G483" s="140">
        <v>527.95999999999992</v>
      </c>
      <c r="H483" s="140">
        <v>-12.930499999999997</v>
      </c>
      <c r="I483" s="140">
        <v>65.988749999999996</v>
      </c>
      <c r="J483" s="140">
        <v>15.960000000000003</v>
      </c>
      <c r="K483" s="141">
        <f t="shared" si="618"/>
        <v>-2.4491438745359494E-2</v>
      </c>
      <c r="L483" s="141">
        <f t="shared" si="619"/>
        <v>0.12498816198196834</v>
      </c>
      <c r="M483" s="141">
        <f t="shared" si="620"/>
        <v>3.0229562845670136E-2</v>
      </c>
      <c r="N483" s="140">
        <f t="shared" si="621"/>
        <v>458.94175000000001</v>
      </c>
      <c r="U483" s="142">
        <f t="shared" si="624"/>
        <v>527.95999999999992</v>
      </c>
      <c r="V483" s="142">
        <f t="shared" si="624"/>
        <v>-12.930499999999997</v>
      </c>
      <c r="W483" s="142">
        <f t="shared" si="624"/>
        <v>65.988749999999996</v>
      </c>
      <c r="X483" s="142">
        <f t="shared" si="624"/>
        <v>15.960000000000003</v>
      </c>
      <c r="Y483" s="142">
        <f t="shared" si="622"/>
        <v>458.94175000000001</v>
      </c>
    </row>
    <row r="484" spans="1:25" ht="15" hidden="1" x14ac:dyDescent="0.25">
      <c r="A484">
        <v>8</v>
      </c>
      <c r="B484">
        <v>2021</v>
      </c>
      <c r="C484">
        <v>2019</v>
      </c>
      <c r="D484" t="s">
        <v>327</v>
      </c>
      <c r="E484" t="s">
        <v>68</v>
      </c>
      <c r="F484" s="143" t="s">
        <v>8</v>
      </c>
      <c r="G484" s="140">
        <v>2301.0700000000002</v>
      </c>
      <c r="H484" s="140">
        <v>345.16050000000001</v>
      </c>
      <c r="I484" s="140">
        <v>287.63375000000002</v>
      </c>
      <c r="J484" s="140">
        <v>80.540000000000006</v>
      </c>
      <c r="K484" s="141">
        <f t="shared" si="618"/>
        <v>0.15</v>
      </c>
      <c r="L484" s="141">
        <f t="shared" si="619"/>
        <v>0.125</v>
      </c>
      <c r="M484" s="141">
        <f t="shared" si="620"/>
        <v>3.5001108180107515E-2</v>
      </c>
      <c r="N484" s="140">
        <f t="shared" si="621"/>
        <v>1587.7357500000003</v>
      </c>
      <c r="U484" s="142">
        <f t="shared" si="624"/>
        <v>2301.0700000000002</v>
      </c>
      <c r="V484" s="142">
        <f t="shared" si="624"/>
        <v>345.16050000000001</v>
      </c>
      <c r="W484" s="142">
        <f t="shared" si="624"/>
        <v>287.63375000000002</v>
      </c>
      <c r="X484" s="142">
        <f t="shared" si="624"/>
        <v>80.540000000000006</v>
      </c>
      <c r="Y484" s="142">
        <f t="shared" si="622"/>
        <v>1587.7357500000003</v>
      </c>
    </row>
    <row r="485" spans="1:25" ht="15" hidden="1" x14ac:dyDescent="0.25">
      <c r="A485">
        <v>9</v>
      </c>
      <c r="B485">
        <v>2021</v>
      </c>
      <c r="C485">
        <v>2019</v>
      </c>
      <c r="D485" t="s">
        <v>327</v>
      </c>
      <c r="E485" t="s">
        <v>67</v>
      </c>
      <c r="F485" s="143" t="s">
        <v>11</v>
      </c>
      <c r="G485" s="140">
        <v>4101.7800000000007</v>
      </c>
      <c r="H485" s="140">
        <v>744.51660000000004</v>
      </c>
      <c r="I485" s="140">
        <v>512.7387500000001</v>
      </c>
      <c r="J485" s="140">
        <v>58.33</v>
      </c>
      <c r="K485" s="141">
        <f t="shared" si="618"/>
        <v>0.18151061246580752</v>
      </c>
      <c r="L485" s="141">
        <f t="shared" si="619"/>
        <v>0.12500396169467889</v>
      </c>
      <c r="M485" s="141">
        <f t="shared" si="620"/>
        <v>1.4220655422767674E-2</v>
      </c>
      <c r="N485" s="140">
        <f t="shared" si="621"/>
        <v>2786.1946500000008</v>
      </c>
      <c r="U485" s="142">
        <f t="shared" si="624"/>
        <v>4101.7800000000007</v>
      </c>
      <c r="V485" s="142">
        <f t="shared" si="624"/>
        <v>744.51660000000004</v>
      </c>
      <c r="W485" s="142">
        <f t="shared" si="624"/>
        <v>512.7387500000001</v>
      </c>
      <c r="X485" s="142">
        <f t="shared" si="624"/>
        <v>58.33</v>
      </c>
      <c r="Y485" s="142">
        <f t="shared" si="622"/>
        <v>2786.1946500000008</v>
      </c>
    </row>
    <row r="486" spans="1:25" ht="15" hidden="1" x14ac:dyDescent="0.25">
      <c r="A486">
        <v>9</v>
      </c>
      <c r="B486">
        <v>2021</v>
      </c>
      <c r="C486">
        <v>2019</v>
      </c>
      <c r="D486" t="s">
        <v>327</v>
      </c>
      <c r="E486" t="s">
        <v>68</v>
      </c>
      <c r="F486" s="143" t="s">
        <v>8</v>
      </c>
      <c r="G486" s="140">
        <v>-238.6</v>
      </c>
      <c r="H486" s="140">
        <v>0</v>
      </c>
      <c r="I486" s="140">
        <v>-29.830000000000002</v>
      </c>
      <c r="J486" s="140">
        <v>-0.91</v>
      </c>
      <c r="K486" s="141">
        <v>-207.85999999999999</v>
      </c>
      <c r="L486" s="141">
        <f t="shared" si="619"/>
        <v>0.12502095557418275</v>
      </c>
      <c r="M486" s="141">
        <f t="shared" si="620"/>
        <v>3.8139145012573345E-3</v>
      </c>
      <c r="N486" s="140">
        <f t="shared" si="621"/>
        <v>-207.85999999999999</v>
      </c>
      <c r="U486" s="142">
        <f t="shared" si="624"/>
        <v>-238.6</v>
      </c>
      <c r="V486" s="142">
        <f t="shared" si="624"/>
        <v>0</v>
      </c>
      <c r="W486" s="142">
        <f t="shared" si="624"/>
        <v>-29.830000000000002</v>
      </c>
      <c r="X486" s="142">
        <f t="shared" si="624"/>
        <v>-0.91</v>
      </c>
      <c r="Y486" s="142">
        <f t="shared" si="622"/>
        <v>-207.85999999999999</v>
      </c>
    </row>
    <row r="487" spans="1:25" ht="15" hidden="1" x14ac:dyDescent="0.25">
      <c r="A487">
        <v>10</v>
      </c>
      <c r="B487">
        <v>2021</v>
      </c>
      <c r="C487">
        <v>2019</v>
      </c>
      <c r="D487" t="s">
        <v>327</v>
      </c>
      <c r="E487" t="s">
        <v>67</v>
      </c>
      <c r="F487" s="143" t="s">
        <v>11</v>
      </c>
      <c r="G487" s="140">
        <v>0</v>
      </c>
      <c r="H487" s="140">
        <v>0</v>
      </c>
      <c r="I487" s="140">
        <v>0</v>
      </c>
      <c r="J487" s="140">
        <v>0</v>
      </c>
      <c r="K487" s="141" t="e">
        <f t="shared" ref="K487:K550" si="625">H487/G487</f>
        <v>#DIV/0!</v>
      </c>
      <c r="L487" s="141" t="e">
        <f t="shared" si="619"/>
        <v>#DIV/0!</v>
      </c>
      <c r="M487" s="141" t="e">
        <f t="shared" si="620"/>
        <v>#DIV/0!</v>
      </c>
      <c r="N487" s="140">
        <f t="shared" si="621"/>
        <v>0</v>
      </c>
      <c r="U487" s="142">
        <f t="shared" si="624"/>
        <v>0</v>
      </c>
      <c r="V487" s="142">
        <f t="shared" si="624"/>
        <v>0</v>
      </c>
      <c r="W487" s="142">
        <f t="shared" si="624"/>
        <v>0</v>
      </c>
      <c r="X487" s="142">
        <f t="shared" si="624"/>
        <v>0</v>
      </c>
      <c r="Y487" s="142">
        <f t="shared" si="622"/>
        <v>0</v>
      </c>
    </row>
    <row r="488" spans="1:25" ht="15" hidden="1" x14ac:dyDescent="0.25">
      <c r="A488">
        <v>10</v>
      </c>
      <c r="B488">
        <v>2021</v>
      </c>
      <c r="C488">
        <v>2019</v>
      </c>
      <c r="D488" t="s">
        <v>327</v>
      </c>
      <c r="E488" t="s">
        <v>68</v>
      </c>
      <c r="F488" s="143" t="s">
        <v>8</v>
      </c>
      <c r="G488" s="140">
        <v>0</v>
      </c>
      <c r="H488" s="140">
        <v>0</v>
      </c>
      <c r="I488" s="140">
        <v>0</v>
      </c>
      <c r="J488" s="140">
        <v>0</v>
      </c>
      <c r="K488" s="141" t="e">
        <f t="shared" si="625"/>
        <v>#DIV/0!</v>
      </c>
      <c r="L488" s="141" t="e">
        <f t="shared" si="619"/>
        <v>#DIV/0!</v>
      </c>
      <c r="M488" s="141" t="e">
        <f t="shared" si="620"/>
        <v>#DIV/0!</v>
      </c>
      <c r="N488" s="140">
        <f t="shared" si="621"/>
        <v>0</v>
      </c>
      <c r="U488" s="142">
        <f t="shared" si="624"/>
        <v>0</v>
      </c>
      <c r="V488" s="142">
        <f t="shared" si="624"/>
        <v>0</v>
      </c>
      <c r="W488" s="142">
        <f t="shared" si="624"/>
        <v>0</v>
      </c>
      <c r="X488" s="142">
        <f t="shared" si="624"/>
        <v>0</v>
      </c>
      <c r="Y488" s="142">
        <f t="shared" si="622"/>
        <v>0</v>
      </c>
    </row>
    <row r="489" spans="1:25" ht="15" hidden="1" x14ac:dyDescent="0.25">
      <c r="A489">
        <v>11</v>
      </c>
      <c r="B489">
        <v>2021</v>
      </c>
      <c r="C489">
        <v>2019</v>
      </c>
      <c r="D489" t="s">
        <v>327</v>
      </c>
      <c r="E489" t="s">
        <v>67</v>
      </c>
      <c r="F489" s="143" t="s">
        <v>11</v>
      </c>
      <c r="G489" s="140">
        <v>-96.752398463302214</v>
      </c>
      <c r="H489" s="140">
        <v>-19.362039374759132</v>
      </c>
      <c r="I489" s="140">
        <v>-12.094049807912777</v>
      </c>
      <c r="J489" s="140">
        <v>-3.900656389491914</v>
      </c>
      <c r="K489" s="141">
        <f t="shared" si="625"/>
        <v>0.2001194769564609</v>
      </c>
      <c r="L489" s="141">
        <f t="shared" si="619"/>
        <v>0.125</v>
      </c>
      <c r="M489" s="141">
        <f t="shared" si="620"/>
        <v>4.0315862463827366E-2</v>
      </c>
      <c r="N489" s="140">
        <f t="shared" si="621"/>
        <v>-61.395652891138383</v>
      </c>
      <c r="U489" s="142">
        <f t="shared" si="624"/>
        <v>-96.752398463302214</v>
      </c>
      <c r="V489" s="142">
        <f t="shared" si="624"/>
        <v>-19.362039374759132</v>
      </c>
      <c r="W489" s="142">
        <f t="shared" si="624"/>
        <v>-12.094049807912777</v>
      </c>
      <c r="X489" s="142">
        <f t="shared" si="624"/>
        <v>-3.900656389491914</v>
      </c>
      <c r="Y489" s="142">
        <f t="shared" si="622"/>
        <v>-61.395652891138383</v>
      </c>
    </row>
    <row r="490" spans="1:25" ht="15" hidden="1" x14ac:dyDescent="0.25">
      <c r="A490">
        <v>11</v>
      </c>
      <c r="B490">
        <v>2021</v>
      </c>
      <c r="C490">
        <v>2019</v>
      </c>
      <c r="D490" t="s">
        <v>327</v>
      </c>
      <c r="E490" t="s">
        <v>68</v>
      </c>
      <c r="F490" s="143" t="s">
        <v>8</v>
      </c>
      <c r="G490" s="140">
        <v>0</v>
      </c>
      <c r="H490" s="140">
        <v>0</v>
      </c>
      <c r="I490" s="140">
        <v>0</v>
      </c>
      <c r="J490" s="140">
        <v>0</v>
      </c>
      <c r="K490" s="141" t="e">
        <f t="shared" si="625"/>
        <v>#DIV/0!</v>
      </c>
      <c r="L490" s="141" t="e">
        <f t="shared" si="619"/>
        <v>#DIV/0!</v>
      </c>
      <c r="M490" s="141" t="e">
        <f t="shared" si="620"/>
        <v>#DIV/0!</v>
      </c>
      <c r="N490" s="140">
        <f t="shared" si="621"/>
        <v>0</v>
      </c>
      <c r="U490" s="142">
        <f t="shared" si="624"/>
        <v>0</v>
      </c>
      <c r="V490" s="142">
        <f t="shared" si="624"/>
        <v>0</v>
      </c>
      <c r="W490" s="142">
        <f t="shared" si="624"/>
        <v>0</v>
      </c>
      <c r="X490" s="142">
        <f t="shared" si="624"/>
        <v>0</v>
      </c>
      <c r="Y490" s="142">
        <f t="shared" si="622"/>
        <v>0</v>
      </c>
    </row>
    <row r="491" spans="1:25" ht="15" hidden="1" x14ac:dyDescent="0.25">
      <c r="A491">
        <v>12</v>
      </c>
      <c r="B491">
        <v>2021</v>
      </c>
      <c r="C491">
        <v>2019</v>
      </c>
      <c r="D491" t="s">
        <v>327</v>
      </c>
      <c r="E491" t="s">
        <v>67</v>
      </c>
      <c r="F491" s="143" t="s">
        <v>11</v>
      </c>
      <c r="G491" s="140">
        <v>0</v>
      </c>
      <c r="H491" s="140">
        <v>0</v>
      </c>
      <c r="I491" s="140">
        <v>0</v>
      </c>
      <c r="J491" s="140">
        <v>0</v>
      </c>
      <c r="K491" s="141" t="e">
        <f t="shared" si="625"/>
        <v>#DIV/0!</v>
      </c>
      <c r="L491" s="141" t="e">
        <f t="shared" si="619"/>
        <v>#DIV/0!</v>
      </c>
      <c r="M491" s="141" t="e">
        <f t="shared" si="620"/>
        <v>#DIV/0!</v>
      </c>
      <c r="N491" s="140">
        <f t="shared" si="621"/>
        <v>0</v>
      </c>
      <c r="U491" s="142">
        <f t="shared" si="624"/>
        <v>0</v>
      </c>
      <c r="V491" s="142">
        <f t="shared" si="624"/>
        <v>0</v>
      </c>
      <c r="W491" s="142">
        <f t="shared" si="624"/>
        <v>0</v>
      </c>
      <c r="X491" s="142">
        <f t="shared" si="624"/>
        <v>0</v>
      </c>
      <c r="Y491" s="142">
        <f t="shared" si="622"/>
        <v>0</v>
      </c>
    </row>
    <row r="492" spans="1:25" ht="15" hidden="1" x14ac:dyDescent="0.25">
      <c r="A492">
        <v>12</v>
      </c>
      <c r="B492">
        <v>2021</v>
      </c>
      <c r="C492">
        <v>2019</v>
      </c>
      <c r="D492" t="s">
        <v>327</v>
      </c>
      <c r="E492" t="s">
        <v>68</v>
      </c>
      <c r="F492" s="143" t="s">
        <v>8</v>
      </c>
      <c r="G492" s="140">
        <v>-54.109899999999996</v>
      </c>
      <c r="H492" s="140">
        <v>-10.82198</v>
      </c>
      <c r="I492" s="140">
        <v>-6.7637374999999995</v>
      </c>
      <c r="J492" s="140">
        <v>-1.89</v>
      </c>
      <c r="K492" s="141">
        <f t="shared" si="625"/>
        <v>0.2</v>
      </c>
      <c r="L492" s="141">
        <f t="shared" si="619"/>
        <v>0.125</v>
      </c>
      <c r="M492" s="141">
        <f t="shared" si="620"/>
        <v>3.4928913193334306E-2</v>
      </c>
      <c r="N492" s="140">
        <f t="shared" si="621"/>
        <v>-34.634182500000001</v>
      </c>
      <c r="U492" s="142">
        <f t="shared" si="624"/>
        <v>-54.109899999999996</v>
      </c>
      <c r="V492" s="142">
        <f t="shared" si="624"/>
        <v>-10.82198</v>
      </c>
      <c r="W492" s="142">
        <f t="shared" si="624"/>
        <v>-6.7637374999999995</v>
      </c>
      <c r="X492" s="142">
        <f t="shared" si="624"/>
        <v>-1.89</v>
      </c>
      <c r="Y492" s="142">
        <f t="shared" si="622"/>
        <v>-34.634182500000001</v>
      </c>
    </row>
    <row r="493" spans="1:25" ht="15" hidden="1" x14ac:dyDescent="0.25">
      <c r="A493">
        <v>1</v>
      </c>
      <c r="B493">
        <v>2022</v>
      </c>
      <c r="C493">
        <v>2019</v>
      </c>
      <c r="D493" t="s">
        <v>327</v>
      </c>
      <c r="E493" t="s">
        <v>67</v>
      </c>
      <c r="F493" s="143" t="s">
        <v>11</v>
      </c>
      <c r="G493" s="140">
        <v>14.731620661116793</v>
      </c>
      <c r="H493" s="140">
        <v>3.1322954091816371</v>
      </c>
      <c r="I493" s="140">
        <v>1.8414525826395991</v>
      </c>
      <c r="J493" s="140">
        <v>0.39920159680638723</v>
      </c>
      <c r="K493" s="141">
        <f t="shared" si="625"/>
        <v>0.21262395232923273</v>
      </c>
      <c r="L493" s="141">
        <f t="shared" si="619"/>
        <v>0.125</v>
      </c>
      <c r="M493" s="141">
        <f t="shared" si="620"/>
        <v>2.7098281037065752E-2</v>
      </c>
      <c r="N493" s="140">
        <f t="shared" si="621"/>
        <v>9.3586710724891695</v>
      </c>
      <c r="U493" s="142">
        <f t="shared" si="624"/>
        <v>14.731620661116793</v>
      </c>
      <c r="V493" s="142">
        <f t="shared" si="624"/>
        <v>3.1322954091816371</v>
      </c>
      <c r="W493" s="142">
        <f t="shared" si="624"/>
        <v>1.8414525826395991</v>
      </c>
      <c r="X493" s="142">
        <f t="shared" si="624"/>
        <v>0.39920159680638723</v>
      </c>
      <c r="Y493" s="142">
        <f t="shared" si="622"/>
        <v>9.3586710724891695</v>
      </c>
    </row>
    <row r="494" spans="1:25" ht="15" hidden="1" x14ac:dyDescent="0.25">
      <c r="A494">
        <v>1</v>
      </c>
      <c r="B494">
        <v>2022</v>
      </c>
      <c r="C494">
        <v>2019</v>
      </c>
      <c r="D494" t="s">
        <v>327</v>
      </c>
      <c r="E494" t="s">
        <v>68</v>
      </c>
      <c r="F494" s="143" t="s">
        <v>8</v>
      </c>
      <c r="G494" s="140">
        <v>0</v>
      </c>
      <c r="H494" s="140">
        <v>0</v>
      </c>
      <c r="I494" s="140">
        <v>0</v>
      </c>
      <c r="J494" s="140">
        <v>0</v>
      </c>
      <c r="K494" s="141" t="e">
        <f t="shared" si="625"/>
        <v>#DIV/0!</v>
      </c>
      <c r="L494" s="141" t="e">
        <f t="shared" si="619"/>
        <v>#DIV/0!</v>
      </c>
      <c r="M494" s="141" t="e">
        <f t="shared" si="620"/>
        <v>#DIV/0!</v>
      </c>
      <c r="N494" s="140">
        <f t="shared" si="621"/>
        <v>0</v>
      </c>
      <c r="U494" s="142">
        <f t="shared" si="624"/>
        <v>0</v>
      </c>
      <c r="V494" s="142">
        <f t="shared" si="624"/>
        <v>0</v>
      </c>
      <c r="W494" s="142">
        <f t="shared" si="624"/>
        <v>0</v>
      </c>
      <c r="X494" s="142">
        <f t="shared" si="624"/>
        <v>0</v>
      </c>
      <c r="Y494" s="142">
        <f t="shared" si="622"/>
        <v>0</v>
      </c>
    </row>
    <row r="495" spans="1:25" ht="15" hidden="1" x14ac:dyDescent="0.25">
      <c r="A495">
        <v>1</v>
      </c>
      <c r="B495">
        <v>2020</v>
      </c>
      <c r="C495">
        <v>2020</v>
      </c>
      <c r="D495" t="s">
        <v>327</v>
      </c>
      <c r="E495" t="s">
        <v>67</v>
      </c>
      <c r="F495" s="143" t="s">
        <v>17</v>
      </c>
      <c r="G495" s="140">
        <v>68374.581591205657</v>
      </c>
      <c r="H495" s="140">
        <v>14504.175748750427</v>
      </c>
      <c r="I495" s="140">
        <v>6837.458159120567</v>
      </c>
      <c r="J495" s="140">
        <v>1168.5203244005315</v>
      </c>
      <c r="K495" s="141">
        <f t="shared" si="625"/>
        <v>0.21212818288917989</v>
      </c>
      <c r="L495" s="141">
        <f t="shared" si="619"/>
        <v>0.10000000000000002</v>
      </c>
      <c r="M495" s="141">
        <f t="shared" si="620"/>
        <v>1.7089981352819375E-2</v>
      </c>
      <c r="N495" s="140">
        <f t="shared" si="621"/>
        <v>45864.427358934132</v>
      </c>
      <c r="O495" s="137">
        <v>5137487.33</v>
      </c>
      <c r="P495" s="137">
        <v>1341278.55</v>
      </c>
      <c r="Q495">
        <v>0</v>
      </c>
      <c r="R495" s="137">
        <v>63161.93</v>
      </c>
      <c r="S495" s="137">
        <f>O495-P495-Q495-R495</f>
        <v>3733046.85</v>
      </c>
      <c r="U495" s="142">
        <f t="shared" si="624"/>
        <v>-5069112.7484087944</v>
      </c>
      <c r="V495" s="142">
        <f t="shared" si="624"/>
        <v>-1326774.3742512497</v>
      </c>
      <c r="W495" s="142">
        <f t="shared" si="624"/>
        <v>6837.458159120567</v>
      </c>
      <c r="X495" s="142">
        <f t="shared" si="624"/>
        <v>-61993.409675599469</v>
      </c>
      <c r="Y495" s="142">
        <f t="shared" si="622"/>
        <v>-3687182.4226410659</v>
      </c>
    </row>
    <row r="496" spans="1:25" ht="15" hidden="1" x14ac:dyDescent="0.25">
      <c r="A496">
        <v>1</v>
      </c>
      <c r="B496">
        <v>2020</v>
      </c>
      <c r="C496">
        <v>2020</v>
      </c>
      <c r="D496" t="s">
        <v>327</v>
      </c>
      <c r="E496" t="s">
        <v>68</v>
      </c>
      <c r="F496" s="143" t="s">
        <v>16</v>
      </c>
      <c r="G496" s="140">
        <v>0</v>
      </c>
      <c r="H496" s="140">
        <v>0</v>
      </c>
      <c r="I496" s="140">
        <v>0</v>
      </c>
      <c r="J496" s="140">
        <v>0</v>
      </c>
      <c r="K496" s="141" t="e">
        <f t="shared" si="625"/>
        <v>#DIV/0!</v>
      </c>
      <c r="L496" s="141" t="e">
        <f t="shared" si="619"/>
        <v>#DIV/0!</v>
      </c>
      <c r="M496" s="141" t="e">
        <f t="shared" si="620"/>
        <v>#DIV/0!</v>
      </c>
      <c r="N496" s="140">
        <f t="shared" si="621"/>
        <v>0</v>
      </c>
      <c r="O496" s="137">
        <v>1604425.49</v>
      </c>
      <c r="P496" s="137">
        <v>375014.81</v>
      </c>
      <c r="Q496">
        <v>0</v>
      </c>
      <c r="R496" s="137">
        <v>42823.38</v>
      </c>
      <c r="S496" s="137">
        <f>O496-P496-Q496-R496</f>
        <v>1186587.3</v>
      </c>
      <c r="U496" s="142">
        <f t="shared" si="624"/>
        <v>-1604425.49</v>
      </c>
      <c r="V496" s="142">
        <f t="shared" si="624"/>
        <v>-375014.81</v>
      </c>
      <c r="W496" s="142">
        <f t="shared" si="624"/>
        <v>0</v>
      </c>
      <c r="X496" s="142">
        <f t="shared" si="624"/>
        <v>-42823.38</v>
      </c>
      <c r="Y496" s="142">
        <f t="shared" si="622"/>
        <v>-1186587.3</v>
      </c>
    </row>
    <row r="497" spans="1:25" ht="15" hidden="1" x14ac:dyDescent="0.25">
      <c r="A497">
        <v>2</v>
      </c>
      <c r="B497">
        <v>2020</v>
      </c>
      <c r="C497">
        <v>2020</v>
      </c>
      <c r="D497" t="s">
        <v>327</v>
      </c>
      <c r="E497" t="s">
        <v>67</v>
      </c>
      <c r="F497" s="143" t="s">
        <v>17</v>
      </c>
      <c r="G497" s="140">
        <v>409755.1338150251</v>
      </c>
      <c r="H497" s="140">
        <v>61005.021220357972</v>
      </c>
      <c r="I497" s="140">
        <v>40975.513381502518</v>
      </c>
      <c r="J497" s="140">
        <v>5982.8788178517243</v>
      </c>
      <c r="K497" s="141">
        <f t="shared" si="625"/>
        <v>0.14888165195728173</v>
      </c>
      <c r="L497" s="141">
        <f t="shared" ref="L497:L560" si="626">I497/G497</f>
        <v>0.10000000000000002</v>
      </c>
      <c r="M497" s="141">
        <f t="shared" ref="M497:M560" si="627">J497/G497</f>
        <v>1.4601107647262725E-2</v>
      </c>
      <c r="N497" s="140">
        <f t="shared" ref="N497:N560" si="628">G497-H497-I497-J497</f>
        <v>301791.72039531288</v>
      </c>
      <c r="U497" s="142">
        <f t="shared" si="624"/>
        <v>409755.1338150251</v>
      </c>
      <c r="V497" s="142">
        <f t="shared" si="624"/>
        <v>61005.021220357972</v>
      </c>
      <c r="W497" s="142">
        <f t="shared" si="624"/>
        <v>40975.513381502518</v>
      </c>
      <c r="X497" s="142">
        <f t="shared" si="624"/>
        <v>5982.8788178517243</v>
      </c>
      <c r="Y497" s="142">
        <f t="shared" ref="Y497:Y560" si="629">N497-S497</f>
        <v>301791.72039531288</v>
      </c>
    </row>
    <row r="498" spans="1:25" ht="15" hidden="1" x14ac:dyDescent="0.25">
      <c r="A498">
        <v>2</v>
      </c>
      <c r="B498">
        <v>2020</v>
      </c>
      <c r="C498">
        <v>2020</v>
      </c>
      <c r="D498" t="s">
        <v>327</v>
      </c>
      <c r="E498" t="s">
        <v>68</v>
      </c>
      <c r="F498" s="143" t="s">
        <v>16</v>
      </c>
      <c r="G498" s="140">
        <v>28165.613647122591</v>
      </c>
      <c r="H498" s="140">
        <v>4729.10468621768</v>
      </c>
      <c r="I498" s="140">
        <v>2816.5613647122595</v>
      </c>
      <c r="J498" s="140">
        <v>1096.7899156554552</v>
      </c>
      <c r="K498" s="141">
        <f t="shared" si="625"/>
        <v>0.16790348491841955</v>
      </c>
      <c r="L498" s="141">
        <f t="shared" si="626"/>
        <v>0.10000000000000002</v>
      </c>
      <c r="M498" s="141">
        <f t="shared" si="627"/>
        <v>3.8940742758058235E-2</v>
      </c>
      <c r="N498" s="140">
        <f t="shared" si="628"/>
        <v>19523.157680537195</v>
      </c>
      <c r="U498" s="142">
        <f t="shared" si="624"/>
        <v>28165.613647122591</v>
      </c>
      <c r="V498" s="142">
        <f t="shared" si="624"/>
        <v>4729.10468621768</v>
      </c>
      <c r="W498" s="142">
        <f t="shared" si="624"/>
        <v>2816.5613647122595</v>
      </c>
      <c r="X498" s="142">
        <f t="shared" si="624"/>
        <v>1096.7899156554552</v>
      </c>
      <c r="Y498" s="142">
        <f t="shared" si="629"/>
        <v>19523.157680537195</v>
      </c>
    </row>
    <row r="499" spans="1:25" ht="15" hidden="1" x14ac:dyDescent="0.25">
      <c r="A499">
        <v>3</v>
      </c>
      <c r="B499">
        <v>2020</v>
      </c>
      <c r="C499">
        <v>2020</v>
      </c>
      <c r="D499" t="s">
        <v>327</v>
      </c>
      <c r="E499" t="s">
        <v>67</v>
      </c>
      <c r="F499" s="143" t="s">
        <v>17</v>
      </c>
      <c r="G499" s="140">
        <v>318650.36262772075</v>
      </c>
      <c r="H499" s="140">
        <v>59198.420374665155</v>
      </c>
      <c r="I499" s="140">
        <v>31865.036262772086</v>
      </c>
      <c r="J499" s="140">
        <v>5177.8718539812144</v>
      </c>
      <c r="K499" s="141">
        <f t="shared" si="625"/>
        <v>0.18577860664111867</v>
      </c>
      <c r="L499" s="141">
        <f t="shared" si="626"/>
        <v>0.10000000000000003</v>
      </c>
      <c r="M499" s="141">
        <f t="shared" si="627"/>
        <v>1.6249383215140172E-2</v>
      </c>
      <c r="N499" s="140">
        <f t="shared" si="628"/>
        <v>222409.0341363023</v>
      </c>
      <c r="U499" s="142">
        <f t="shared" si="624"/>
        <v>318650.36262772075</v>
      </c>
      <c r="V499" s="142">
        <f t="shared" si="624"/>
        <v>59198.420374665155</v>
      </c>
      <c r="W499" s="142">
        <f t="shared" si="624"/>
        <v>31865.036262772086</v>
      </c>
      <c r="X499" s="142">
        <f t="shared" si="624"/>
        <v>5177.8718539812144</v>
      </c>
      <c r="Y499" s="142">
        <f t="shared" si="629"/>
        <v>222409.0341363023</v>
      </c>
    </row>
    <row r="500" spans="1:25" ht="15" hidden="1" x14ac:dyDescent="0.25">
      <c r="A500">
        <v>3</v>
      </c>
      <c r="B500">
        <v>2020</v>
      </c>
      <c r="C500">
        <v>2020</v>
      </c>
      <c r="D500" t="s">
        <v>327</v>
      </c>
      <c r="E500" t="s">
        <v>68</v>
      </c>
      <c r="F500" s="143" t="s">
        <v>16</v>
      </c>
      <c r="G500" s="140">
        <v>180449.04574636661</v>
      </c>
      <c r="H500" s="140">
        <v>24949.179655634827</v>
      </c>
      <c r="I500" s="140">
        <v>18044.904574636661</v>
      </c>
      <c r="J500" s="140">
        <v>4031.8856488545061</v>
      </c>
      <c r="K500" s="141">
        <f t="shared" si="625"/>
        <v>0.13826163254253276</v>
      </c>
      <c r="L500" s="141">
        <f t="shared" si="626"/>
        <v>0.1</v>
      </c>
      <c r="M500" s="141">
        <f t="shared" si="627"/>
        <v>2.234362410827927E-2</v>
      </c>
      <c r="N500" s="140">
        <f t="shared" si="628"/>
        <v>133423.07586724061</v>
      </c>
      <c r="U500" s="142">
        <f t="shared" si="624"/>
        <v>180449.04574636661</v>
      </c>
      <c r="V500" s="142">
        <f t="shared" si="624"/>
        <v>24949.179655634827</v>
      </c>
      <c r="W500" s="142">
        <f t="shared" si="624"/>
        <v>18044.904574636661</v>
      </c>
      <c r="X500" s="142">
        <f t="shared" si="624"/>
        <v>4031.8856488545061</v>
      </c>
      <c r="Y500" s="142">
        <f t="shared" si="629"/>
        <v>133423.07586724061</v>
      </c>
    </row>
    <row r="501" spans="1:25" ht="15" hidden="1" x14ac:dyDescent="0.25">
      <c r="A501">
        <v>4</v>
      </c>
      <c r="B501">
        <v>2020</v>
      </c>
      <c r="C501">
        <v>2020</v>
      </c>
      <c r="D501" t="s">
        <v>327</v>
      </c>
      <c r="E501" t="s">
        <v>67</v>
      </c>
      <c r="F501" s="143" t="s">
        <v>17</v>
      </c>
      <c r="G501" s="140">
        <v>830206.46332774602</v>
      </c>
      <c r="H501" s="140">
        <v>166126.47819005538</v>
      </c>
      <c r="I501" s="140">
        <v>83020.646332774617</v>
      </c>
      <c r="J501" s="140">
        <v>4914.3214167631886</v>
      </c>
      <c r="K501" s="141">
        <f t="shared" si="625"/>
        <v>0.20010260763830329</v>
      </c>
      <c r="L501" s="141">
        <f t="shared" si="626"/>
        <v>0.10000000000000002</v>
      </c>
      <c r="M501" s="141">
        <f t="shared" si="627"/>
        <v>5.9193967209854523E-3</v>
      </c>
      <c r="N501" s="140">
        <f t="shared" si="628"/>
        <v>576145.01738815277</v>
      </c>
      <c r="U501" s="142">
        <f t="shared" si="624"/>
        <v>830206.46332774602</v>
      </c>
      <c r="V501" s="142">
        <f t="shared" si="624"/>
        <v>166126.47819005538</v>
      </c>
      <c r="W501" s="142">
        <f t="shared" si="624"/>
        <v>83020.646332774617</v>
      </c>
      <c r="X501" s="142">
        <f t="shared" si="624"/>
        <v>4914.3214167631886</v>
      </c>
      <c r="Y501" s="142">
        <f t="shared" si="629"/>
        <v>576145.01738815277</v>
      </c>
    </row>
    <row r="502" spans="1:25" ht="15" hidden="1" x14ac:dyDescent="0.25">
      <c r="A502">
        <v>4</v>
      </c>
      <c r="B502">
        <v>2020</v>
      </c>
      <c r="C502">
        <v>2020</v>
      </c>
      <c r="D502" t="s">
        <v>327</v>
      </c>
      <c r="E502" t="s">
        <v>68</v>
      </c>
      <c r="F502" s="143" t="s">
        <v>16</v>
      </c>
      <c r="G502" s="140">
        <v>239097.9487819816</v>
      </c>
      <c r="H502" s="140">
        <v>10963.004323336096</v>
      </c>
      <c r="I502" s="140">
        <v>23909.794878198161</v>
      </c>
      <c r="J502" s="140">
        <v>11000.886594555624</v>
      </c>
      <c r="K502" s="141">
        <f t="shared" si="625"/>
        <v>4.585151976076788E-2</v>
      </c>
      <c r="L502" s="141">
        <f t="shared" si="626"/>
        <v>0.1</v>
      </c>
      <c r="M502" s="141">
        <f t="shared" si="627"/>
        <v>4.6009958055251418E-2</v>
      </c>
      <c r="N502" s="140">
        <f t="shared" si="628"/>
        <v>193224.26298589172</v>
      </c>
      <c r="U502" s="142">
        <f t="shared" si="624"/>
        <v>239097.9487819816</v>
      </c>
      <c r="V502" s="142">
        <f t="shared" si="624"/>
        <v>10963.004323336096</v>
      </c>
      <c r="W502" s="142">
        <f t="shared" si="624"/>
        <v>23909.794878198161</v>
      </c>
      <c r="X502" s="142">
        <f t="shared" si="624"/>
        <v>11000.886594555624</v>
      </c>
      <c r="Y502" s="142">
        <f t="shared" si="629"/>
        <v>193224.26298589172</v>
      </c>
    </row>
    <row r="503" spans="1:25" ht="15" hidden="1" x14ac:dyDescent="0.25">
      <c r="A503">
        <v>5</v>
      </c>
      <c r="B503">
        <v>2020</v>
      </c>
      <c r="C503">
        <v>2020</v>
      </c>
      <c r="D503" t="s">
        <v>327</v>
      </c>
      <c r="E503" t="s">
        <v>67</v>
      </c>
      <c r="F503" s="143" t="s">
        <v>17</v>
      </c>
      <c r="G503" s="140">
        <v>320954.19000000006</v>
      </c>
      <c r="H503" s="140">
        <v>61993.69</v>
      </c>
      <c r="I503" s="140">
        <v>32095.399999999991</v>
      </c>
      <c r="J503" s="140">
        <v>8040.4800000000023</v>
      </c>
      <c r="K503" s="141">
        <f t="shared" si="625"/>
        <v>0.19315432523251991</v>
      </c>
      <c r="L503" s="141">
        <f t="shared" si="626"/>
        <v>9.9999940801520568E-2</v>
      </c>
      <c r="M503" s="141">
        <f t="shared" si="627"/>
        <v>2.5051799448388572E-2</v>
      </c>
      <c r="N503" s="140">
        <f t="shared" si="628"/>
        <v>218824.62000000005</v>
      </c>
      <c r="U503" s="142">
        <f t="shared" si="624"/>
        <v>320954.19000000006</v>
      </c>
      <c r="V503" s="142">
        <f t="shared" si="624"/>
        <v>61993.69</v>
      </c>
      <c r="W503" s="142">
        <f t="shared" si="624"/>
        <v>32095.399999999991</v>
      </c>
      <c r="X503" s="142">
        <f t="shared" si="624"/>
        <v>8040.4800000000023</v>
      </c>
      <c r="Y503" s="142">
        <f t="shared" si="629"/>
        <v>218824.62000000005</v>
      </c>
    </row>
    <row r="504" spans="1:25" ht="15" hidden="1" x14ac:dyDescent="0.25">
      <c r="A504">
        <v>5</v>
      </c>
      <c r="B504">
        <v>2020</v>
      </c>
      <c r="C504">
        <v>2020</v>
      </c>
      <c r="D504" t="s">
        <v>327</v>
      </c>
      <c r="E504" t="s">
        <v>68</v>
      </c>
      <c r="F504" s="143" t="s">
        <v>16</v>
      </c>
      <c r="G504" s="140">
        <v>105046.42</v>
      </c>
      <c r="H504" s="140">
        <v>18147.659999999996</v>
      </c>
      <c r="I504" s="140">
        <v>10504.64</v>
      </c>
      <c r="J504" s="140">
        <v>2877.86</v>
      </c>
      <c r="K504" s="141">
        <f t="shared" si="625"/>
        <v>0.17275848144087153</v>
      </c>
      <c r="L504" s="141">
        <f t="shared" si="626"/>
        <v>9.9999980960798082E-2</v>
      </c>
      <c r="M504" s="141">
        <f t="shared" si="627"/>
        <v>2.7396078800210423E-2</v>
      </c>
      <c r="N504" s="140">
        <f t="shared" si="628"/>
        <v>73516.260000000009</v>
      </c>
      <c r="U504" s="142">
        <f t="shared" si="624"/>
        <v>105046.42</v>
      </c>
      <c r="V504" s="142">
        <f t="shared" si="624"/>
        <v>18147.659999999996</v>
      </c>
      <c r="W504" s="142">
        <f t="shared" si="624"/>
        <v>10504.64</v>
      </c>
      <c r="X504" s="142">
        <f t="shared" si="624"/>
        <v>2877.86</v>
      </c>
      <c r="Y504" s="142">
        <f t="shared" si="629"/>
        <v>73516.260000000009</v>
      </c>
    </row>
    <row r="505" spans="1:25" ht="15" hidden="1" x14ac:dyDescent="0.25">
      <c r="A505">
        <v>6</v>
      </c>
      <c r="B505">
        <v>2020</v>
      </c>
      <c r="C505">
        <v>2020</v>
      </c>
      <c r="D505" t="s">
        <v>327</v>
      </c>
      <c r="E505" t="s">
        <v>67</v>
      </c>
      <c r="F505" s="143" t="s">
        <v>17</v>
      </c>
      <c r="G505" s="140">
        <v>1015021.4899999998</v>
      </c>
      <c r="H505" s="140">
        <v>86088.489999999962</v>
      </c>
      <c r="I505" s="140">
        <v>101502.15000000002</v>
      </c>
      <c r="J505" s="140">
        <v>8778.3200000000015</v>
      </c>
      <c r="K505" s="141">
        <f t="shared" si="625"/>
        <v>8.4814450578775416E-2</v>
      </c>
      <c r="L505" s="141">
        <f t="shared" si="626"/>
        <v>0.10000000098520086</v>
      </c>
      <c r="M505" s="141">
        <f t="shared" si="627"/>
        <v>8.6484080253315665E-3</v>
      </c>
      <c r="N505" s="140">
        <f t="shared" si="628"/>
        <v>818652.5299999998</v>
      </c>
      <c r="U505" s="142">
        <f t="shared" si="624"/>
        <v>1015021.4899999998</v>
      </c>
      <c r="V505" s="142">
        <f t="shared" si="624"/>
        <v>86088.489999999962</v>
      </c>
      <c r="W505" s="142">
        <f t="shared" si="624"/>
        <v>101502.15000000002</v>
      </c>
      <c r="X505" s="142">
        <f t="shared" si="624"/>
        <v>8778.3200000000015</v>
      </c>
      <c r="Y505" s="142">
        <f t="shared" si="629"/>
        <v>818652.5299999998</v>
      </c>
    </row>
    <row r="506" spans="1:25" ht="15" hidden="1" x14ac:dyDescent="0.25">
      <c r="A506">
        <v>6</v>
      </c>
      <c r="B506">
        <v>2020</v>
      </c>
      <c r="C506">
        <v>2020</v>
      </c>
      <c r="D506" t="s">
        <v>327</v>
      </c>
      <c r="E506" t="s">
        <v>68</v>
      </c>
      <c r="F506" s="143" t="s">
        <v>16</v>
      </c>
      <c r="G506" s="140">
        <v>170251.93</v>
      </c>
      <c r="H506" s="140">
        <v>33506.770000000004</v>
      </c>
      <c r="I506" s="140">
        <v>17025.190000000002</v>
      </c>
      <c r="J506" s="140">
        <v>5244.49</v>
      </c>
      <c r="K506" s="141">
        <f t="shared" si="625"/>
        <v>0.19680699067552423</v>
      </c>
      <c r="L506" s="141">
        <f t="shared" si="626"/>
        <v>9.99999823790544E-2</v>
      </c>
      <c r="M506" s="141">
        <f t="shared" si="627"/>
        <v>3.080429102918246E-2</v>
      </c>
      <c r="N506" s="140">
        <f t="shared" si="628"/>
        <v>114475.47999999997</v>
      </c>
      <c r="U506" s="142">
        <f t="shared" si="624"/>
        <v>170251.93</v>
      </c>
      <c r="V506" s="142">
        <f t="shared" si="624"/>
        <v>33506.770000000004</v>
      </c>
      <c r="W506" s="142">
        <f t="shared" si="624"/>
        <v>17025.190000000002</v>
      </c>
      <c r="X506" s="142">
        <f t="shared" si="624"/>
        <v>5244.49</v>
      </c>
      <c r="Y506" s="142">
        <f t="shared" si="629"/>
        <v>114475.47999999997</v>
      </c>
    </row>
    <row r="507" spans="1:25" ht="15" hidden="1" x14ac:dyDescent="0.25">
      <c r="A507">
        <v>7</v>
      </c>
      <c r="B507">
        <v>2020</v>
      </c>
      <c r="C507">
        <v>2020</v>
      </c>
      <c r="D507" t="s">
        <v>327</v>
      </c>
      <c r="E507" t="s">
        <v>67</v>
      </c>
      <c r="F507" s="143" t="s">
        <v>17</v>
      </c>
      <c r="G507" s="140">
        <v>174567.56</v>
      </c>
      <c r="H507" s="140">
        <v>34013.799000000006</v>
      </c>
      <c r="I507" s="140">
        <v>17456.746000000003</v>
      </c>
      <c r="J507" s="140">
        <v>2940.17</v>
      </c>
      <c r="K507" s="141">
        <f t="shared" si="625"/>
        <v>0.19484604699750632</v>
      </c>
      <c r="L507" s="141">
        <f t="shared" si="626"/>
        <v>9.999994271558818E-2</v>
      </c>
      <c r="M507" s="141">
        <f t="shared" si="627"/>
        <v>1.6842590914371489E-2</v>
      </c>
      <c r="N507" s="140">
        <f t="shared" si="628"/>
        <v>120156.845</v>
      </c>
      <c r="U507" s="142">
        <f t="shared" si="624"/>
        <v>174567.56</v>
      </c>
      <c r="V507" s="142">
        <f t="shared" si="624"/>
        <v>34013.799000000006</v>
      </c>
      <c r="W507" s="142">
        <f t="shared" si="624"/>
        <v>17456.746000000003</v>
      </c>
      <c r="X507" s="142">
        <f t="shared" si="624"/>
        <v>2940.17</v>
      </c>
      <c r="Y507" s="142">
        <f t="shared" si="629"/>
        <v>120156.845</v>
      </c>
    </row>
    <row r="508" spans="1:25" ht="15" hidden="1" x14ac:dyDescent="0.25">
      <c r="A508">
        <v>7</v>
      </c>
      <c r="B508">
        <v>2020</v>
      </c>
      <c r="C508">
        <v>2020</v>
      </c>
      <c r="D508" t="s">
        <v>327</v>
      </c>
      <c r="E508" t="s">
        <v>68</v>
      </c>
      <c r="F508" s="143" t="s">
        <v>16</v>
      </c>
      <c r="G508" s="140">
        <v>37049.370000000003</v>
      </c>
      <c r="H508" s="140">
        <v>4496.8200000000006</v>
      </c>
      <c r="I508" s="140">
        <v>3704.95</v>
      </c>
      <c r="J508" s="140">
        <v>4.129999999999999</v>
      </c>
      <c r="K508" s="141">
        <f t="shared" si="625"/>
        <v>0.12137372376372392</v>
      </c>
      <c r="L508" s="141">
        <f t="shared" si="626"/>
        <v>0.10000035088315941</v>
      </c>
      <c r="M508" s="141">
        <f t="shared" si="627"/>
        <v>1.1147288064547383E-4</v>
      </c>
      <c r="N508" s="140">
        <f t="shared" si="628"/>
        <v>28843.47</v>
      </c>
      <c r="U508" s="142">
        <f t="shared" si="624"/>
        <v>37049.370000000003</v>
      </c>
      <c r="V508" s="142">
        <f t="shared" si="624"/>
        <v>4496.8200000000006</v>
      </c>
      <c r="W508" s="142">
        <f t="shared" si="624"/>
        <v>3704.95</v>
      </c>
      <c r="X508" s="142">
        <f t="shared" si="624"/>
        <v>4.129999999999999</v>
      </c>
      <c r="Y508" s="142">
        <f t="shared" si="629"/>
        <v>28843.47</v>
      </c>
    </row>
    <row r="509" spans="1:25" ht="15" hidden="1" x14ac:dyDescent="0.25">
      <c r="A509">
        <v>8</v>
      </c>
      <c r="B509">
        <v>2020</v>
      </c>
      <c r="C509">
        <v>2020</v>
      </c>
      <c r="D509" t="s">
        <v>327</v>
      </c>
      <c r="E509" t="s">
        <v>67</v>
      </c>
      <c r="F509" s="143" t="s">
        <v>17</v>
      </c>
      <c r="G509" s="140">
        <v>164340.95000000007</v>
      </c>
      <c r="H509" s="140">
        <v>24455.043589999997</v>
      </c>
      <c r="I509" s="140">
        <v>16434.105</v>
      </c>
      <c r="J509" s="140">
        <v>2647.47</v>
      </c>
      <c r="K509" s="141">
        <f t="shared" si="625"/>
        <v>0.14880675565037191</v>
      </c>
      <c r="L509" s="141">
        <f t="shared" si="626"/>
        <v>0.10000006084910665</v>
      </c>
      <c r="M509" s="141">
        <f t="shared" si="627"/>
        <v>1.610961844871895E-2</v>
      </c>
      <c r="N509" s="140">
        <f t="shared" si="628"/>
        <v>120804.33141000009</v>
      </c>
      <c r="U509" s="142">
        <f t="shared" si="624"/>
        <v>164340.95000000007</v>
      </c>
      <c r="V509" s="142">
        <f t="shared" si="624"/>
        <v>24455.043589999997</v>
      </c>
      <c r="W509" s="142">
        <f t="shared" si="624"/>
        <v>16434.105</v>
      </c>
      <c r="X509" s="142">
        <f t="shared" si="624"/>
        <v>2647.47</v>
      </c>
      <c r="Y509" s="142">
        <f t="shared" si="629"/>
        <v>120804.33141000009</v>
      </c>
    </row>
    <row r="510" spans="1:25" ht="15" hidden="1" x14ac:dyDescent="0.25">
      <c r="A510">
        <v>8</v>
      </c>
      <c r="B510">
        <v>2020</v>
      </c>
      <c r="C510">
        <v>2020</v>
      </c>
      <c r="D510" t="s">
        <v>327</v>
      </c>
      <c r="E510" t="s">
        <v>68</v>
      </c>
      <c r="F510" s="143" t="s">
        <v>16</v>
      </c>
      <c r="G510" s="140">
        <v>3606.3199999999997</v>
      </c>
      <c r="H510" s="140">
        <v>860.08525000000009</v>
      </c>
      <c r="I510" s="140">
        <v>360.63200000000001</v>
      </c>
      <c r="J510" s="140">
        <v>51.31</v>
      </c>
      <c r="K510" s="141">
        <f t="shared" si="625"/>
        <v>0.23849388018811424</v>
      </c>
      <c r="L510" s="141">
        <f t="shared" si="626"/>
        <v>0.1</v>
      </c>
      <c r="M510" s="141">
        <f t="shared" si="627"/>
        <v>1.4227800084296459E-2</v>
      </c>
      <c r="N510" s="140">
        <f t="shared" si="628"/>
        <v>2334.2927499999996</v>
      </c>
      <c r="U510" s="142">
        <f t="shared" si="624"/>
        <v>3606.3199999999997</v>
      </c>
      <c r="V510" s="142">
        <f t="shared" si="624"/>
        <v>860.08525000000009</v>
      </c>
      <c r="W510" s="142">
        <f t="shared" si="624"/>
        <v>360.63200000000001</v>
      </c>
      <c r="X510" s="142">
        <f t="shared" si="624"/>
        <v>51.31</v>
      </c>
      <c r="Y510" s="142">
        <f t="shared" si="629"/>
        <v>2334.2927499999996</v>
      </c>
    </row>
    <row r="511" spans="1:25" ht="15" hidden="1" x14ac:dyDescent="0.25">
      <c r="A511">
        <v>9</v>
      </c>
      <c r="B511">
        <v>2020</v>
      </c>
      <c r="C511">
        <v>2020</v>
      </c>
      <c r="D511" t="s">
        <v>327</v>
      </c>
      <c r="E511" t="s">
        <v>67</v>
      </c>
      <c r="F511" s="143" t="s">
        <v>17</v>
      </c>
      <c r="G511" s="140">
        <v>142116.90999999997</v>
      </c>
      <c r="H511" s="140">
        <v>27956.935063000004</v>
      </c>
      <c r="I511" s="140">
        <v>14211.689000000006</v>
      </c>
      <c r="J511" s="140">
        <v>3051.8699999999981</v>
      </c>
      <c r="K511" s="141">
        <f t="shared" si="625"/>
        <v>0.19671786462990232</v>
      </c>
      <c r="L511" s="141">
        <f t="shared" si="626"/>
        <v>9.9999985927079385E-2</v>
      </c>
      <c r="M511" s="141">
        <f t="shared" si="627"/>
        <v>2.1474362199403286E-2</v>
      </c>
      <c r="N511" s="140">
        <f t="shared" si="628"/>
        <v>96896.415936999954</v>
      </c>
      <c r="U511" s="142">
        <f t="shared" si="624"/>
        <v>142116.90999999997</v>
      </c>
      <c r="V511" s="142">
        <f t="shared" si="624"/>
        <v>27956.935063000004</v>
      </c>
      <c r="W511" s="142">
        <f t="shared" si="624"/>
        <v>14211.689000000006</v>
      </c>
      <c r="X511" s="142">
        <f t="shared" si="624"/>
        <v>3051.8699999999981</v>
      </c>
      <c r="Y511" s="142">
        <f t="shared" si="629"/>
        <v>96896.415936999954</v>
      </c>
    </row>
    <row r="512" spans="1:25" ht="15" hidden="1" x14ac:dyDescent="0.25">
      <c r="A512">
        <v>9</v>
      </c>
      <c r="B512">
        <v>2020</v>
      </c>
      <c r="C512">
        <v>2020</v>
      </c>
      <c r="D512" t="s">
        <v>327</v>
      </c>
      <c r="E512" t="s">
        <v>68</v>
      </c>
      <c r="F512" s="143" t="s">
        <v>16</v>
      </c>
      <c r="G512" s="140">
        <v>5173.2799999999988</v>
      </c>
      <c r="H512" s="140">
        <v>-125.86099999999973</v>
      </c>
      <c r="I512" s="140">
        <v>517.3280000000002</v>
      </c>
      <c r="J512" s="140">
        <v>126.24</v>
      </c>
      <c r="K512" s="141">
        <f t="shared" si="625"/>
        <v>-2.4329052361364505E-2</v>
      </c>
      <c r="L512" s="141">
        <f t="shared" si="626"/>
        <v>0.10000000000000006</v>
      </c>
      <c r="M512" s="141">
        <f t="shared" si="627"/>
        <v>2.4402313425911613E-2</v>
      </c>
      <c r="N512" s="140">
        <f t="shared" si="628"/>
        <v>4655.5729999999985</v>
      </c>
      <c r="U512" s="142">
        <f t="shared" si="624"/>
        <v>5173.2799999999988</v>
      </c>
      <c r="V512" s="142">
        <f t="shared" si="624"/>
        <v>-125.86099999999973</v>
      </c>
      <c r="W512" s="142">
        <f t="shared" si="624"/>
        <v>517.3280000000002</v>
      </c>
      <c r="X512" s="142">
        <f t="shared" si="624"/>
        <v>126.24</v>
      </c>
      <c r="Y512" s="142">
        <f t="shared" si="629"/>
        <v>4655.5729999999985</v>
      </c>
    </row>
    <row r="513" spans="1:25" ht="15" hidden="1" x14ac:dyDescent="0.25">
      <c r="A513">
        <v>10</v>
      </c>
      <c r="B513">
        <v>2020</v>
      </c>
      <c r="C513">
        <v>2020</v>
      </c>
      <c r="D513" t="s">
        <v>327</v>
      </c>
      <c r="E513" t="s">
        <v>67</v>
      </c>
      <c r="F513" s="143" t="s">
        <v>17</v>
      </c>
      <c r="G513" s="140">
        <v>395030.25</v>
      </c>
      <c r="H513" s="140">
        <v>71915.526729999983</v>
      </c>
      <c r="I513" s="140">
        <v>39503.02399999999</v>
      </c>
      <c r="J513" s="140">
        <v>4834.8799999999992</v>
      </c>
      <c r="K513" s="141">
        <f t="shared" si="625"/>
        <v>0.18205068277682529</v>
      </c>
      <c r="L513" s="141">
        <f t="shared" si="626"/>
        <v>9.9999997468548277E-2</v>
      </c>
      <c r="M513" s="141">
        <f t="shared" si="627"/>
        <v>1.2239265220828023E-2</v>
      </c>
      <c r="N513" s="140">
        <f t="shared" si="628"/>
        <v>278776.81927000004</v>
      </c>
      <c r="U513" s="142">
        <f t="shared" si="624"/>
        <v>395030.25</v>
      </c>
      <c r="V513" s="142">
        <f t="shared" si="624"/>
        <v>71915.526729999983</v>
      </c>
      <c r="W513" s="142">
        <f t="shared" si="624"/>
        <v>39503.02399999999</v>
      </c>
      <c r="X513" s="142">
        <f t="shared" si="624"/>
        <v>4834.8799999999992</v>
      </c>
      <c r="Y513" s="142">
        <f t="shared" si="629"/>
        <v>278776.81927000004</v>
      </c>
    </row>
    <row r="514" spans="1:25" ht="15" hidden="1" x14ac:dyDescent="0.25">
      <c r="A514">
        <v>10</v>
      </c>
      <c r="B514">
        <v>2020</v>
      </c>
      <c r="C514">
        <v>2020</v>
      </c>
      <c r="D514" t="s">
        <v>327</v>
      </c>
      <c r="E514" t="s">
        <v>68</v>
      </c>
      <c r="F514" s="143" t="s">
        <v>16</v>
      </c>
      <c r="G514" s="140">
        <v>303657.2</v>
      </c>
      <c r="H514" s="140">
        <v>54889.653339999997</v>
      </c>
      <c r="I514" s="140">
        <v>30365.720000000005</v>
      </c>
      <c r="J514" s="140">
        <v>8422.18</v>
      </c>
      <c r="K514" s="141">
        <f t="shared" si="625"/>
        <v>0.18076190302749282</v>
      </c>
      <c r="L514" s="141">
        <f t="shared" si="626"/>
        <v>0.1</v>
      </c>
      <c r="M514" s="141">
        <f t="shared" si="627"/>
        <v>2.7735815254833412E-2</v>
      </c>
      <c r="N514" s="140">
        <f t="shared" si="628"/>
        <v>209979.64666000003</v>
      </c>
      <c r="U514" s="142">
        <f t="shared" si="624"/>
        <v>303657.2</v>
      </c>
      <c r="V514" s="142">
        <f t="shared" si="624"/>
        <v>54889.653339999997</v>
      </c>
      <c r="W514" s="142">
        <f t="shared" si="624"/>
        <v>30365.720000000005</v>
      </c>
      <c r="X514" s="142">
        <f t="shared" si="624"/>
        <v>8422.18</v>
      </c>
      <c r="Y514" s="142">
        <f t="shared" si="629"/>
        <v>209979.64666000003</v>
      </c>
    </row>
    <row r="515" spans="1:25" ht="15" hidden="1" x14ac:dyDescent="0.25">
      <c r="A515">
        <v>11</v>
      </c>
      <c r="B515">
        <v>2020</v>
      </c>
      <c r="C515">
        <v>2020</v>
      </c>
      <c r="D515" t="s">
        <v>327</v>
      </c>
      <c r="E515" t="s">
        <v>67</v>
      </c>
      <c r="F515" s="143" t="s">
        <v>17</v>
      </c>
      <c r="G515" s="140">
        <v>270168.83000000019</v>
      </c>
      <c r="H515" s="140">
        <v>30785.895532500013</v>
      </c>
      <c r="I515" s="140">
        <v>27016.882999999998</v>
      </c>
      <c r="J515" s="140">
        <v>7558.5399999999981</v>
      </c>
      <c r="K515" s="141">
        <f t="shared" si="625"/>
        <v>0.11395058242840224</v>
      </c>
      <c r="L515" s="141">
        <f t="shared" si="626"/>
        <v>9.9999999999999922E-2</v>
      </c>
      <c r="M515" s="141">
        <f t="shared" si="627"/>
        <v>2.7977098616446587E-2</v>
      </c>
      <c r="N515" s="140">
        <f t="shared" si="628"/>
        <v>204807.51146750018</v>
      </c>
      <c r="U515" s="142">
        <f t="shared" si="624"/>
        <v>270168.83000000019</v>
      </c>
      <c r="V515" s="142">
        <f t="shared" si="624"/>
        <v>30785.895532500013</v>
      </c>
      <c r="W515" s="142">
        <f t="shared" si="624"/>
        <v>27016.882999999998</v>
      </c>
      <c r="X515" s="142">
        <f t="shared" si="624"/>
        <v>7558.5399999999981</v>
      </c>
      <c r="Y515" s="142">
        <f t="shared" si="629"/>
        <v>204807.51146750018</v>
      </c>
    </row>
    <row r="516" spans="1:25" ht="15" hidden="1" x14ac:dyDescent="0.25">
      <c r="A516">
        <v>11</v>
      </c>
      <c r="B516">
        <v>2020</v>
      </c>
      <c r="C516">
        <v>2020</v>
      </c>
      <c r="D516" t="s">
        <v>327</v>
      </c>
      <c r="E516" t="s">
        <v>68</v>
      </c>
      <c r="F516" s="143" t="s">
        <v>16</v>
      </c>
      <c r="G516" s="140">
        <v>100430.70999999999</v>
      </c>
      <c r="H516" s="140">
        <v>18664.063800000004</v>
      </c>
      <c r="I516" s="140">
        <v>10043.071000000002</v>
      </c>
      <c r="J516" s="140">
        <v>2709.7699999999995</v>
      </c>
      <c r="K516" s="141">
        <f t="shared" si="625"/>
        <v>0.18584020565024389</v>
      </c>
      <c r="L516" s="141">
        <f t="shared" si="626"/>
        <v>0.10000000000000002</v>
      </c>
      <c r="M516" s="141">
        <f t="shared" si="627"/>
        <v>2.6981488032893523E-2</v>
      </c>
      <c r="N516" s="140">
        <f t="shared" si="628"/>
        <v>69013.805199999988</v>
      </c>
      <c r="U516" s="142">
        <f t="shared" si="624"/>
        <v>100430.70999999999</v>
      </c>
      <c r="V516" s="142">
        <f t="shared" si="624"/>
        <v>18664.063800000004</v>
      </c>
      <c r="W516" s="142">
        <f t="shared" si="624"/>
        <v>10043.071000000002</v>
      </c>
      <c r="X516" s="142">
        <f t="shared" si="624"/>
        <v>2709.7699999999995</v>
      </c>
      <c r="Y516" s="142">
        <f t="shared" si="629"/>
        <v>69013.805199999988</v>
      </c>
    </row>
    <row r="517" spans="1:25" ht="15" hidden="1" x14ac:dyDescent="0.25">
      <c r="A517">
        <v>12</v>
      </c>
      <c r="B517">
        <v>2020</v>
      </c>
      <c r="C517">
        <v>2020</v>
      </c>
      <c r="D517" t="s">
        <v>327</v>
      </c>
      <c r="E517" t="s">
        <v>67</v>
      </c>
      <c r="F517" s="143" t="s">
        <v>17</v>
      </c>
      <c r="G517" s="140">
        <v>1130361.77</v>
      </c>
      <c r="H517" s="140">
        <v>191417.60757000002</v>
      </c>
      <c r="I517" s="140">
        <v>113036.15400000004</v>
      </c>
      <c r="J517" s="140">
        <v>7732.0099999999984</v>
      </c>
      <c r="K517" s="141">
        <f t="shared" si="625"/>
        <v>0.16934189801022731</v>
      </c>
      <c r="L517" s="141">
        <f t="shared" si="626"/>
        <v>9.9999979652531976E-2</v>
      </c>
      <c r="M517" s="141">
        <f t="shared" si="627"/>
        <v>6.8402968016159976E-3</v>
      </c>
      <c r="N517" s="140">
        <f t="shared" si="628"/>
        <v>818175.99842999992</v>
      </c>
      <c r="U517" s="142">
        <f t="shared" si="624"/>
        <v>1130361.77</v>
      </c>
      <c r="V517" s="142">
        <f t="shared" si="624"/>
        <v>191417.60757000002</v>
      </c>
      <c r="W517" s="142">
        <f t="shared" si="624"/>
        <v>113036.15400000004</v>
      </c>
      <c r="X517" s="142">
        <f t="shared" si="624"/>
        <v>7732.0099999999984</v>
      </c>
      <c r="Y517" s="142">
        <f t="shared" si="629"/>
        <v>818175.99842999992</v>
      </c>
    </row>
    <row r="518" spans="1:25" ht="15" hidden="1" x14ac:dyDescent="0.25">
      <c r="A518">
        <v>12</v>
      </c>
      <c r="B518">
        <v>2020</v>
      </c>
      <c r="C518">
        <v>2020</v>
      </c>
      <c r="D518" t="s">
        <v>327</v>
      </c>
      <c r="E518" t="s">
        <v>68</v>
      </c>
      <c r="F518" s="143" t="s">
        <v>16</v>
      </c>
      <c r="G518" s="140">
        <v>313438.65999999997</v>
      </c>
      <c r="H518" s="140">
        <v>49798.73247000001</v>
      </c>
      <c r="I518" s="140">
        <v>31343.868000000002</v>
      </c>
      <c r="J518" s="140">
        <v>6184.4000000000005</v>
      </c>
      <c r="K518" s="141">
        <f t="shared" si="625"/>
        <v>0.1588787179922222</v>
      </c>
      <c r="L518" s="141">
        <f t="shared" si="626"/>
        <v>0.10000000638083383</v>
      </c>
      <c r="M518" s="141">
        <f t="shared" si="627"/>
        <v>1.9730814316268455E-2</v>
      </c>
      <c r="N518" s="140">
        <f t="shared" si="628"/>
        <v>226111.65952999998</v>
      </c>
      <c r="U518" s="142">
        <f t="shared" si="624"/>
        <v>313438.65999999997</v>
      </c>
      <c r="V518" s="142">
        <f t="shared" si="624"/>
        <v>49798.73247000001</v>
      </c>
      <c r="W518" s="142">
        <f t="shared" si="624"/>
        <v>31343.868000000002</v>
      </c>
      <c r="X518" s="142">
        <f t="shared" ref="X518:X581" si="630">J518-R518</f>
        <v>6184.4000000000005</v>
      </c>
      <c r="Y518" s="142">
        <f t="shared" si="629"/>
        <v>226111.65952999998</v>
      </c>
    </row>
    <row r="519" spans="1:25" ht="15" hidden="1" x14ac:dyDescent="0.25">
      <c r="A519">
        <v>1</v>
      </c>
      <c r="B519">
        <v>2021</v>
      </c>
      <c r="C519">
        <v>2020</v>
      </c>
      <c r="D519" t="s">
        <v>327</v>
      </c>
      <c r="E519" t="s">
        <v>67</v>
      </c>
      <c r="F519" s="143" t="s">
        <v>17</v>
      </c>
      <c r="G519" s="140">
        <v>16762.82</v>
      </c>
      <c r="H519" s="140">
        <v>3039.7250899999999</v>
      </c>
      <c r="I519" s="140">
        <v>1676.2969999999993</v>
      </c>
      <c r="J519" s="140">
        <v>280.48000000000008</v>
      </c>
      <c r="K519" s="141">
        <f t="shared" si="625"/>
        <v>0.18133733405238497</v>
      </c>
      <c r="L519" s="141">
        <f t="shared" si="626"/>
        <v>0.10000089483750343</v>
      </c>
      <c r="M519" s="141">
        <f t="shared" si="627"/>
        <v>1.6732268198310314E-2</v>
      </c>
      <c r="N519" s="140">
        <f t="shared" si="628"/>
        <v>11766.317910000002</v>
      </c>
      <c r="U519" s="142">
        <f t="shared" ref="U519:X582" si="631">G519-O519</f>
        <v>16762.82</v>
      </c>
      <c r="V519" s="142">
        <f t="shared" si="631"/>
        <v>3039.7250899999999</v>
      </c>
      <c r="W519" s="142">
        <f t="shared" si="631"/>
        <v>1676.2969999999993</v>
      </c>
      <c r="X519" s="142">
        <f t="shared" si="630"/>
        <v>280.48000000000008</v>
      </c>
      <c r="Y519" s="142">
        <f t="shared" si="629"/>
        <v>11766.317910000002</v>
      </c>
    </row>
    <row r="520" spans="1:25" ht="15" hidden="1" x14ac:dyDescent="0.25">
      <c r="A520">
        <v>1</v>
      </c>
      <c r="B520">
        <v>2021</v>
      </c>
      <c r="C520">
        <v>2020</v>
      </c>
      <c r="D520" t="s">
        <v>327</v>
      </c>
      <c r="E520" t="s">
        <v>68</v>
      </c>
      <c r="F520" s="143" t="s">
        <v>16</v>
      </c>
      <c r="G520" s="140">
        <v>11706.75</v>
      </c>
      <c r="H520" s="140">
        <v>1760.5915500000003</v>
      </c>
      <c r="I520" s="140">
        <v>1170.675</v>
      </c>
      <c r="J520" s="140">
        <v>404.8</v>
      </c>
      <c r="K520" s="141">
        <f t="shared" si="625"/>
        <v>0.15039114613364088</v>
      </c>
      <c r="L520" s="141">
        <f t="shared" si="626"/>
        <v>9.9999999999999992E-2</v>
      </c>
      <c r="M520" s="141">
        <f t="shared" si="627"/>
        <v>3.457834155508574E-2</v>
      </c>
      <c r="N520" s="140">
        <f t="shared" si="628"/>
        <v>8370.6834500000004</v>
      </c>
      <c r="U520" s="142">
        <f t="shared" si="631"/>
        <v>11706.75</v>
      </c>
      <c r="V520" s="142">
        <f t="shared" si="631"/>
        <v>1760.5915500000003</v>
      </c>
      <c r="W520" s="142">
        <f t="shared" si="631"/>
        <v>1170.675</v>
      </c>
      <c r="X520" s="142">
        <f t="shared" si="630"/>
        <v>404.8</v>
      </c>
      <c r="Y520" s="142">
        <f t="shared" si="629"/>
        <v>8370.6834500000004</v>
      </c>
    </row>
    <row r="521" spans="1:25" ht="15" hidden="1" x14ac:dyDescent="0.25">
      <c r="A521">
        <v>2</v>
      </c>
      <c r="B521">
        <v>2021</v>
      </c>
      <c r="C521">
        <v>2020</v>
      </c>
      <c r="D521" t="s">
        <v>327</v>
      </c>
      <c r="E521" t="s">
        <v>67</v>
      </c>
      <c r="F521" s="143" t="s">
        <v>17</v>
      </c>
      <c r="G521" s="140">
        <v>0</v>
      </c>
      <c r="H521" s="140">
        <v>0</v>
      </c>
      <c r="I521" s="140">
        <v>0</v>
      </c>
      <c r="J521" s="140">
        <v>0</v>
      </c>
      <c r="K521" s="141" t="e">
        <f t="shared" si="625"/>
        <v>#DIV/0!</v>
      </c>
      <c r="L521" s="141" t="e">
        <f t="shared" si="626"/>
        <v>#DIV/0!</v>
      </c>
      <c r="M521" s="141" t="e">
        <f t="shared" si="627"/>
        <v>#DIV/0!</v>
      </c>
      <c r="N521" s="140">
        <f t="shared" si="628"/>
        <v>0</v>
      </c>
      <c r="U521" s="142">
        <f t="shared" si="631"/>
        <v>0</v>
      </c>
      <c r="V521" s="142">
        <f t="shared" si="631"/>
        <v>0</v>
      </c>
      <c r="W521" s="142">
        <f t="shared" si="631"/>
        <v>0</v>
      </c>
      <c r="X521" s="142">
        <f t="shared" si="630"/>
        <v>0</v>
      </c>
      <c r="Y521" s="142">
        <f t="shared" si="629"/>
        <v>0</v>
      </c>
    </row>
    <row r="522" spans="1:25" ht="15" hidden="1" x14ac:dyDescent="0.25">
      <c r="A522">
        <v>2</v>
      </c>
      <c r="B522">
        <v>2021</v>
      </c>
      <c r="C522">
        <v>2020</v>
      </c>
      <c r="D522" t="s">
        <v>327</v>
      </c>
      <c r="E522" t="s">
        <v>68</v>
      </c>
      <c r="F522" s="143" t="s">
        <v>16</v>
      </c>
      <c r="G522" s="140">
        <v>0</v>
      </c>
      <c r="H522" s="140">
        <v>0</v>
      </c>
      <c r="I522" s="140">
        <v>0</v>
      </c>
      <c r="J522" s="140">
        <v>0</v>
      </c>
      <c r="K522" s="141" t="e">
        <f t="shared" si="625"/>
        <v>#DIV/0!</v>
      </c>
      <c r="L522" s="141" t="e">
        <f t="shared" si="626"/>
        <v>#DIV/0!</v>
      </c>
      <c r="M522" s="141" t="e">
        <f t="shared" si="627"/>
        <v>#DIV/0!</v>
      </c>
      <c r="N522" s="140">
        <f t="shared" si="628"/>
        <v>0</v>
      </c>
      <c r="U522" s="142">
        <f t="shared" si="631"/>
        <v>0</v>
      </c>
      <c r="V522" s="142">
        <f t="shared" si="631"/>
        <v>0</v>
      </c>
      <c r="W522" s="142">
        <f t="shared" si="631"/>
        <v>0</v>
      </c>
      <c r="X522" s="142">
        <f t="shared" si="630"/>
        <v>0</v>
      </c>
      <c r="Y522" s="142">
        <f t="shared" si="629"/>
        <v>0</v>
      </c>
    </row>
    <row r="523" spans="1:25" ht="15" hidden="1" x14ac:dyDescent="0.25">
      <c r="A523">
        <v>3</v>
      </c>
      <c r="B523">
        <v>2021</v>
      </c>
      <c r="C523">
        <v>2020</v>
      </c>
      <c r="D523" t="s">
        <v>327</v>
      </c>
      <c r="E523" t="s">
        <v>67</v>
      </c>
      <c r="F523" s="143" t="s">
        <v>17</v>
      </c>
      <c r="G523" s="140">
        <v>3210.5899999999997</v>
      </c>
      <c r="H523" s="140">
        <v>1893.1472099999999</v>
      </c>
      <c r="I523" s="140">
        <v>321.0689999999999</v>
      </c>
      <c r="J523" s="140">
        <v>-801.96999999999969</v>
      </c>
      <c r="K523" s="141">
        <f t="shared" si="625"/>
        <v>0.58965710663772075</v>
      </c>
      <c r="L523" s="141">
        <f t="shared" si="626"/>
        <v>0.1000031146923151</v>
      </c>
      <c r="M523" s="141">
        <f t="shared" si="627"/>
        <v>-0.24978897959565058</v>
      </c>
      <c r="N523" s="140">
        <f t="shared" si="628"/>
        <v>1798.3437899999994</v>
      </c>
      <c r="U523" s="142">
        <f t="shared" si="631"/>
        <v>3210.5899999999997</v>
      </c>
      <c r="V523" s="142">
        <f t="shared" si="631"/>
        <v>1893.1472099999999</v>
      </c>
      <c r="W523" s="142">
        <f t="shared" si="631"/>
        <v>321.0689999999999</v>
      </c>
      <c r="X523" s="142">
        <f t="shared" si="630"/>
        <v>-801.96999999999969</v>
      </c>
      <c r="Y523" s="142">
        <f t="shared" si="629"/>
        <v>1798.3437899999994</v>
      </c>
    </row>
    <row r="524" spans="1:25" ht="15" hidden="1" x14ac:dyDescent="0.25">
      <c r="A524">
        <v>3</v>
      </c>
      <c r="B524">
        <v>2021</v>
      </c>
      <c r="C524">
        <v>2020</v>
      </c>
      <c r="D524" t="s">
        <v>327</v>
      </c>
      <c r="E524" t="s">
        <v>68</v>
      </c>
      <c r="F524" s="143" t="s">
        <v>16</v>
      </c>
      <c r="G524" s="140">
        <v>32601.35</v>
      </c>
      <c r="H524" s="140">
        <v>5242.7369999999992</v>
      </c>
      <c r="I524" s="140">
        <v>3260.1349999999998</v>
      </c>
      <c r="J524" s="140">
        <v>1103.5999999999999</v>
      </c>
      <c r="K524" s="141">
        <f t="shared" si="625"/>
        <v>0.16081349391973029</v>
      </c>
      <c r="L524" s="141">
        <f t="shared" si="626"/>
        <v>9.9999999999999992E-2</v>
      </c>
      <c r="M524" s="141">
        <f t="shared" si="627"/>
        <v>3.3851358916118506E-2</v>
      </c>
      <c r="N524" s="140">
        <f t="shared" si="628"/>
        <v>22994.878000000001</v>
      </c>
      <c r="U524" s="142">
        <f t="shared" si="631"/>
        <v>32601.35</v>
      </c>
      <c r="V524" s="142">
        <f t="shared" si="631"/>
        <v>5242.7369999999992</v>
      </c>
      <c r="W524" s="142">
        <f t="shared" si="631"/>
        <v>3260.1349999999998</v>
      </c>
      <c r="X524" s="142">
        <f t="shared" si="630"/>
        <v>1103.5999999999999</v>
      </c>
      <c r="Y524" s="142">
        <f t="shared" si="629"/>
        <v>22994.878000000001</v>
      </c>
    </row>
    <row r="525" spans="1:25" ht="15" hidden="1" x14ac:dyDescent="0.25">
      <c r="A525">
        <v>4</v>
      </c>
      <c r="B525">
        <v>2021</v>
      </c>
      <c r="C525">
        <v>2020</v>
      </c>
      <c r="D525" t="s">
        <v>327</v>
      </c>
      <c r="E525" t="s">
        <v>67</v>
      </c>
      <c r="F525" s="143" t="s">
        <v>17</v>
      </c>
      <c r="G525" s="140">
        <v>-11624.159999999998</v>
      </c>
      <c r="H525" s="140">
        <v>624.06651000000022</v>
      </c>
      <c r="I525" s="140">
        <v>-1162.3940000000005</v>
      </c>
      <c r="J525" s="140">
        <v>1186.1200000000003</v>
      </c>
      <c r="K525" s="141">
        <f t="shared" si="625"/>
        <v>-5.3687019965313651E-2</v>
      </c>
      <c r="L525" s="141">
        <f t="shared" si="626"/>
        <v>9.9998107390125449E-2</v>
      </c>
      <c r="M525" s="141">
        <f t="shared" si="627"/>
        <v>-0.10203920111216642</v>
      </c>
      <c r="N525" s="140">
        <f t="shared" si="628"/>
        <v>-12271.952509999999</v>
      </c>
      <c r="U525" s="142">
        <f t="shared" si="631"/>
        <v>-11624.159999999998</v>
      </c>
      <c r="V525" s="142">
        <f t="shared" si="631"/>
        <v>624.06651000000022</v>
      </c>
      <c r="W525" s="142">
        <f t="shared" si="631"/>
        <v>-1162.3940000000005</v>
      </c>
      <c r="X525" s="142">
        <f t="shared" si="630"/>
        <v>1186.1200000000003</v>
      </c>
      <c r="Y525" s="142">
        <f t="shared" si="629"/>
        <v>-12271.952509999999</v>
      </c>
    </row>
    <row r="526" spans="1:25" ht="15" hidden="1" x14ac:dyDescent="0.25">
      <c r="A526">
        <v>4</v>
      </c>
      <c r="B526">
        <v>2021</v>
      </c>
      <c r="C526">
        <v>2020</v>
      </c>
      <c r="D526" t="s">
        <v>327</v>
      </c>
      <c r="E526" t="s">
        <v>68</v>
      </c>
      <c r="F526" s="143" t="s">
        <v>16</v>
      </c>
      <c r="G526" s="140">
        <v>-2780.5299999999997</v>
      </c>
      <c r="H526" s="140">
        <v>-554.69074999999998</v>
      </c>
      <c r="I526" s="140">
        <v>-278.053</v>
      </c>
      <c r="J526" s="140">
        <v>1.1299999999999999</v>
      </c>
      <c r="K526" s="141">
        <f t="shared" si="625"/>
        <v>0.19949101430302857</v>
      </c>
      <c r="L526" s="141">
        <f t="shared" si="626"/>
        <v>0.1</v>
      </c>
      <c r="M526" s="141">
        <f t="shared" si="627"/>
        <v>-4.0639734151402791E-4</v>
      </c>
      <c r="N526" s="140">
        <f t="shared" si="628"/>
        <v>-1948.9162500000002</v>
      </c>
      <c r="U526" s="142">
        <f t="shared" si="631"/>
        <v>-2780.5299999999997</v>
      </c>
      <c r="V526" s="142">
        <f t="shared" si="631"/>
        <v>-554.69074999999998</v>
      </c>
      <c r="W526" s="142">
        <f t="shared" si="631"/>
        <v>-278.053</v>
      </c>
      <c r="X526" s="142">
        <f t="shared" si="630"/>
        <v>1.1299999999999999</v>
      </c>
      <c r="Y526" s="142">
        <f t="shared" si="629"/>
        <v>-1948.9162500000002</v>
      </c>
    </row>
    <row r="527" spans="1:25" ht="15" hidden="1" x14ac:dyDescent="0.25">
      <c r="A527">
        <v>5</v>
      </c>
      <c r="B527">
        <v>2021</v>
      </c>
      <c r="C527">
        <v>2020</v>
      </c>
      <c r="D527" t="s">
        <v>327</v>
      </c>
      <c r="E527" t="s">
        <v>67</v>
      </c>
      <c r="F527" s="143" t="s">
        <v>17</v>
      </c>
      <c r="G527" s="140">
        <v>30392.640000000007</v>
      </c>
      <c r="H527" s="140">
        <v>5376.6270599999998</v>
      </c>
      <c r="I527" s="140">
        <v>3039.2780000000016</v>
      </c>
      <c r="J527" s="140">
        <v>504.65999999999985</v>
      </c>
      <c r="K527" s="141">
        <f t="shared" si="625"/>
        <v>0.17690556200448526</v>
      </c>
      <c r="L527" s="141">
        <f t="shared" si="626"/>
        <v>0.10000046063783867</v>
      </c>
      <c r="M527" s="141">
        <f t="shared" si="627"/>
        <v>1.6604677974667543E-2</v>
      </c>
      <c r="N527" s="140">
        <f t="shared" si="628"/>
        <v>21472.074940000006</v>
      </c>
      <c r="U527" s="142">
        <f t="shared" si="631"/>
        <v>30392.640000000007</v>
      </c>
      <c r="V527" s="142">
        <f t="shared" si="631"/>
        <v>5376.6270599999998</v>
      </c>
      <c r="W527" s="142">
        <f t="shared" si="631"/>
        <v>3039.2780000000016</v>
      </c>
      <c r="X527" s="142">
        <f t="shared" si="630"/>
        <v>504.65999999999985</v>
      </c>
      <c r="Y527" s="142">
        <f t="shared" si="629"/>
        <v>21472.074940000006</v>
      </c>
    </row>
    <row r="528" spans="1:25" ht="15" hidden="1" x14ac:dyDescent="0.25">
      <c r="A528">
        <v>5</v>
      </c>
      <c r="B528">
        <v>2021</v>
      </c>
      <c r="C528">
        <v>2020</v>
      </c>
      <c r="D528" t="s">
        <v>327</v>
      </c>
      <c r="E528" t="s">
        <v>68</v>
      </c>
      <c r="F528" s="143" t="s">
        <v>16</v>
      </c>
      <c r="G528" s="140">
        <v>27437.38</v>
      </c>
      <c r="H528" s="140">
        <v>4441.1432499999992</v>
      </c>
      <c r="I528" s="140">
        <v>2743.7399999999993</v>
      </c>
      <c r="J528" s="140">
        <v>655.8599999999999</v>
      </c>
      <c r="K528" s="141">
        <f t="shared" si="625"/>
        <v>0.16186469881599477</v>
      </c>
      <c r="L528" s="141">
        <f t="shared" si="626"/>
        <v>0.10000007289325727</v>
      </c>
      <c r="M528" s="141">
        <f t="shared" si="627"/>
        <v>2.3903885866653443E-2</v>
      </c>
      <c r="N528" s="140">
        <f t="shared" si="628"/>
        <v>19596.636750000005</v>
      </c>
      <c r="U528" s="142">
        <f t="shared" si="631"/>
        <v>27437.38</v>
      </c>
      <c r="V528" s="142">
        <f t="shared" si="631"/>
        <v>4441.1432499999992</v>
      </c>
      <c r="W528" s="142">
        <f t="shared" si="631"/>
        <v>2743.7399999999993</v>
      </c>
      <c r="X528" s="142">
        <f t="shared" si="630"/>
        <v>655.8599999999999</v>
      </c>
      <c r="Y528" s="142">
        <f t="shared" si="629"/>
        <v>19596.636750000005</v>
      </c>
    </row>
    <row r="529" spans="1:25" ht="15" hidden="1" x14ac:dyDescent="0.25">
      <c r="A529">
        <v>6</v>
      </c>
      <c r="B529">
        <v>2021</v>
      </c>
      <c r="C529">
        <v>2020</v>
      </c>
      <c r="D529" t="s">
        <v>327</v>
      </c>
      <c r="E529" t="s">
        <v>67</v>
      </c>
      <c r="F529" s="143" t="s">
        <v>17</v>
      </c>
      <c r="G529" s="140">
        <v>9826.8399999999983</v>
      </c>
      <c r="H529" s="140">
        <v>1915.9841299999996</v>
      </c>
      <c r="I529" s="140">
        <v>982.67199999999991</v>
      </c>
      <c r="J529" s="140">
        <v>58.330000000000091</v>
      </c>
      <c r="K529" s="141">
        <f t="shared" si="625"/>
        <v>0.19497459305331113</v>
      </c>
      <c r="L529" s="141">
        <f t="shared" si="626"/>
        <v>9.9998778854647072E-2</v>
      </c>
      <c r="M529" s="141">
        <f t="shared" si="627"/>
        <v>5.93578403637386E-3</v>
      </c>
      <c r="N529" s="140">
        <f t="shared" si="628"/>
        <v>6869.853869999999</v>
      </c>
      <c r="U529" s="142">
        <f t="shared" si="631"/>
        <v>9826.8399999999983</v>
      </c>
      <c r="V529" s="142">
        <f t="shared" si="631"/>
        <v>1915.9841299999996</v>
      </c>
      <c r="W529" s="142">
        <f t="shared" si="631"/>
        <v>982.67199999999991</v>
      </c>
      <c r="X529" s="142">
        <f t="shared" si="630"/>
        <v>58.330000000000091</v>
      </c>
      <c r="Y529" s="142">
        <f t="shared" si="629"/>
        <v>6869.853869999999</v>
      </c>
    </row>
    <row r="530" spans="1:25" ht="15" hidden="1" x14ac:dyDescent="0.25">
      <c r="A530">
        <v>6</v>
      </c>
      <c r="B530">
        <v>2021</v>
      </c>
      <c r="C530">
        <v>2020</v>
      </c>
      <c r="D530" t="s">
        <v>327</v>
      </c>
      <c r="E530" t="s">
        <v>68</v>
      </c>
      <c r="F530" s="143" t="s">
        <v>16</v>
      </c>
      <c r="G530" s="140">
        <v>-8027.5</v>
      </c>
      <c r="H530" s="140">
        <v>-1204.3262500000001</v>
      </c>
      <c r="I530" s="140">
        <v>-802.75099999999998</v>
      </c>
      <c r="J530" s="140">
        <v>-202.94</v>
      </c>
      <c r="K530" s="141">
        <f t="shared" si="625"/>
        <v>0.1500250700716288</v>
      </c>
      <c r="L530" s="141">
        <f t="shared" si="626"/>
        <v>0.10000012457178449</v>
      </c>
      <c r="M530" s="141">
        <f t="shared" si="627"/>
        <v>2.5280597944565556E-2</v>
      </c>
      <c r="N530" s="140">
        <f t="shared" si="628"/>
        <v>-5817.4827500000001</v>
      </c>
      <c r="U530" s="142">
        <f t="shared" si="631"/>
        <v>-8027.5</v>
      </c>
      <c r="V530" s="142">
        <f t="shared" si="631"/>
        <v>-1204.3262500000001</v>
      </c>
      <c r="W530" s="142">
        <f t="shared" si="631"/>
        <v>-802.75099999999998</v>
      </c>
      <c r="X530" s="142">
        <f t="shared" si="630"/>
        <v>-202.94</v>
      </c>
      <c r="Y530" s="142">
        <f t="shared" si="629"/>
        <v>-5817.4827500000001</v>
      </c>
    </row>
    <row r="531" spans="1:25" ht="15" hidden="1" x14ac:dyDescent="0.25">
      <c r="A531">
        <v>7</v>
      </c>
      <c r="B531">
        <v>2021</v>
      </c>
      <c r="C531">
        <v>2020</v>
      </c>
      <c r="D531" t="s">
        <v>327</v>
      </c>
      <c r="E531" t="s">
        <v>67</v>
      </c>
      <c r="F531" s="143" t="s">
        <v>17</v>
      </c>
      <c r="G531" s="140">
        <v>2334.62</v>
      </c>
      <c r="H531" s="140">
        <v>439.89374199999992</v>
      </c>
      <c r="I531" s="140">
        <v>233.464</v>
      </c>
      <c r="J531" s="140">
        <v>43.829999999999991</v>
      </c>
      <c r="K531" s="141">
        <f t="shared" si="625"/>
        <v>0.18842198816081415</v>
      </c>
      <c r="L531" s="141">
        <f t="shared" si="626"/>
        <v>0.10000085667046457</v>
      </c>
      <c r="M531" s="141">
        <f t="shared" si="627"/>
        <v>1.877393323110399E-2</v>
      </c>
      <c r="N531" s="140">
        <f t="shared" si="628"/>
        <v>1617.432258</v>
      </c>
      <c r="U531" s="142">
        <f t="shared" si="631"/>
        <v>2334.62</v>
      </c>
      <c r="V531" s="142">
        <f t="shared" si="631"/>
        <v>439.89374199999992</v>
      </c>
      <c r="W531" s="142">
        <f t="shared" si="631"/>
        <v>233.464</v>
      </c>
      <c r="X531" s="142">
        <f t="shared" si="630"/>
        <v>43.829999999999991</v>
      </c>
      <c r="Y531" s="142">
        <f t="shared" si="629"/>
        <v>1617.432258</v>
      </c>
    </row>
    <row r="532" spans="1:25" ht="15" hidden="1" x14ac:dyDescent="0.25">
      <c r="A532">
        <v>7</v>
      </c>
      <c r="B532">
        <v>2021</v>
      </c>
      <c r="C532">
        <v>2020</v>
      </c>
      <c r="D532" t="s">
        <v>327</v>
      </c>
      <c r="E532" t="s">
        <v>68</v>
      </c>
      <c r="F532" s="143" t="s">
        <v>16</v>
      </c>
      <c r="G532" s="140">
        <v>0</v>
      </c>
      <c r="H532" s="140">
        <v>0</v>
      </c>
      <c r="I532" s="140">
        <v>0</v>
      </c>
      <c r="J532" s="140">
        <v>0</v>
      </c>
      <c r="K532" s="141" t="e">
        <f t="shared" si="625"/>
        <v>#DIV/0!</v>
      </c>
      <c r="L532" s="141" t="e">
        <f t="shared" si="626"/>
        <v>#DIV/0!</v>
      </c>
      <c r="M532" s="141" t="e">
        <f t="shared" si="627"/>
        <v>#DIV/0!</v>
      </c>
      <c r="N532" s="140">
        <f t="shared" si="628"/>
        <v>0</v>
      </c>
      <c r="U532" s="142">
        <f t="shared" si="631"/>
        <v>0</v>
      </c>
      <c r="V532" s="142">
        <f t="shared" si="631"/>
        <v>0</v>
      </c>
      <c r="W532" s="142">
        <f t="shared" si="631"/>
        <v>0</v>
      </c>
      <c r="X532" s="142">
        <f t="shared" si="630"/>
        <v>0</v>
      </c>
      <c r="Y532" s="142">
        <f t="shared" si="629"/>
        <v>0</v>
      </c>
    </row>
    <row r="533" spans="1:25" ht="15" hidden="1" x14ac:dyDescent="0.25">
      <c r="A533">
        <v>8</v>
      </c>
      <c r="B533">
        <v>2021</v>
      </c>
      <c r="C533">
        <v>2020</v>
      </c>
      <c r="D533" t="s">
        <v>327</v>
      </c>
      <c r="E533" t="s">
        <v>67</v>
      </c>
      <c r="F533" s="143" t="s">
        <v>17</v>
      </c>
      <c r="G533" s="140">
        <v>6673.4600000000019</v>
      </c>
      <c r="H533" s="140">
        <v>860.30313000000001</v>
      </c>
      <c r="I533" s="140">
        <v>667.34400000000005</v>
      </c>
      <c r="J533" s="140">
        <v>128.53</v>
      </c>
      <c r="K533" s="141">
        <f t="shared" si="625"/>
        <v>0.12891410602595951</v>
      </c>
      <c r="L533" s="141">
        <f t="shared" si="626"/>
        <v>9.9999700305388795E-2</v>
      </c>
      <c r="M533" s="141">
        <f t="shared" si="627"/>
        <v>1.9259874188202217E-2</v>
      </c>
      <c r="N533" s="140">
        <f t="shared" si="628"/>
        <v>5017.2828700000018</v>
      </c>
      <c r="U533" s="142">
        <f t="shared" si="631"/>
        <v>6673.4600000000019</v>
      </c>
      <c r="V533" s="142">
        <f t="shared" si="631"/>
        <v>860.30313000000001</v>
      </c>
      <c r="W533" s="142">
        <f t="shared" si="631"/>
        <v>667.34400000000005</v>
      </c>
      <c r="X533" s="142">
        <f t="shared" si="630"/>
        <v>128.53</v>
      </c>
      <c r="Y533" s="142">
        <f t="shared" si="629"/>
        <v>5017.2828700000018</v>
      </c>
    </row>
    <row r="534" spans="1:25" ht="15" hidden="1" x14ac:dyDescent="0.25">
      <c r="A534">
        <v>8</v>
      </c>
      <c r="B534">
        <v>2021</v>
      </c>
      <c r="C534">
        <v>2020</v>
      </c>
      <c r="D534" t="s">
        <v>327</v>
      </c>
      <c r="E534" t="s">
        <v>68</v>
      </c>
      <c r="F534" s="143" t="s">
        <v>16</v>
      </c>
      <c r="G534" s="140">
        <v>2227.2200000000003</v>
      </c>
      <c r="H534" s="140">
        <v>347.94</v>
      </c>
      <c r="I534" s="140">
        <v>222.72</v>
      </c>
      <c r="J534" s="140">
        <v>51.51</v>
      </c>
      <c r="K534" s="141">
        <f t="shared" si="625"/>
        <v>0.1562216574922998</v>
      </c>
      <c r="L534" s="141">
        <f t="shared" si="626"/>
        <v>9.9999102019558E-2</v>
      </c>
      <c r="M534" s="141">
        <f t="shared" si="627"/>
        <v>2.3127486283348746E-2</v>
      </c>
      <c r="N534" s="140">
        <f t="shared" si="628"/>
        <v>1605.0500000000002</v>
      </c>
      <c r="U534" s="142">
        <f t="shared" si="631"/>
        <v>2227.2200000000003</v>
      </c>
      <c r="V534" s="142">
        <f t="shared" si="631"/>
        <v>347.94</v>
      </c>
      <c r="W534" s="142">
        <f t="shared" si="631"/>
        <v>222.72</v>
      </c>
      <c r="X534" s="142">
        <f t="shared" si="630"/>
        <v>51.51</v>
      </c>
      <c r="Y534" s="142">
        <f t="shared" si="629"/>
        <v>1605.0500000000002</v>
      </c>
    </row>
    <row r="535" spans="1:25" ht="15" hidden="1" x14ac:dyDescent="0.25">
      <c r="A535">
        <v>9</v>
      </c>
      <c r="B535">
        <v>2021</v>
      </c>
      <c r="C535">
        <v>2020</v>
      </c>
      <c r="D535" t="s">
        <v>327</v>
      </c>
      <c r="E535" t="s">
        <v>67</v>
      </c>
      <c r="F535" s="143" t="s">
        <v>17</v>
      </c>
      <c r="G535" s="140">
        <v>-76856.539999999964</v>
      </c>
      <c r="H535" s="140">
        <v>11802.772500000003</v>
      </c>
      <c r="I535" s="140">
        <v>-7685.6580000000013</v>
      </c>
      <c r="J535" s="140">
        <v>55.309999999999881</v>
      </c>
      <c r="K535" s="141">
        <f t="shared" si="625"/>
        <v>-0.15356887650680096</v>
      </c>
      <c r="L535" s="141">
        <f t="shared" si="626"/>
        <v>0.10000005204501797</v>
      </c>
      <c r="M535" s="141">
        <f t="shared" si="627"/>
        <v>-7.1965248500647973E-4</v>
      </c>
      <c r="N535" s="140">
        <f t="shared" si="628"/>
        <v>-81028.964499999973</v>
      </c>
      <c r="U535" s="142">
        <f t="shared" si="631"/>
        <v>-76856.539999999964</v>
      </c>
      <c r="V535" s="142">
        <f t="shared" si="631"/>
        <v>11802.772500000003</v>
      </c>
      <c r="W535" s="142">
        <f t="shared" si="631"/>
        <v>-7685.6580000000013</v>
      </c>
      <c r="X535" s="142">
        <f t="shared" si="630"/>
        <v>55.309999999999881</v>
      </c>
      <c r="Y535" s="142">
        <f t="shared" si="629"/>
        <v>-81028.964499999973</v>
      </c>
    </row>
    <row r="536" spans="1:25" ht="15" hidden="1" x14ac:dyDescent="0.25">
      <c r="A536">
        <v>9</v>
      </c>
      <c r="B536">
        <v>2021</v>
      </c>
      <c r="C536">
        <v>2020</v>
      </c>
      <c r="D536" t="s">
        <v>327</v>
      </c>
      <c r="E536" t="s">
        <v>68</v>
      </c>
      <c r="F536" s="143" t="s">
        <v>16</v>
      </c>
      <c r="G536" s="140">
        <v>855.08</v>
      </c>
      <c r="H536" s="140">
        <v>152.49025</v>
      </c>
      <c r="I536" s="140">
        <v>85.507999999999996</v>
      </c>
      <c r="J536" s="140">
        <v>29.93</v>
      </c>
      <c r="K536" s="141">
        <f t="shared" si="625"/>
        <v>0.17833448332319782</v>
      </c>
      <c r="L536" s="141">
        <f t="shared" si="626"/>
        <v>9.9999999999999992E-2</v>
      </c>
      <c r="M536" s="141">
        <f t="shared" si="627"/>
        <v>3.5002572858679887E-2</v>
      </c>
      <c r="N536" s="140">
        <f t="shared" si="628"/>
        <v>587.15175000000011</v>
      </c>
      <c r="U536" s="142">
        <f t="shared" si="631"/>
        <v>855.08</v>
      </c>
      <c r="V536" s="142">
        <f t="shared" si="631"/>
        <v>152.49025</v>
      </c>
      <c r="W536" s="142">
        <f t="shared" si="631"/>
        <v>85.507999999999996</v>
      </c>
      <c r="X536" s="142">
        <f t="shared" si="630"/>
        <v>29.93</v>
      </c>
      <c r="Y536" s="142">
        <f t="shared" si="629"/>
        <v>587.15175000000011</v>
      </c>
    </row>
    <row r="537" spans="1:25" ht="15" hidden="1" x14ac:dyDescent="0.25">
      <c r="A537">
        <v>10</v>
      </c>
      <c r="B537">
        <v>2021</v>
      </c>
      <c r="C537">
        <v>2020</v>
      </c>
      <c r="D537" t="s">
        <v>327</v>
      </c>
      <c r="E537" t="s">
        <v>67</v>
      </c>
      <c r="F537" s="143" t="s">
        <v>17</v>
      </c>
      <c r="G537" s="140">
        <v>-17374.414783742348</v>
      </c>
      <c r="H537" s="140">
        <v>-3071.319830386487</v>
      </c>
      <c r="I537" s="140">
        <v>-1737.441478374235</v>
      </c>
      <c r="J537" s="140">
        <v>-226.95651568687094</v>
      </c>
      <c r="K537" s="141">
        <f t="shared" si="625"/>
        <v>0.17677256291017029</v>
      </c>
      <c r="L537" s="141">
        <f t="shared" si="626"/>
        <v>0.1</v>
      </c>
      <c r="M537" s="141">
        <f t="shared" si="627"/>
        <v>1.3062685478145689E-2</v>
      </c>
      <c r="N537" s="140">
        <f t="shared" si="628"/>
        <v>-12338.696959294757</v>
      </c>
      <c r="U537" s="142">
        <f t="shared" si="631"/>
        <v>-17374.414783742348</v>
      </c>
      <c r="V537" s="142">
        <f t="shared" si="631"/>
        <v>-3071.319830386487</v>
      </c>
      <c r="W537" s="142">
        <f t="shared" si="631"/>
        <v>-1737.441478374235</v>
      </c>
      <c r="X537" s="142">
        <f t="shared" si="630"/>
        <v>-226.95651568687094</v>
      </c>
      <c r="Y537" s="142">
        <f t="shared" si="629"/>
        <v>-12338.696959294757</v>
      </c>
    </row>
    <row r="538" spans="1:25" ht="15" hidden="1" x14ac:dyDescent="0.25">
      <c r="A538">
        <v>10</v>
      </c>
      <c r="B538">
        <v>2021</v>
      </c>
      <c r="C538">
        <v>2020</v>
      </c>
      <c r="D538" t="s">
        <v>327</v>
      </c>
      <c r="E538" t="s">
        <v>68</v>
      </c>
      <c r="F538" s="143" t="s">
        <v>16</v>
      </c>
      <c r="G538" s="140">
        <v>0</v>
      </c>
      <c r="H538" s="140">
        <v>0</v>
      </c>
      <c r="I538" s="140">
        <v>0</v>
      </c>
      <c r="J538" s="140">
        <v>0</v>
      </c>
      <c r="K538" s="141" t="e">
        <f t="shared" si="625"/>
        <v>#DIV/0!</v>
      </c>
      <c r="L538" s="141" t="e">
        <f t="shared" si="626"/>
        <v>#DIV/0!</v>
      </c>
      <c r="M538" s="141" t="e">
        <f t="shared" si="627"/>
        <v>#DIV/0!</v>
      </c>
      <c r="N538" s="140">
        <f t="shared" si="628"/>
        <v>0</v>
      </c>
      <c r="U538" s="142">
        <f t="shared" si="631"/>
        <v>0</v>
      </c>
      <c r="V538" s="142">
        <f t="shared" si="631"/>
        <v>0</v>
      </c>
      <c r="W538" s="142">
        <f t="shared" si="631"/>
        <v>0</v>
      </c>
      <c r="X538" s="142">
        <f t="shared" si="630"/>
        <v>0</v>
      </c>
      <c r="Y538" s="142">
        <f t="shared" si="629"/>
        <v>0</v>
      </c>
    </row>
    <row r="539" spans="1:25" ht="15" hidden="1" x14ac:dyDescent="0.25">
      <c r="A539">
        <v>11</v>
      </c>
      <c r="B539">
        <v>2021</v>
      </c>
      <c r="C539">
        <v>2020</v>
      </c>
      <c r="D539" t="s">
        <v>327</v>
      </c>
      <c r="E539" t="s">
        <v>67</v>
      </c>
      <c r="F539" s="143" t="s">
        <v>17</v>
      </c>
      <c r="G539" s="140">
        <v>2447.3196799057137</v>
      </c>
      <c r="H539" s="140">
        <v>442.82375365098653</v>
      </c>
      <c r="I539" s="140">
        <v>244.73196799057141</v>
      </c>
      <c r="J539" s="140">
        <v>38.239861598213665</v>
      </c>
      <c r="K539" s="141">
        <f t="shared" si="625"/>
        <v>0.1809423416511107</v>
      </c>
      <c r="L539" s="141">
        <f t="shared" si="626"/>
        <v>0.10000000000000002</v>
      </c>
      <c r="M539" s="141">
        <f t="shared" si="627"/>
        <v>1.5625200872689794E-2</v>
      </c>
      <c r="N539" s="140">
        <f t="shared" si="628"/>
        <v>1721.5240966659424</v>
      </c>
      <c r="U539" s="142">
        <f t="shared" si="631"/>
        <v>2447.3196799057137</v>
      </c>
      <c r="V539" s="142">
        <f t="shared" si="631"/>
        <v>442.82375365098653</v>
      </c>
      <c r="W539" s="142">
        <f t="shared" si="631"/>
        <v>244.73196799057141</v>
      </c>
      <c r="X539" s="142">
        <f t="shared" si="630"/>
        <v>38.239861598213665</v>
      </c>
      <c r="Y539" s="142">
        <f t="shared" si="629"/>
        <v>1721.5240966659424</v>
      </c>
    </row>
    <row r="540" spans="1:25" ht="15" hidden="1" x14ac:dyDescent="0.25">
      <c r="A540">
        <v>11</v>
      </c>
      <c r="B540">
        <v>2021</v>
      </c>
      <c r="C540">
        <v>2020</v>
      </c>
      <c r="D540" t="s">
        <v>327</v>
      </c>
      <c r="E540" t="s">
        <v>68</v>
      </c>
      <c r="F540" s="143" t="s">
        <v>16</v>
      </c>
      <c r="G540" s="140">
        <v>5734.5516307432054</v>
      </c>
      <c r="H540" s="140">
        <v>1264.9130216031867</v>
      </c>
      <c r="I540" s="140">
        <v>573.45516307432058</v>
      </c>
      <c r="J540" s="140">
        <v>178.01</v>
      </c>
      <c r="K540" s="141">
        <f t="shared" si="625"/>
        <v>0.22057749289794995</v>
      </c>
      <c r="L540" s="141">
        <f t="shared" si="626"/>
        <v>0.1</v>
      </c>
      <c r="M540" s="141">
        <f t="shared" si="627"/>
        <v>3.1041659655774982E-2</v>
      </c>
      <c r="N540" s="140">
        <f t="shared" si="628"/>
        <v>3718.1734460656971</v>
      </c>
      <c r="U540" s="142">
        <f t="shared" si="631"/>
        <v>5734.5516307432054</v>
      </c>
      <c r="V540" s="142">
        <f t="shared" si="631"/>
        <v>1264.9130216031867</v>
      </c>
      <c r="W540" s="142">
        <f t="shared" si="631"/>
        <v>573.45516307432058</v>
      </c>
      <c r="X540" s="142">
        <f t="shared" si="630"/>
        <v>178.01</v>
      </c>
      <c r="Y540" s="142">
        <f t="shared" si="629"/>
        <v>3718.1734460656971</v>
      </c>
    </row>
    <row r="541" spans="1:25" ht="15" hidden="1" x14ac:dyDescent="0.25">
      <c r="A541">
        <v>12</v>
      </c>
      <c r="B541">
        <v>2021</v>
      </c>
      <c r="C541">
        <v>2020</v>
      </c>
      <c r="D541" t="s">
        <v>327</v>
      </c>
      <c r="E541" t="s">
        <v>67</v>
      </c>
      <c r="F541" s="143" t="s">
        <v>17</v>
      </c>
      <c r="G541" s="140">
        <v>-77052.115471159283</v>
      </c>
      <c r="H541" s="140">
        <v>-15106.94993083151</v>
      </c>
      <c r="I541" s="140">
        <v>-7705.2115471159277</v>
      </c>
      <c r="J541" s="140">
        <v>-473.75594403973309</v>
      </c>
      <c r="K541" s="141">
        <f t="shared" si="625"/>
        <v>0.19606145578814202</v>
      </c>
      <c r="L541" s="141">
        <f t="shared" si="626"/>
        <v>9.9999999999999992E-2</v>
      </c>
      <c r="M541" s="141">
        <f t="shared" si="627"/>
        <v>6.1485131348153659E-3</v>
      </c>
      <c r="N541" s="140">
        <f t="shared" si="628"/>
        <v>-53766.198049172111</v>
      </c>
      <c r="U541" s="142">
        <f t="shared" si="631"/>
        <v>-77052.115471159283</v>
      </c>
      <c r="V541" s="142">
        <f t="shared" si="631"/>
        <v>-15106.94993083151</v>
      </c>
      <c r="W541" s="142">
        <f t="shared" si="631"/>
        <v>-7705.2115471159277</v>
      </c>
      <c r="X541" s="142">
        <f t="shared" si="630"/>
        <v>-473.75594403973309</v>
      </c>
      <c r="Y541" s="142">
        <f t="shared" si="629"/>
        <v>-53766.198049172111</v>
      </c>
    </row>
    <row r="542" spans="1:25" ht="15" hidden="1" x14ac:dyDescent="0.25">
      <c r="A542">
        <v>12</v>
      </c>
      <c r="B542">
        <v>2021</v>
      </c>
      <c r="C542">
        <v>2020</v>
      </c>
      <c r="D542" t="s">
        <v>327</v>
      </c>
      <c r="E542" t="s">
        <v>68</v>
      </c>
      <c r="F542" s="143" t="s">
        <v>16</v>
      </c>
      <c r="G542" s="140">
        <v>0</v>
      </c>
      <c r="H542" s="140">
        <v>0</v>
      </c>
      <c r="I542" s="140">
        <v>0</v>
      </c>
      <c r="J542" s="140">
        <v>0</v>
      </c>
      <c r="K542" s="141" t="e">
        <f t="shared" si="625"/>
        <v>#DIV/0!</v>
      </c>
      <c r="L542" s="141" t="e">
        <f t="shared" si="626"/>
        <v>#DIV/0!</v>
      </c>
      <c r="M542" s="141" t="e">
        <f t="shared" si="627"/>
        <v>#DIV/0!</v>
      </c>
      <c r="N542" s="140">
        <f t="shared" si="628"/>
        <v>0</v>
      </c>
      <c r="U542" s="142">
        <f t="shared" si="631"/>
        <v>0</v>
      </c>
      <c r="V542" s="142">
        <f t="shared" si="631"/>
        <v>0</v>
      </c>
      <c r="W542" s="142">
        <f t="shared" si="631"/>
        <v>0</v>
      </c>
      <c r="X542" s="142">
        <f t="shared" si="630"/>
        <v>0</v>
      </c>
      <c r="Y542" s="142">
        <f t="shared" si="629"/>
        <v>0</v>
      </c>
    </row>
    <row r="543" spans="1:25" ht="15" hidden="1" x14ac:dyDescent="0.25">
      <c r="A543">
        <v>1</v>
      </c>
      <c r="B543">
        <v>2022</v>
      </c>
      <c r="C543">
        <v>2020</v>
      </c>
      <c r="D543" t="s">
        <v>327</v>
      </c>
      <c r="E543" t="s">
        <v>67</v>
      </c>
      <c r="F543" s="143" t="s">
        <v>17</v>
      </c>
      <c r="G543" s="140">
        <v>-2668.6117515760184</v>
      </c>
      <c r="H543" s="140">
        <v>69.072329209186563</v>
      </c>
      <c r="I543" s="140">
        <v>-266.86117515760191</v>
      </c>
      <c r="J543" s="140">
        <v>-57.43</v>
      </c>
      <c r="K543" s="141">
        <f t="shared" si="625"/>
        <v>-2.5883244038176066E-2</v>
      </c>
      <c r="L543" s="141">
        <f t="shared" si="626"/>
        <v>0.10000000000000002</v>
      </c>
      <c r="M543" s="141">
        <f t="shared" si="627"/>
        <v>2.1520552761593443E-2</v>
      </c>
      <c r="N543" s="140">
        <f t="shared" si="628"/>
        <v>-2413.3929056276033</v>
      </c>
      <c r="U543" s="142">
        <f t="shared" si="631"/>
        <v>-2668.6117515760184</v>
      </c>
      <c r="V543" s="142">
        <f t="shared" si="631"/>
        <v>69.072329209186563</v>
      </c>
      <c r="W543" s="142">
        <f t="shared" si="631"/>
        <v>-266.86117515760191</v>
      </c>
      <c r="X543" s="142">
        <f t="shared" si="630"/>
        <v>-57.43</v>
      </c>
      <c r="Y543" s="142">
        <f t="shared" si="629"/>
        <v>-2413.3929056276033</v>
      </c>
    </row>
    <row r="544" spans="1:25" ht="15" hidden="1" x14ac:dyDescent="0.25">
      <c r="A544">
        <v>1</v>
      </c>
      <c r="B544">
        <v>2022</v>
      </c>
      <c r="C544">
        <v>2020</v>
      </c>
      <c r="D544" t="s">
        <v>327</v>
      </c>
      <c r="E544" t="s">
        <v>68</v>
      </c>
      <c r="F544" s="143" t="s">
        <v>16</v>
      </c>
      <c r="G544" s="140">
        <v>0</v>
      </c>
      <c r="H544" s="140">
        <v>0</v>
      </c>
      <c r="I544" s="140">
        <v>0</v>
      </c>
      <c r="J544" s="140">
        <v>0</v>
      </c>
      <c r="K544" s="141" t="e">
        <f t="shared" si="625"/>
        <v>#DIV/0!</v>
      </c>
      <c r="L544" s="141" t="e">
        <f t="shared" si="626"/>
        <v>#DIV/0!</v>
      </c>
      <c r="M544" s="141" t="e">
        <f t="shared" si="627"/>
        <v>#DIV/0!</v>
      </c>
      <c r="N544" s="140">
        <f t="shared" si="628"/>
        <v>0</v>
      </c>
      <c r="U544" s="142">
        <f t="shared" si="631"/>
        <v>0</v>
      </c>
      <c r="V544" s="142">
        <f t="shared" si="631"/>
        <v>0</v>
      </c>
      <c r="W544" s="142">
        <f t="shared" si="631"/>
        <v>0</v>
      </c>
      <c r="X544" s="142">
        <f t="shared" si="630"/>
        <v>0</v>
      </c>
      <c r="Y544" s="142">
        <f t="shared" si="629"/>
        <v>0</v>
      </c>
    </row>
    <row r="545" spans="1:25" ht="15" hidden="1" x14ac:dyDescent="0.25">
      <c r="A545">
        <v>1</v>
      </c>
      <c r="B545">
        <v>2021</v>
      </c>
      <c r="C545">
        <v>2021</v>
      </c>
      <c r="D545" t="s">
        <v>327</v>
      </c>
      <c r="E545" t="s">
        <v>67</v>
      </c>
      <c r="F545" s="143" t="s">
        <v>22</v>
      </c>
      <c r="G545" s="140">
        <v>48853.330000000009</v>
      </c>
      <c r="H545" s="140">
        <v>8786.4544999999998</v>
      </c>
      <c r="I545" s="140">
        <v>4396.8026999999993</v>
      </c>
      <c r="J545" s="140">
        <v>924.8900000000001</v>
      </c>
      <c r="K545" s="141">
        <f t="shared" si="625"/>
        <v>0.17985374794307774</v>
      </c>
      <c r="L545" s="141">
        <f t="shared" si="626"/>
        <v>9.0000061408301107E-2</v>
      </c>
      <c r="M545" s="141">
        <f t="shared" si="627"/>
        <v>1.8931974545031014E-2</v>
      </c>
      <c r="N545" s="140">
        <f t="shared" si="628"/>
        <v>34745.18280000001</v>
      </c>
      <c r="O545" s="137">
        <v>7045745.6699999999</v>
      </c>
      <c r="P545" s="137">
        <v>1881937.05</v>
      </c>
      <c r="Q545">
        <v>0</v>
      </c>
      <c r="R545" s="137">
        <v>102138.67</v>
      </c>
      <c r="S545" s="137">
        <f>O545-P545-Q545-R545</f>
        <v>5061669.95</v>
      </c>
      <c r="U545" s="142">
        <f t="shared" si="631"/>
        <v>-6996892.3399999999</v>
      </c>
      <c r="V545" s="142">
        <f t="shared" si="631"/>
        <v>-1873150.5955000001</v>
      </c>
      <c r="W545" s="142">
        <f t="shared" si="631"/>
        <v>4396.8026999999993</v>
      </c>
      <c r="X545" s="142">
        <f t="shared" si="630"/>
        <v>-101213.78</v>
      </c>
      <c r="Y545" s="142">
        <f t="shared" si="629"/>
        <v>-5026924.7672000006</v>
      </c>
    </row>
    <row r="546" spans="1:25" ht="15" hidden="1" x14ac:dyDescent="0.25">
      <c r="A546">
        <v>1</v>
      </c>
      <c r="B546">
        <v>2021</v>
      </c>
      <c r="C546">
        <v>2021</v>
      </c>
      <c r="D546" t="s">
        <v>327</v>
      </c>
      <c r="E546" t="s">
        <v>68</v>
      </c>
      <c r="F546" s="143" t="s">
        <v>21</v>
      </c>
      <c r="G546" s="140">
        <v>0</v>
      </c>
      <c r="H546" s="140">
        <v>0</v>
      </c>
      <c r="I546" s="140">
        <v>0</v>
      </c>
      <c r="J546" s="140">
        <v>0</v>
      </c>
      <c r="K546" s="141" t="e">
        <f t="shared" si="625"/>
        <v>#DIV/0!</v>
      </c>
      <c r="L546" s="141" t="e">
        <f t="shared" si="626"/>
        <v>#DIV/0!</v>
      </c>
      <c r="M546" s="141" t="e">
        <f t="shared" si="627"/>
        <v>#DIV/0!</v>
      </c>
      <c r="N546" s="140">
        <f t="shared" si="628"/>
        <v>0</v>
      </c>
      <c r="O546" s="137">
        <v>2081506.64</v>
      </c>
      <c r="P546" s="137">
        <v>529063.92000000004</v>
      </c>
      <c r="Q546">
        <v>0</v>
      </c>
      <c r="R546" s="137">
        <v>55909.55</v>
      </c>
      <c r="S546" s="137">
        <f>O546-P546-Q546-R546</f>
        <v>1496533.1699999997</v>
      </c>
      <c r="U546" s="142">
        <f t="shared" si="631"/>
        <v>-2081506.64</v>
      </c>
      <c r="V546" s="142">
        <f t="shared" si="631"/>
        <v>-529063.92000000004</v>
      </c>
      <c r="W546" s="142">
        <f t="shared" si="631"/>
        <v>0</v>
      </c>
      <c r="X546" s="142">
        <f t="shared" si="630"/>
        <v>-55909.55</v>
      </c>
      <c r="Y546" s="142">
        <f t="shared" si="629"/>
        <v>-1496533.1699999997</v>
      </c>
    </row>
    <row r="547" spans="1:25" ht="15" hidden="1" x14ac:dyDescent="0.25">
      <c r="A547">
        <v>2</v>
      </c>
      <c r="B547">
        <v>2021</v>
      </c>
      <c r="C547">
        <v>2021</v>
      </c>
      <c r="D547" t="s">
        <v>327</v>
      </c>
      <c r="E547" t="s">
        <v>67</v>
      </c>
      <c r="F547" s="143" t="s">
        <v>22</v>
      </c>
      <c r="G547" s="140">
        <v>223963.97999999998</v>
      </c>
      <c r="H547" s="140">
        <v>37425.818450000006</v>
      </c>
      <c r="I547" s="140">
        <v>20156.768300000007</v>
      </c>
      <c r="J547" s="140">
        <v>3111.3899999999994</v>
      </c>
      <c r="K547" s="141">
        <f t="shared" si="625"/>
        <v>0.16710641796060247</v>
      </c>
      <c r="L547" s="141">
        <f t="shared" si="626"/>
        <v>9.0000045096537432E-2</v>
      </c>
      <c r="M547" s="141">
        <f t="shared" si="627"/>
        <v>1.3892367870940675E-2</v>
      </c>
      <c r="N547" s="140">
        <f t="shared" si="628"/>
        <v>163270.00324999995</v>
      </c>
      <c r="U547" s="142">
        <f t="shared" si="631"/>
        <v>223963.97999999998</v>
      </c>
      <c r="V547" s="142">
        <f t="shared" si="631"/>
        <v>37425.818450000006</v>
      </c>
      <c r="W547" s="142">
        <f t="shared" si="631"/>
        <v>20156.768300000007</v>
      </c>
      <c r="X547" s="142">
        <f t="shared" si="630"/>
        <v>3111.3899999999994</v>
      </c>
      <c r="Y547" s="142">
        <f t="shared" si="629"/>
        <v>163270.00324999995</v>
      </c>
    </row>
    <row r="548" spans="1:25" ht="15" hidden="1" x14ac:dyDescent="0.25">
      <c r="A548">
        <v>2</v>
      </c>
      <c r="B548">
        <v>2021</v>
      </c>
      <c r="C548">
        <v>2021</v>
      </c>
      <c r="D548" t="s">
        <v>327</v>
      </c>
      <c r="E548" t="s">
        <v>68</v>
      </c>
      <c r="F548" s="143" t="s">
        <v>21</v>
      </c>
      <c r="G548" s="140">
        <v>4039.11</v>
      </c>
      <c r="H548" s="140">
        <v>403.91100000000006</v>
      </c>
      <c r="I548" s="140">
        <v>363.51990000000001</v>
      </c>
      <c r="J548" s="140">
        <v>0</v>
      </c>
      <c r="K548" s="141">
        <f t="shared" si="625"/>
        <v>0.1</v>
      </c>
      <c r="L548" s="141">
        <f t="shared" si="626"/>
        <v>0.09</v>
      </c>
      <c r="M548" s="141">
        <f t="shared" si="627"/>
        <v>0</v>
      </c>
      <c r="N548" s="140">
        <f t="shared" si="628"/>
        <v>3271.6791000000003</v>
      </c>
      <c r="U548" s="142">
        <f t="shared" si="631"/>
        <v>4039.11</v>
      </c>
      <c r="V548" s="142">
        <f t="shared" si="631"/>
        <v>403.91100000000006</v>
      </c>
      <c r="W548" s="142">
        <f t="shared" si="631"/>
        <v>363.51990000000001</v>
      </c>
      <c r="X548" s="142">
        <f t="shared" si="630"/>
        <v>0</v>
      </c>
      <c r="Y548" s="142">
        <f t="shared" si="629"/>
        <v>3271.6791000000003</v>
      </c>
    </row>
    <row r="549" spans="1:25" ht="15" hidden="1" x14ac:dyDescent="0.25">
      <c r="A549">
        <v>3</v>
      </c>
      <c r="B549">
        <v>2021</v>
      </c>
      <c r="C549">
        <v>2021</v>
      </c>
      <c r="D549" t="s">
        <v>327</v>
      </c>
      <c r="E549" t="s">
        <v>67</v>
      </c>
      <c r="F549" s="143" t="s">
        <v>22</v>
      </c>
      <c r="G549" s="140">
        <v>123616.42</v>
      </c>
      <c r="H549" s="140">
        <v>21688.421000000002</v>
      </c>
      <c r="I549" s="140">
        <v>11125.478799999999</v>
      </c>
      <c r="J549" s="140">
        <v>1865.9</v>
      </c>
      <c r="K549" s="141">
        <f t="shared" si="625"/>
        <v>0.17544935373472231</v>
      </c>
      <c r="L549" s="141">
        <f t="shared" si="626"/>
        <v>9.0000008089540201E-2</v>
      </c>
      <c r="M549" s="141">
        <f t="shared" si="627"/>
        <v>1.5094273074725835E-2</v>
      </c>
      <c r="N549" s="140">
        <f t="shared" si="628"/>
        <v>88936.620200000005</v>
      </c>
      <c r="U549" s="142">
        <f t="shared" si="631"/>
        <v>123616.42</v>
      </c>
      <c r="V549" s="142">
        <f t="shared" si="631"/>
        <v>21688.421000000002</v>
      </c>
      <c r="W549" s="142">
        <f t="shared" si="631"/>
        <v>11125.478799999999</v>
      </c>
      <c r="X549" s="142">
        <f t="shared" si="630"/>
        <v>1865.9</v>
      </c>
      <c r="Y549" s="142">
        <f t="shared" si="629"/>
        <v>88936.620200000005</v>
      </c>
    </row>
    <row r="550" spans="1:25" ht="15" hidden="1" x14ac:dyDescent="0.25">
      <c r="A550">
        <v>3</v>
      </c>
      <c r="B550">
        <v>2021</v>
      </c>
      <c r="C550">
        <v>2021</v>
      </c>
      <c r="D550" t="s">
        <v>327</v>
      </c>
      <c r="E550" t="s">
        <v>68</v>
      </c>
      <c r="F550" s="143" t="s">
        <v>21</v>
      </c>
      <c r="G550" s="140">
        <v>211897.24</v>
      </c>
      <c r="H550" s="140">
        <v>28296.205799999996</v>
      </c>
      <c r="I550" s="140">
        <v>19070.752499999999</v>
      </c>
      <c r="J550" s="140">
        <v>5510.19</v>
      </c>
      <c r="K550" s="141">
        <f t="shared" si="625"/>
        <v>0.13353739671172685</v>
      </c>
      <c r="L550" s="141">
        <f t="shared" si="626"/>
        <v>9.0000004247341781E-2</v>
      </c>
      <c r="M550" s="141">
        <f t="shared" si="627"/>
        <v>2.6004066876944693E-2</v>
      </c>
      <c r="N550" s="140">
        <f t="shared" si="628"/>
        <v>159020.09169999999</v>
      </c>
      <c r="U550" s="142">
        <f t="shared" si="631"/>
        <v>211897.24</v>
      </c>
      <c r="V550" s="142">
        <f t="shared" si="631"/>
        <v>28296.205799999996</v>
      </c>
      <c r="W550" s="142">
        <f t="shared" si="631"/>
        <v>19070.752499999999</v>
      </c>
      <c r="X550" s="142">
        <f t="shared" si="630"/>
        <v>5510.19</v>
      </c>
      <c r="Y550" s="142">
        <f t="shared" si="629"/>
        <v>159020.09169999999</v>
      </c>
    </row>
    <row r="551" spans="1:25" ht="15" hidden="1" x14ac:dyDescent="0.25">
      <c r="A551">
        <v>4</v>
      </c>
      <c r="B551">
        <v>2021</v>
      </c>
      <c r="C551">
        <v>2021</v>
      </c>
      <c r="D551" t="s">
        <v>327</v>
      </c>
      <c r="E551" t="s">
        <v>67</v>
      </c>
      <c r="F551" s="143" t="s">
        <v>22</v>
      </c>
      <c r="G551" s="140">
        <v>386253.0500000001</v>
      </c>
      <c r="H551" s="140">
        <v>67136.804899999974</v>
      </c>
      <c r="I551" s="140">
        <v>34762.79659999998</v>
      </c>
      <c r="J551" s="140">
        <v>4692.329999999999</v>
      </c>
      <c r="K551" s="141">
        <f t="shared" ref="K551:K614" si="632">H551/G551</f>
        <v>0.17381559809042274</v>
      </c>
      <c r="L551" s="141">
        <f t="shared" si="626"/>
        <v>9.0000057216376592E-2</v>
      </c>
      <c r="M551" s="141">
        <f t="shared" si="627"/>
        <v>1.2148331255895579E-2</v>
      </c>
      <c r="N551" s="140">
        <f t="shared" si="628"/>
        <v>279661.1185000001</v>
      </c>
      <c r="U551" s="142">
        <f t="shared" si="631"/>
        <v>386253.0500000001</v>
      </c>
      <c r="V551" s="142">
        <f t="shared" si="631"/>
        <v>67136.804899999974</v>
      </c>
      <c r="W551" s="142">
        <f t="shared" si="631"/>
        <v>34762.79659999998</v>
      </c>
      <c r="X551" s="142">
        <f t="shared" si="630"/>
        <v>4692.329999999999</v>
      </c>
      <c r="Y551" s="142">
        <f t="shared" si="629"/>
        <v>279661.1185000001</v>
      </c>
    </row>
    <row r="552" spans="1:25" ht="15" hidden="1" x14ac:dyDescent="0.25">
      <c r="A552">
        <v>4</v>
      </c>
      <c r="B552">
        <v>2021</v>
      </c>
      <c r="C552">
        <v>2021</v>
      </c>
      <c r="D552" t="s">
        <v>327</v>
      </c>
      <c r="E552" t="s">
        <v>68</v>
      </c>
      <c r="F552" s="143" t="s">
        <v>21</v>
      </c>
      <c r="G552" s="140">
        <v>283926.6700000001</v>
      </c>
      <c r="H552" s="140">
        <v>27773.90755</v>
      </c>
      <c r="I552" s="140">
        <v>25553.405199999994</v>
      </c>
      <c r="J552" s="140">
        <v>12913.189999999999</v>
      </c>
      <c r="K552" s="141">
        <f t="shared" si="632"/>
        <v>9.7820706839551172E-2</v>
      </c>
      <c r="L552" s="141">
        <f t="shared" si="626"/>
        <v>9.0000017257977155E-2</v>
      </c>
      <c r="M552" s="141">
        <f t="shared" si="627"/>
        <v>4.5480722187880393E-2</v>
      </c>
      <c r="N552" s="140">
        <f t="shared" si="628"/>
        <v>217686.16725000012</v>
      </c>
      <c r="U552" s="142">
        <f t="shared" si="631"/>
        <v>283926.6700000001</v>
      </c>
      <c r="V552" s="142">
        <f t="shared" si="631"/>
        <v>27773.90755</v>
      </c>
      <c r="W552" s="142">
        <f t="shared" si="631"/>
        <v>25553.405199999994</v>
      </c>
      <c r="X552" s="142">
        <f t="shared" si="630"/>
        <v>12913.189999999999</v>
      </c>
      <c r="Y552" s="142">
        <f t="shared" si="629"/>
        <v>217686.16725000012</v>
      </c>
    </row>
    <row r="553" spans="1:25" ht="15" hidden="1" x14ac:dyDescent="0.25">
      <c r="A553">
        <v>5</v>
      </c>
      <c r="B553">
        <v>2021</v>
      </c>
      <c r="C553">
        <v>2021</v>
      </c>
      <c r="D553" t="s">
        <v>327</v>
      </c>
      <c r="E553" t="s">
        <v>67</v>
      </c>
      <c r="F553" s="143" t="s">
        <v>22</v>
      </c>
      <c r="G553" s="140">
        <v>385514.50000000012</v>
      </c>
      <c r="H553" s="140">
        <v>65040.354580000007</v>
      </c>
      <c r="I553" s="140">
        <v>34696.28820000001</v>
      </c>
      <c r="J553" s="140">
        <v>9138.880000000001</v>
      </c>
      <c r="K553" s="141">
        <f t="shared" si="632"/>
        <v>0.16871052730831132</v>
      </c>
      <c r="L553" s="141">
        <f t="shared" si="626"/>
        <v>8.9999956421872584E-2</v>
      </c>
      <c r="M553" s="141">
        <f t="shared" si="627"/>
        <v>2.3705671252313463E-2</v>
      </c>
      <c r="N553" s="140">
        <f t="shared" si="628"/>
        <v>276638.97722000012</v>
      </c>
      <c r="U553" s="142">
        <f t="shared" si="631"/>
        <v>385514.50000000012</v>
      </c>
      <c r="V553" s="142">
        <f t="shared" si="631"/>
        <v>65040.354580000007</v>
      </c>
      <c r="W553" s="142">
        <f t="shared" si="631"/>
        <v>34696.28820000001</v>
      </c>
      <c r="X553" s="142">
        <f t="shared" si="630"/>
        <v>9138.880000000001</v>
      </c>
      <c r="Y553" s="142">
        <f t="shared" si="629"/>
        <v>276638.97722000012</v>
      </c>
    </row>
    <row r="554" spans="1:25" ht="15" hidden="1" x14ac:dyDescent="0.25">
      <c r="A554">
        <v>5</v>
      </c>
      <c r="B554">
        <v>2021</v>
      </c>
      <c r="C554">
        <v>2021</v>
      </c>
      <c r="D554" t="s">
        <v>327</v>
      </c>
      <c r="E554" t="s">
        <v>68</v>
      </c>
      <c r="F554" s="143" t="s">
        <v>21</v>
      </c>
      <c r="G554" s="140">
        <v>214535.22999999995</v>
      </c>
      <c r="H554" s="140">
        <v>40906.597999999998</v>
      </c>
      <c r="I554" s="140">
        <v>19308.172500000001</v>
      </c>
      <c r="J554" s="140">
        <v>5695.9199999999992</v>
      </c>
      <c r="K554" s="141">
        <f t="shared" si="632"/>
        <v>0.19067543358729477</v>
      </c>
      <c r="L554" s="141">
        <f t="shared" si="626"/>
        <v>9.0000008390230382E-2</v>
      </c>
      <c r="M554" s="141">
        <f t="shared" si="627"/>
        <v>2.6550044950659154E-2</v>
      </c>
      <c r="N554" s="140">
        <f t="shared" si="628"/>
        <v>148624.53949999993</v>
      </c>
      <c r="U554" s="142">
        <f t="shared" si="631"/>
        <v>214535.22999999995</v>
      </c>
      <c r="V554" s="142">
        <f t="shared" si="631"/>
        <v>40906.597999999998</v>
      </c>
      <c r="W554" s="142">
        <f t="shared" si="631"/>
        <v>19308.172500000001</v>
      </c>
      <c r="X554" s="142">
        <f t="shared" si="630"/>
        <v>5695.9199999999992</v>
      </c>
      <c r="Y554" s="142">
        <f t="shared" si="629"/>
        <v>148624.53949999993</v>
      </c>
    </row>
    <row r="555" spans="1:25" ht="15" hidden="1" x14ac:dyDescent="0.25">
      <c r="A555">
        <v>6</v>
      </c>
      <c r="B555">
        <v>2021</v>
      </c>
      <c r="C555">
        <v>2021</v>
      </c>
      <c r="D555" t="s">
        <v>327</v>
      </c>
      <c r="E555" t="s">
        <v>67</v>
      </c>
      <c r="F555" s="143" t="s">
        <v>22</v>
      </c>
      <c r="G555" s="140">
        <v>163476.56999999992</v>
      </c>
      <c r="H555" s="140">
        <v>30147.325549999987</v>
      </c>
      <c r="I555" s="140">
        <v>14712.890100000001</v>
      </c>
      <c r="J555" s="140">
        <v>3877.07</v>
      </c>
      <c r="K555" s="141">
        <f t="shared" si="632"/>
        <v>0.18441373922880816</v>
      </c>
      <c r="L555" s="141">
        <f t="shared" si="626"/>
        <v>8.9999992659498596E-2</v>
      </c>
      <c r="M555" s="141">
        <f t="shared" si="627"/>
        <v>2.3716364981232491E-2</v>
      </c>
      <c r="N555" s="140">
        <f t="shared" si="628"/>
        <v>114739.28434999993</v>
      </c>
      <c r="U555" s="142">
        <f t="shared" si="631"/>
        <v>163476.56999999992</v>
      </c>
      <c r="V555" s="142">
        <f t="shared" si="631"/>
        <v>30147.325549999987</v>
      </c>
      <c r="W555" s="142">
        <f t="shared" si="631"/>
        <v>14712.890100000001</v>
      </c>
      <c r="X555" s="142">
        <f t="shared" si="630"/>
        <v>3877.07</v>
      </c>
      <c r="Y555" s="142">
        <f t="shared" si="629"/>
        <v>114739.28434999993</v>
      </c>
    </row>
    <row r="556" spans="1:25" ht="15" hidden="1" x14ac:dyDescent="0.25">
      <c r="A556">
        <v>6</v>
      </c>
      <c r="B556">
        <v>2021</v>
      </c>
      <c r="C556">
        <v>2021</v>
      </c>
      <c r="D556" t="s">
        <v>327</v>
      </c>
      <c r="E556" t="s">
        <v>68</v>
      </c>
      <c r="F556" s="143" t="s">
        <v>21</v>
      </c>
      <c r="G556" s="140">
        <v>90481.579999999987</v>
      </c>
      <c r="H556" s="140">
        <v>18038.219349999999</v>
      </c>
      <c r="I556" s="140">
        <v>8143.3437999999987</v>
      </c>
      <c r="J556" s="140">
        <v>2027.4700000000003</v>
      </c>
      <c r="K556" s="141">
        <f t="shared" si="632"/>
        <v>0.19935791737942687</v>
      </c>
      <c r="L556" s="141">
        <f t="shared" si="626"/>
        <v>9.0000017683157171E-2</v>
      </c>
      <c r="M556" s="141">
        <f t="shared" si="627"/>
        <v>2.2407544165342831E-2</v>
      </c>
      <c r="N556" s="140">
        <f t="shared" si="628"/>
        <v>62272.546849999984</v>
      </c>
      <c r="U556" s="142">
        <f t="shared" si="631"/>
        <v>90481.579999999987</v>
      </c>
      <c r="V556" s="142">
        <f t="shared" si="631"/>
        <v>18038.219349999999</v>
      </c>
      <c r="W556" s="142">
        <f t="shared" si="631"/>
        <v>8143.3437999999987</v>
      </c>
      <c r="X556" s="142">
        <f t="shared" si="630"/>
        <v>2027.4700000000003</v>
      </c>
      <c r="Y556" s="142">
        <f t="shared" si="629"/>
        <v>62272.546849999984</v>
      </c>
    </row>
    <row r="557" spans="1:25" ht="15" hidden="1" x14ac:dyDescent="0.25">
      <c r="A557">
        <v>7</v>
      </c>
      <c r="B557">
        <v>2021</v>
      </c>
      <c r="C557">
        <v>2021</v>
      </c>
      <c r="D557" t="s">
        <v>327</v>
      </c>
      <c r="E557" t="s">
        <v>67</v>
      </c>
      <c r="F557" s="143" t="s">
        <v>22</v>
      </c>
      <c r="G557" s="140">
        <v>662187.69000000006</v>
      </c>
      <c r="H557" s="140">
        <v>116701.21391400001</v>
      </c>
      <c r="I557" s="140">
        <v>59596.871399999996</v>
      </c>
      <c r="J557" s="140">
        <v>7356.69</v>
      </c>
      <c r="K557" s="141">
        <f t="shared" si="632"/>
        <v>0.17623585529655497</v>
      </c>
      <c r="L557" s="141">
        <f t="shared" si="626"/>
        <v>8.9999968739980646E-2</v>
      </c>
      <c r="M557" s="141">
        <f t="shared" si="627"/>
        <v>1.1109674962396234E-2</v>
      </c>
      <c r="N557" s="140">
        <f t="shared" si="628"/>
        <v>478532.91468600009</v>
      </c>
      <c r="U557" s="142">
        <f t="shared" si="631"/>
        <v>662187.69000000006</v>
      </c>
      <c r="V557" s="142">
        <f t="shared" si="631"/>
        <v>116701.21391400001</v>
      </c>
      <c r="W557" s="142">
        <f t="shared" si="631"/>
        <v>59596.871399999996</v>
      </c>
      <c r="X557" s="142">
        <f t="shared" si="630"/>
        <v>7356.69</v>
      </c>
      <c r="Y557" s="142">
        <f t="shared" si="629"/>
        <v>478532.91468600009</v>
      </c>
    </row>
    <row r="558" spans="1:25" ht="15" hidden="1" x14ac:dyDescent="0.25">
      <c r="A558">
        <v>7</v>
      </c>
      <c r="B558">
        <v>2021</v>
      </c>
      <c r="C558">
        <v>2021</v>
      </c>
      <c r="D558" t="s">
        <v>327</v>
      </c>
      <c r="E558" t="s">
        <v>68</v>
      </c>
      <c r="F558" s="143" t="s">
        <v>21</v>
      </c>
      <c r="G558" s="140">
        <v>61819.25</v>
      </c>
      <c r="H558" s="140">
        <v>9521.2340000000004</v>
      </c>
      <c r="I558" s="140">
        <v>5563.7325000000001</v>
      </c>
      <c r="J558" s="140">
        <v>605.22</v>
      </c>
      <c r="K558" s="141">
        <f t="shared" si="632"/>
        <v>0.15401730043635276</v>
      </c>
      <c r="L558" s="141">
        <f t="shared" si="626"/>
        <v>0.09</v>
      </c>
      <c r="M558" s="141">
        <f t="shared" si="627"/>
        <v>9.790154361303316E-3</v>
      </c>
      <c r="N558" s="140">
        <f t="shared" si="628"/>
        <v>46129.063500000004</v>
      </c>
      <c r="U558" s="142">
        <f t="shared" si="631"/>
        <v>61819.25</v>
      </c>
      <c r="V558" s="142">
        <f t="shared" si="631"/>
        <v>9521.2340000000004</v>
      </c>
      <c r="W558" s="142">
        <f t="shared" si="631"/>
        <v>5563.7325000000001</v>
      </c>
      <c r="X558" s="142">
        <f t="shared" si="630"/>
        <v>605.22</v>
      </c>
      <c r="Y558" s="142">
        <f t="shared" si="629"/>
        <v>46129.063500000004</v>
      </c>
    </row>
    <row r="559" spans="1:25" ht="15" hidden="1" x14ac:dyDescent="0.25">
      <c r="A559">
        <v>8</v>
      </c>
      <c r="B559">
        <v>2021</v>
      </c>
      <c r="C559">
        <v>2021</v>
      </c>
      <c r="D559" t="s">
        <v>327</v>
      </c>
      <c r="E559" t="s">
        <v>67</v>
      </c>
      <c r="F559" s="143" t="s">
        <v>22</v>
      </c>
      <c r="G559" s="140">
        <v>963826.48</v>
      </c>
      <c r="H559" s="140">
        <v>163196.81232299999</v>
      </c>
      <c r="I559" s="140">
        <v>86744.410200000013</v>
      </c>
      <c r="J559" s="140">
        <v>5020.9999999999982</v>
      </c>
      <c r="K559" s="141">
        <f t="shared" si="632"/>
        <v>0.16932177701011078</v>
      </c>
      <c r="L559" s="141">
        <f t="shared" si="626"/>
        <v>9.0000028013341171E-2</v>
      </c>
      <c r="M559" s="141">
        <f t="shared" si="627"/>
        <v>5.2094439239727033E-3</v>
      </c>
      <c r="N559" s="140">
        <f t="shared" si="628"/>
        <v>708864.25747699989</v>
      </c>
      <c r="U559" s="142">
        <f t="shared" si="631"/>
        <v>963826.48</v>
      </c>
      <c r="V559" s="142">
        <f t="shared" si="631"/>
        <v>163196.81232299999</v>
      </c>
      <c r="W559" s="142">
        <f t="shared" si="631"/>
        <v>86744.410200000013</v>
      </c>
      <c r="X559" s="142">
        <f t="shared" si="630"/>
        <v>5020.9999999999982</v>
      </c>
      <c r="Y559" s="142">
        <f t="shared" si="629"/>
        <v>708864.25747699989</v>
      </c>
    </row>
    <row r="560" spans="1:25" ht="15" hidden="1" x14ac:dyDescent="0.25">
      <c r="A560">
        <v>8</v>
      </c>
      <c r="B560">
        <v>2021</v>
      </c>
      <c r="C560">
        <v>2021</v>
      </c>
      <c r="D560" t="s">
        <v>327</v>
      </c>
      <c r="E560" t="s">
        <v>68</v>
      </c>
      <c r="F560" s="143" t="s">
        <v>21</v>
      </c>
      <c r="G560" s="140">
        <v>11481.11</v>
      </c>
      <c r="H560" s="140">
        <v>3514.0276499999995</v>
      </c>
      <c r="I560" s="140">
        <v>1033.2998999999998</v>
      </c>
      <c r="J560" s="140">
        <v>124.44000000000011</v>
      </c>
      <c r="K560" s="141">
        <f t="shared" si="632"/>
        <v>0.30607037559957179</v>
      </c>
      <c r="L560" s="141">
        <f t="shared" si="626"/>
        <v>8.9999999999999969E-2</v>
      </c>
      <c r="M560" s="141">
        <f t="shared" si="627"/>
        <v>1.083867326417046E-2</v>
      </c>
      <c r="N560" s="140">
        <f t="shared" si="628"/>
        <v>6809.3424500000001</v>
      </c>
      <c r="U560" s="142">
        <f t="shared" si="631"/>
        <v>11481.11</v>
      </c>
      <c r="V560" s="142">
        <f t="shared" si="631"/>
        <v>3514.0276499999995</v>
      </c>
      <c r="W560" s="142">
        <f t="shared" si="631"/>
        <v>1033.2998999999998</v>
      </c>
      <c r="X560" s="142">
        <f t="shared" si="630"/>
        <v>124.44000000000011</v>
      </c>
      <c r="Y560" s="142">
        <f t="shared" si="629"/>
        <v>6809.3424500000001</v>
      </c>
    </row>
    <row r="561" spans="1:28" ht="15" hidden="1" x14ac:dyDescent="0.25">
      <c r="A561">
        <v>9</v>
      </c>
      <c r="B561">
        <v>2021</v>
      </c>
      <c r="C561">
        <v>2021</v>
      </c>
      <c r="D561" t="s">
        <v>327</v>
      </c>
      <c r="E561" t="s">
        <v>67</v>
      </c>
      <c r="F561" s="143" t="s">
        <v>22</v>
      </c>
      <c r="G561" s="140">
        <v>364362.7</v>
      </c>
      <c r="H561" s="140">
        <v>67939.249160000007</v>
      </c>
      <c r="I561" s="140">
        <v>32792.661699999997</v>
      </c>
      <c r="J561" s="140">
        <v>6848.409999999998</v>
      </c>
      <c r="K561" s="141">
        <f t="shared" si="632"/>
        <v>0.18646049433709874</v>
      </c>
      <c r="L561" s="141">
        <f t="shared" ref="L561:L624" si="633">I561/G561</f>
        <v>9.0000051322487173E-2</v>
      </c>
      <c r="M561" s="141">
        <f t="shared" ref="M561:M624" si="634">J561/G561</f>
        <v>1.8795584729172327E-2</v>
      </c>
      <c r="N561" s="140">
        <f t="shared" ref="N561:N624" si="635">G561-H561-I561-J561</f>
        <v>256782.37914</v>
      </c>
      <c r="U561" s="142">
        <f t="shared" si="631"/>
        <v>364362.7</v>
      </c>
      <c r="V561" s="142">
        <f t="shared" si="631"/>
        <v>67939.249160000007</v>
      </c>
      <c r="W561" s="142">
        <f t="shared" si="631"/>
        <v>32792.661699999997</v>
      </c>
      <c r="X561" s="142">
        <f t="shared" si="630"/>
        <v>6848.409999999998</v>
      </c>
      <c r="Y561" s="142">
        <f t="shared" ref="Y561:Y624" si="636">N561-S561</f>
        <v>256782.37914</v>
      </c>
    </row>
    <row r="562" spans="1:28" ht="15" hidden="1" x14ac:dyDescent="0.25">
      <c r="A562">
        <v>9</v>
      </c>
      <c r="B562">
        <v>2021</v>
      </c>
      <c r="C562">
        <v>2021</v>
      </c>
      <c r="D562" t="s">
        <v>327</v>
      </c>
      <c r="E562" t="s">
        <v>68</v>
      </c>
      <c r="F562" s="143" t="s">
        <v>21</v>
      </c>
      <c r="G562" s="140">
        <v>54403.76</v>
      </c>
      <c r="H562" s="140">
        <v>10856.162</v>
      </c>
      <c r="I562" s="140">
        <v>4896.3383999999996</v>
      </c>
      <c r="J562" s="140">
        <v>541.56000000000006</v>
      </c>
      <c r="K562" s="141">
        <f t="shared" si="632"/>
        <v>0.19954800918171833</v>
      </c>
      <c r="L562" s="141">
        <f t="shared" si="633"/>
        <v>0.09</v>
      </c>
      <c r="M562" s="141">
        <f t="shared" si="634"/>
        <v>9.9544590300376309E-3</v>
      </c>
      <c r="N562" s="140">
        <f t="shared" si="635"/>
        <v>38109.6996</v>
      </c>
      <c r="U562" s="142">
        <f t="shared" si="631"/>
        <v>54403.76</v>
      </c>
      <c r="V562" s="142">
        <f t="shared" si="631"/>
        <v>10856.162</v>
      </c>
      <c r="W562" s="142">
        <f t="shared" si="631"/>
        <v>4896.3383999999996</v>
      </c>
      <c r="X562" s="142">
        <f t="shared" si="630"/>
        <v>541.56000000000006</v>
      </c>
      <c r="Y562" s="142">
        <f t="shared" si="636"/>
        <v>38109.6996</v>
      </c>
    </row>
    <row r="563" spans="1:28" ht="15" hidden="1" x14ac:dyDescent="0.25">
      <c r="A563">
        <v>10</v>
      </c>
      <c r="B563">
        <v>2021</v>
      </c>
      <c r="C563">
        <v>2021</v>
      </c>
      <c r="D563" t="s">
        <v>327</v>
      </c>
      <c r="E563" t="s">
        <v>67</v>
      </c>
      <c r="F563" s="143" t="s">
        <v>22</v>
      </c>
      <c r="G563" s="140">
        <v>382436.43431827636</v>
      </c>
      <c r="H563" s="140">
        <v>71387.043044255159</v>
      </c>
      <c r="I563" s="140">
        <v>34419.279088644871</v>
      </c>
      <c r="J563" s="140">
        <v>7692.7763214708893</v>
      </c>
      <c r="K563" s="141">
        <f t="shared" si="632"/>
        <v>0.18666381295889942</v>
      </c>
      <c r="L563" s="141">
        <f t="shared" si="633"/>
        <v>0.09</v>
      </c>
      <c r="M563" s="141">
        <f t="shared" si="634"/>
        <v>2.0115176356520218E-2</v>
      </c>
      <c r="N563" s="140">
        <f t="shared" si="635"/>
        <v>268937.33586390538</v>
      </c>
      <c r="U563" s="142">
        <f t="shared" si="631"/>
        <v>382436.43431827636</v>
      </c>
      <c r="V563" s="142">
        <f t="shared" si="631"/>
        <v>71387.043044255159</v>
      </c>
      <c r="W563" s="142">
        <f t="shared" si="631"/>
        <v>34419.279088644871</v>
      </c>
      <c r="X563" s="142">
        <f t="shared" si="630"/>
        <v>7692.7763214708893</v>
      </c>
      <c r="Y563" s="142">
        <f t="shared" si="636"/>
        <v>268937.33586390538</v>
      </c>
    </row>
    <row r="564" spans="1:28" ht="15" hidden="1" x14ac:dyDescent="0.25">
      <c r="A564">
        <v>10</v>
      </c>
      <c r="B564">
        <v>2021</v>
      </c>
      <c r="C564">
        <v>2021</v>
      </c>
      <c r="D564" t="s">
        <v>327</v>
      </c>
      <c r="E564" t="s">
        <v>68</v>
      </c>
      <c r="F564" s="143" t="s">
        <v>21</v>
      </c>
      <c r="G564" s="140">
        <v>411669.95123674063</v>
      </c>
      <c r="H564" s="140">
        <v>81221.908856938287</v>
      </c>
      <c r="I564" s="140">
        <v>37050.295611306654</v>
      </c>
      <c r="J564" s="140">
        <v>13615.231266405513</v>
      </c>
      <c r="K564" s="141">
        <f t="shared" si="632"/>
        <v>0.19729860926922424</v>
      </c>
      <c r="L564" s="141">
        <f t="shared" si="633"/>
        <v>0.09</v>
      </c>
      <c r="M564" s="141">
        <f t="shared" si="634"/>
        <v>3.307317239332766E-2</v>
      </c>
      <c r="N564" s="140">
        <f t="shared" si="635"/>
        <v>279782.51550209016</v>
      </c>
      <c r="U564" s="142">
        <f t="shared" si="631"/>
        <v>411669.95123674063</v>
      </c>
      <c r="V564" s="142">
        <f t="shared" si="631"/>
        <v>81221.908856938287</v>
      </c>
      <c r="W564" s="142">
        <f t="shared" si="631"/>
        <v>37050.295611306654</v>
      </c>
      <c r="X564" s="142">
        <f t="shared" si="630"/>
        <v>13615.231266405513</v>
      </c>
      <c r="Y564" s="142">
        <f t="shared" si="636"/>
        <v>279782.51550209016</v>
      </c>
    </row>
    <row r="565" spans="1:28" ht="15" hidden="1" x14ac:dyDescent="0.25">
      <c r="A565">
        <v>11</v>
      </c>
      <c r="B565">
        <v>2021</v>
      </c>
      <c r="C565">
        <v>2021</v>
      </c>
      <c r="D565" t="s">
        <v>327</v>
      </c>
      <c r="E565" t="s">
        <v>67</v>
      </c>
      <c r="F565" s="143" t="s">
        <v>22</v>
      </c>
      <c r="G565" s="140">
        <v>1079128.6262721347</v>
      </c>
      <c r="H565" s="140">
        <v>191991.04150555361</v>
      </c>
      <c r="I565" s="140">
        <v>97121.576364492168</v>
      </c>
      <c r="J565" s="140">
        <v>21370.477858497161</v>
      </c>
      <c r="K565" s="141">
        <f t="shared" si="632"/>
        <v>0.17791302800370462</v>
      </c>
      <c r="L565" s="141">
        <f t="shared" si="633"/>
        <v>9.0000000000000038E-2</v>
      </c>
      <c r="M565" s="141">
        <f t="shared" si="634"/>
        <v>1.9803457473203896E-2</v>
      </c>
      <c r="N565" s="140">
        <f t="shared" si="635"/>
        <v>768645.53054359171</v>
      </c>
      <c r="U565" s="142">
        <f t="shared" si="631"/>
        <v>1079128.6262721347</v>
      </c>
      <c r="V565" s="142">
        <f t="shared" si="631"/>
        <v>191991.04150555361</v>
      </c>
      <c r="W565" s="142">
        <f t="shared" si="631"/>
        <v>97121.576364492168</v>
      </c>
      <c r="X565" s="142">
        <f t="shared" si="630"/>
        <v>21370.477858497161</v>
      </c>
      <c r="Y565" s="142">
        <f t="shared" si="636"/>
        <v>768645.53054359171</v>
      </c>
    </row>
    <row r="566" spans="1:28" ht="15" hidden="1" x14ac:dyDescent="0.25">
      <c r="A566">
        <v>11</v>
      </c>
      <c r="B566">
        <v>2021</v>
      </c>
      <c r="C566">
        <v>2021</v>
      </c>
      <c r="D566" t="s">
        <v>327</v>
      </c>
      <c r="E566" t="s">
        <v>68</v>
      </c>
      <c r="F566" s="143" t="s">
        <v>21</v>
      </c>
      <c r="G566" s="140">
        <v>23548.057248387424</v>
      </c>
      <c r="H566" s="140">
        <v>4502.2455960189491</v>
      </c>
      <c r="I566" s="140">
        <v>2119.3251523548684</v>
      </c>
      <c r="J566" s="140">
        <v>716.40000000000009</v>
      </c>
      <c r="K566" s="141">
        <f t="shared" si="632"/>
        <v>0.19119392944092081</v>
      </c>
      <c r="L566" s="141">
        <f t="shared" si="633"/>
        <v>9.0000000000000011E-2</v>
      </c>
      <c r="M566" s="141">
        <f t="shared" si="634"/>
        <v>3.0422891894789295E-2</v>
      </c>
      <c r="N566" s="140">
        <f t="shared" si="635"/>
        <v>16210.086500013605</v>
      </c>
      <c r="U566" s="142">
        <f t="shared" si="631"/>
        <v>23548.057248387424</v>
      </c>
      <c r="V566" s="142">
        <f t="shared" si="631"/>
        <v>4502.2455960189491</v>
      </c>
      <c r="W566" s="142">
        <f t="shared" si="631"/>
        <v>2119.3251523548684</v>
      </c>
      <c r="X566" s="142">
        <f t="shared" si="630"/>
        <v>716.40000000000009</v>
      </c>
      <c r="Y566" s="142">
        <f t="shared" si="636"/>
        <v>16210.086500013605</v>
      </c>
    </row>
    <row r="567" spans="1:28" ht="15" hidden="1" x14ac:dyDescent="0.25">
      <c r="A567">
        <v>12</v>
      </c>
      <c r="B567">
        <v>2021</v>
      </c>
      <c r="C567">
        <v>2021</v>
      </c>
      <c r="D567" t="s">
        <v>327</v>
      </c>
      <c r="E567" t="s">
        <v>67</v>
      </c>
      <c r="F567" s="143" t="s">
        <v>22</v>
      </c>
      <c r="G567" s="140">
        <v>1641728.1816491275</v>
      </c>
      <c r="H567" s="140">
        <v>301052.91864116222</v>
      </c>
      <c r="I567" s="140">
        <v>147755.53634842159</v>
      </c>
      <c r="J567" s="140">
        <v>21225.278482420996</v>
      </c>
      <c r="K567" s="141">
        <f t="shared" si="632"/>
        <v>0.18337561723448789</v>
      </c>
      <c r="L567" s="141">
        <f t="shared" si="633"/>
        <v>9.0000000000000066E-2</v>
      </c>
      <c r="M567" s="141">
        <f t="shared" si="634"/>
        <v>1.2928619195109421E-2</v>
      </c>
      <c r="N567" s="140">
        <f t="shared" si="635"/>
        <v>1171694.4481771227</v>
      </c>
      <c r="U567" s="142">
        <f t="shared" si="631"/>
        <v>1641728.1816491275</v>
      </c>
      <c r="V567" s="142">
        <f t="shared" si="631"/>
        <v>301052.91864116222</v>
      </c>
      <c r="W567" s="142">
        <f t="shared" si="631"/>
        <v>147755.53634842159</v>
      </c>
      <c r="X567" s="142">
        <f t="shared" si="630"/>
        <v>21225.278482420996</v>
      </c>
      <c r="Y567" s="142">
        <f t="shared" si="636"/>
        <v>1171694.4481771227</v>
      </c>
    </row>
    <row r="568" spans="1:28" ht="15" hidden="1" x14ac:dyDescent="0.25">
      <c r="A568">
        <v>12</v>
      </c>
      <c r="B568">
        <v>2021</v>
      </c>
      <c r="C568">
        <v>2021</v>
      </c>
      <c r="D568" t="s">
        <v>327</v>
      </c>
      <c r="E568" t="s">
        <v>68</v>
      </c>
      <c r="F568" s="143" t="s">
        <v>21</v>
      </c>
      <c r="G568" s="140">
        <v>429631.7525217011</v>
      </c>
      <c r="H568" s="140">
        <v>75137.106192202074</v>
      </c>
      <c r="I568" s="140">
        <v>38666.857726953094</v>
      </c>
      <c r="J568" s="140">
        <v>7574.397695433644</v>
      </c>
      <c r="K568" s="141">
        <f t="shared" si="632"/>
        <v>0.17488722784381919</v>
      </c>
      <c r="L568" s="141">
        <f t="shared" si="633"/>
        <v>8.9999999999999983E-2</v>
      </c>
      <c r="M568" s="141">
        <f t="shared" si="634"/>
        <v>1.7629976487948371E-2</v>
      </c>
      <c r="N568" s="140">
        <f t="shared" si="635"/>
        <v>308253.39090711228</v>
      </c>
      <c r="U568" s="142">
        <f t="shared" si="631"/>
        <v>429631.7525217011</v>
      </c>
      <c r="V568" s="142">
        <f t="shared" si="631"/>
        <v>75137.106192202074</v>
      </c>
      <c r="W568" s="142">
        <f t="shared" si="631"/>
        <v>38666.857726953094</v>
      </c>
      <c r="X568" s="142">
        <f t="shared" si="630"/>
        <v>7574.397695433644</v>
      </c>
      <c r="Y568" s="142">
        <f t="shared" si="636"/>
        <v>308253.39090711228</v>
      </c>
    </row>
    <row r="569" spans="1:28" ht="15" hidden="1" x14ac:dyDescent="0.25">
      <c r="A569">
        <v>1</v>
      </c>
      <c r="B569">
        <v>2021</v>
      </c>
      <c r="C569">
        <v>2021</v>
      </c>
      <c r="D569" t="s">
        <v>327</v>
      </c>
      <c r="E569" t="s">
        <v>67</v>
      </c>
      <c r="F569" s="143" t="s">
        <v>22</v>
      </c>
      <c r="G569" s="140">
        <v>8646.6383191607874</v>
      </c>
      <c r="H569" s="140">
        <v>-1012.8461990485838</v>
      </c>
      <c r="I569" s="140">
        <v>778.19744872447052</v>
      </c>
      <c r="J569" s="140">
        <v>-226.57339138270754</v>
      </c>
      <c r="K569" s="141">
        <f t="shared" si="632"/>
        <v>-0.11713756973090174</v>
      </c>
      <c r="L569" s="141">
        <f t="shared" si="633"/>
        <v>8.9999999999999955E-2</v>
      </c>
      <c r="M569" s="141">
        <f t="shared" si="634"/>
        <v>-2.6203639266444763E-2</v>
      </c>
      <c r="N569" s="140">
        <f t="shared" si="635"/>
        <v>9107.8604608676087</v>
      </c>
      <c r="U569" s="142">
        <f t="shared" si="631"/>
        <v>8646.6383191607874</v>
      </c>
      <c r="V569" s="142">
        <f t="shared" si="631"/>
        <v>-1012.8461990485838</v>
      </c>
      <c r="W569" s="142">
        <f t="shared" si="631"/>
        <v>778.19744872447052</v>
      </c>
      <c r="X569" s="142">
        <f t="shared" si="630"/>
        <v>-226.57339138270754</v>
      </c>
      <c r="Y569" s="142">
        <f t="shared" si="636"/>
        <v>9107.8604608676087</v>
      </c>
    </row>
    <row r="570" spans="1:28" ht="15" hidden="1" x14ac:dyDescent="0.25">
      <c r="A570">
        <v>1</v>
      </c>
      <c r="B570">
        <v>2021</v>
      </c>
      <c r="C570">
        <v>2021</v>
      </c>
      <c r="D570" t="s">
        <v>327</v>
      </c>
      <c r="E570" t="s">
        <v>68</v>
      </c>
      <c r="F570" s="143" t="s">
        <v>21</v>
      </c>
      <c r="G570" s="140">
        <v>-962.93655333333322</v>
      </c>
      <c r="H570" s="140">
        <v>-192.58731066666667</v>
      </c>
      <c r="I570" s="140">
        <v>-86.664289799999992</v>
      </c>
      <c r="J570" s="140">
        <v>0</v>
      </c>
      <c r="K570" s="141">
        <f t="shared" si="632"/>
        <v>0.2</v>
      </c>
      <c r="L570" s="141">
        <f t="shared" si="633"/>
        <v>0.09</v>
      </c>
      <c r="M570" s="141">
        <f t="shared" si="634"/>
        <v>0</v>
      </c>
      <c r="N570" s="140">
        <f t="shared" si="635"/>
        <v>-683.68495286666655</v>
      </c>
      <c r="U570" s="142">
        <f t="shared" si="631"/>
        <v>-962.93655333333322</v>
      </c>
      <c r="V570" s="142">
        <f t="shared" si="631"/>
        <v>-192.58731066666667</v>
      </c>
      <c r="W570" s="142">
        <f t="shared" si="631"/>
        <v>-86.664289799999992</v>
      </c>
      <c r="X570" s="142">
        <f t="shared" si="630"/>
        <v>0</v>
      </c>
      <c r="Y570" s="142">
        <f t="shared" si="636"/>
        <v>-683.68495286666655</v>
      </c>
    </row>
    <row r="571" spans="1:28" ht="15" hidden="1" x14ac:dyDescent="0.25">
      <c r="A571">
        <v>1</v>
      </c>
      <c r="B571">
        <v>2022</v>
      </c>
      <c r="C571">
        <v>2022</v>
      </c>
      <c r="D571" t="s">
        <v>327</v>
      </c>
      <c r="E571" t="s">
        <v>67</v>
      </c>
      <c r="F571" s="143" t="s">
        <v>30</v>
      </c>
      <c r="G571" s="140">
        <v>258027.06127550337</v>
      </c>
      <c r="H571" s="140">
        <v>51862.285203497966</v>
      </c>
      <c r="I571" s="140">
        <v>23222.435514795303</v>
      </c>
      <c r="J571" s="140">
        <v>5036.5679960816333</v>
      </c>
      <c r="K571" s="141">
        <f t="shared" si="632"/>
        <v>0.20099552716342037</v>
      </c>
      <c r="L571" s="141">
        <f t="shared" si="633"/>
        <v>0.09</v>
      </c>
      <c r="M571" s="141">
        <f t="shared" si="634"/>
        <v>1.9519534002303485E-2</v>
      </c>
      <c r="N571" s="140">
        <f t="shared" si="635"/>
        <v>177905.77256112845</v>
      </c>
      <c r="U571" s="142">
        <f t="shared" si="631"/>
        <v>258027.06127550337</v>
      </c>
      <c r="V571" s="142">
        <f t="shared" si="631"/>
        <v>51862.285203497966</v>
      </c>
      <c r="W571" s="142">
        <f t="shared" si="631"/>
        <v>23222.435514795303</v>
      </c>
      <c r="X571" s="142">
        <f t="shared" si="630"/>
        <v>5036.5679960816333</v>
      </c>
      <c r="Y571" s="142">
        <f t="shared" si="636"/>
        <v>177905.77256112845</v>
      </c>
    </row>
    <row r="572" spans="1:28" ht="15" hidden="1" x14ac:dyDescent="0.25">
      <c r="A572">
        <v>1</v>
      </c>
      <c r="B572">
        <v>2022</v>
      </c>
      <c r="C572">
        <v>2022</v>
      </c>
      <c r="D572" t="s">
        <v>327</v>
      </c>
      <c r="E572" t="s">
        <v>68</v>
      </c>
      <c r="F572" s="143" t="s">
        <v>29</v>
      </c>
      <c r="G572" s="140">
        <v>21995.692866675796</v>
      </c>
      <c r="H572" s="140">
        <v>3516.7208450657072</v>
      </c>
      <c r="I572" s="140">
        <v>1979.6123580008211</v>
      </c>
      <c r="J572" s="140">
        <v>627.67000000000007</v>
      </c>
      <c r="K572" s="141">
        <f t="shared" si="632"/>
        <v>0.15988224905584383</v>
      </c>
      <c r="L572" s="141">
        <f t="shared" si="633"/>
        <v>8.9999999999999983E-2</v>
      </c>
      <c r="M572" s="141">
        <f t="shared" si="634"/>
        <v>2.8536041297018696E-2</v>
      </c>
      <c r="N572" s="140">
        <f t="shared" si="635"/>
        <v>15871.68966360927</v>
      </c>
      <c r="U572" s="142">
        <f t="shared" si="631"/>
        <v>21995.692866675796</v>
      </c>
      <c r="V572" s="142">
        <f t="shared" si="631"/>
        <v>3516.7208450657072</v>
      </c>
      <c r="W572" s="142">
        <f t="shared" si="631"/>
        <v>1979.6123580008211</v>
      </c>
      <c r="X572" s="142">
        <f t="shared" si="630"/>
        <v>627.67000000000007</v>
      </c>
      <c r="Y572" s="142">
        <f t="shared" si="636"/>
        <v>15871.68966360927</v>
      </c>
    </row>
    <row r="573" spans="1:28" ht="15" hidden="1" x14ac:dyDescent="0.25">
      <c r="A573">
        <v>10</v>
      </c>
      <c r="B573">
        <v>2019</v>
      </c>
      <c r="C573">
        <v>2019</v>
      </c>
      <c r="D573" t="s">
        <v>63</v>
      </c>
      <c r="E573" t="s">
        <v>69</v>
      </c>
      <c r="F573" s="143" t="s">
        <v>0</v>
      </c>
      <c r="G573" s="140">
        <v>64477.991802752869</v>
      </c>
      <c r="H573" s="140">
        <v>11809.73145425539</v>
      </c>
      <c r="I573" s="140">
        <v>8059.7489753441087</v>
      </c>
      <c r="J573" s="140">
        <v>221.18193704463994</v>
      </c>
      <c r="K573" s="141">
        <f t="shared" si="632"/>
        <v>0.18315910784540249</v>
      </c>
      <c r="L573" s="141">
        <f t="shared" si="633"/>
        <v>0.125</v>
      </c>
      <c r="M573" s="141">
        <f t="shared" si="634"/>
        <v>3.4303477955899462E-3</v>
      </c>
      <c r="N573" s="140">
        <f t="shared" si="635"/>
        <v>44387.329436108732</v>
      </c>
      <c r="O573" s="137">
        <v>75079.710000000006</v>
      </c>
      <c r="P573" s="137">
        <v>23756.26</v>
      </c>
      <c r="Q573">
        <v>0</v>
      </c>
      <c r="R573">
        <v>719.06</v>
      </c>
      <c r="S573" s="137">
        <f>O573-P573-Q573-R573</f>
        <v>50604.390000000014</v>
      </c>
      <c r="U573" s="142">
        <f t="shared" si="631"/>
        <v>-10601.718197247137</v>
      </c>
      <c r="V573" s="142">
        <f t="shared" si="631"/>
        <v>-11946.528545744608</v>
      </c>
      <c r="W573" s="142">
        <f t="shared" si="631"/>
        <v>8059.7489753441087</v>
      </c>
      <c r="X573" s="142">
        <f t="shared" si="630"/>
        <v>-497.87806295536001</v>
      </c>
      <c r="Y573" s="142">
        <f t="shared" si="636"/>
        <v>-6217.0605638912821</v>
      </c>
      <c r="AA573" s="142"/>
      <c r="AB573" s="142"/>
    </row>
    <row r="574" spans="1:28" ht="15" hidden="1" x14ac:dyDescent="0.25">
      <c r="A574">
        <v>11</v>
      </c>
      <c r="B574">
        <v>2019</v>
      </c>
      <c r="C574">
        <v>2019</v>
      </c>
      <c r="D574" t="s">
        <v>63</v>
      </c>
      <c r="E574" t="s">
        <v>69</v>
      </c>
      <c r="F574" s="143" t="s">
        <v>0</v>
      </c>
      <c r="G574" s="140">
        <v>89.194567191912938</v>
      </c>
      <c r="H574" s="140">
        <v>196.94096771016552</v>
      </c>
      <c r="I574" s="140">
        <v>11.149320898989117</v>
      </c>
      <c r="J574" s="140">
        <v>-30.860069762351486</v>
      </c>
      <c r="K574" s="141">
        <f t="shared" si="632"/>
        <v>2.2079928622381577</v>
      </c>
      <c r="L574" s="141">
        <f t="shared" si="633"/>
        <v>0.125</v>
      </c>
      <c r="M574" s="141">
        <f t="shared" si="634"/>
        <v>-0.34598598024420368</v>
      </c>
      <c r="N574" s="140">
        <f t="shared" si="635"/>
        <v>-88.035651654890216</v>
      </c>
      <c r="U574" s="142">
        <f t="shared" si="631"/>
        <v>89.194567191912938</v>
      </c>
      <c r="V574" s="142">
        <f t="shared" si="631"/>
        <v>196.94096771016552</v>
      </c>
      <c r="W574" s="142">
        <f t="shared" si="631"/>
        <v>11.149320898989117</v>
      </c>
      <c r="X574" s="142">
        <f t="shared" si="630"/>
        <v>-30.860069762351486</v>
      </c>
      <c r="Y574" s="142">
        <f t="shared" si="636"/>
        <v>-88.035651654890216</v>
      </c>
    </row>
    <row r="575" spans="1:28" ht="15" hidden="1" x14ac:dyDescent="0.25">
      <c r="A575">
        <v>12</v>
      </c>
      <c r="B575">
        <v>2019</v>
      </c>
      <c r="C575">
        <v>2019</v>
      </c>
      <c r="D575" t="s">
        <v>63</v>
      </c>
      <c r="E575" t="s">
        <v>69</v>
      </c>
      <c r="F575" s="143" t="s">
        <v>0</v>
      </c>
      <c r="G575" s="140">
        <v>7172.7893037067979</v>
      </c>
      <c r="H575" s="140">
        <v>1359.8518673428371</v>
      </c>
      <c r="I575" s="140">
        <v>896.59866296334974</v>
      </c>
      <c r="J575" s="140">
        <v>84.158685760832299</v>
      </c>
      <c r="K575" s="141">
        <f t="shared" si="632"/>
        <v>0.18958480582164661</v>
      </c>
      <c r="L575" s="141">
        <f t="shared" si="633"/>
        <v>0.125</v>
      </c>
      <c r="M575" s="141">
        <f t="shared" si="634"/>
        <v>1.1733048636649658E-2</v>
      </c>
      <c r="N575" s="140">
        <f t="shared" si="635"/>
        <v>4832.1800876397783</v>
      </c>
      <c r="U575" s="142">
        <f t="shared" si="631"/>
        <v>7172.7893037067979</v>
      </c>
      <c r="V575" s="142">
        <f t="shared" si="631"/>
        <v>1359.8518673428371</v>
      </c>
      <c r="W575" s="142">
        <f t="shared" si="631"/>
        <v>896.59866296334974</v>
      </c>
      <c r="X575" s="142">
        <f t="shared" si="630"/>
        <v>84.158685760832299</v>
      </c>
      <c r="Y575" s="142">
        <f t="shared" si="636"/>
        <v>4832.1800876397783</v>
      </c>
    </row>
    <row r="576" spans="1:28" ht="15" hidden="1" x14ac:dyDescent="0.25">
      <c r="A576">
        <v>1</v>
      </c>
      <c r="B576">
        <v>2020</v>
      </c>
      <c r="C576">
        <v>2019</v>
      </c>
      <c r="D576" t="s">
        <v>63</v>
      </c>
      <c r="E576" t="s">
        <v>69</v>
      </c>
      <c r="F576" s="143" t="s">
        <v>0</v>
      </c>
      <c r="G576" s="140">
        <v>16305.274405841283</v>
      </c>
      <c r="H576" s="140">
        <v>308.960248158132</v>
      </c>
      <c r="I576" s="140">
        <v>2038.1593007301603</v>
      </c>
      <c r="J576" s="140">
        <v>-30.554218406732982</v>
      </c>
      <c r="K576" s="141">
        <f t="shared" si="632"/>
        <v>1.8948485040365132E-2</v>
      </c>
      <c r="L576" s="141">
        <f t="shared" si="633"/>
        <v>0.125</v>
      </c>
      <c r="M576" s="141">
        <f t="shared" si="634"/>
        <v>-1.8738855689412431E-3</v>
      </c>
      <c r="N576" s="140">
        <f t="shared" si="635"/>
        <v>13988.709075359724</v>
      </c>
      <c r="U576" s="142">
        <f t="shared" si="631"/>
        <v>16305.274405841283</v>
      </c>
      <c r="V576" s="142">
        <f t="shared" si="631"/>
        <v>308.960248158132</v>
      </c>
      <c r="W576" s="142">
        <f t="shared" si="631"/>
        <v>2038.1593007301603</v>
      </c>
      <c r="X576" s="142">
        <f t="shared" si="630"/>
        <v>-30.554218406732982</v>
      </c>
      <c r="Y576" s="142">
        <f t="shared" si="636"/>
        <v>13988.709075359724</v>
      </c>
    </row>
    <row r="577" spans="1:25" ht="15" hidden="1" x14ac:dyDescent="0.25">
      <c r="A577">
        <v>2</v>
      </c>
      <c r="B577">
        <v>2020</v>
      </c>
      <c r="C577">
        <v>2019</v>
      </c>
      <c r="D577" t="s">
        <v>63</v>
      </c>
      <c r="E577" t="s">
        <v>69</v>
      </c>
      <c r="F577" s="143" t="s">
        <v>0</v>
      </c>
      <c r="G577" s="140">
        <v>3.1950467366400517</v>
      </c>
      <c r="H577" s="140">
        <v>36.232413198163215</v>
      </c>
      <c r="I577" s="140">
        <v>0.39938084208000646</v>
      </c>
      <c r="J577" s="140">
        <v>4.7925308772001074E-2</v>
      </c>
      <c r="K577" s="141">
        <f t="shared" si="632"/>
        <v>11.340182534001253</v>
      </c>
      <c r="L577" s="141">
        <f t="shared" si="633"/>
        <v>0.125</v>
      </c>
      <c r="M577" s="141">
        <f t="shared" si="634"/>
        <v>1.499987722320453E-2</v>
      </c>
      <c r="N577" s="140">
        <f t="shared" si="635"/>
        <v>-33.484672612375171</v>
      </c>
      <c r="U577" s="142">
        <f t="shared" si="631"/>
        <v>3.1950467366400517</v>
      </c>
      <c r="V577" s="142">
        <f t="shared" si="631"/>
        <v>36.232413198163215</v>
      </c>
      <c r="W577" s="142">
        <f t="shared" si="631"/>
        <v>0.39938084208000646</v>
      </c>
      <c r="X577" s="142">
        <f t="shared" si="630"/>
        <v>4.7925308772001074E-2</v>
      </c>
      <c r="Y577" s="142">
        <f t="shared" si="636"/>
        <v>-33.484672612375171</v>
      </c>
    </row>
    <row r="578" spans="1:25" ht="15" hidden="1" x14ac:dyDescent="0.25">
      <c r="A578">
        <v>3</v>
      </c>
      <c r="B578">
        <v>2020</v>
      </c>
      <c r="C578">
        <v>2019</v>
      </c>
      <c r="D578" t="s">
        <v>63</v>
      </c>
      <c r="E578" t="s">
        <v>69</v>
      </c>
      <c r="F578" s="143" t="s">
        <v>0</v>
      </c>
      <c r="G578" s="140">
        <v>0</v>
      </c>
      <c r="H578" s="140">
        <v>0</v>
      </c>
      <c r="I578" s="140">
        <v>0</v>
      </c>
      <c r="J578" s="140">
        <v>0</v>
      </c>
      <c r="K578" s="141" t="e">
        <f t="shared" si="632"/>
        <v>#DIV/0!</v>
      </c>
      <c r="L578" s="141" t="e">
        <f t="shared" si="633"/>
        <v>#DIV/0!</v>
      </c>
      <c r="M578" s="141" t="e">
        <f t="shared" si="634"/>
        <v>#DIV/0!</v>
      </c>
      <c r="N578" s="140">
        <f t="shared" si="635"/>
        <v>0</v>
      </c>
      <c r="U578" s="142">
        <f t="shared" si="631"/>
        <v>0</v>
      </c>
      <c r="V578" s="142">
        <f t="shared" si="631"/>
        <v>0</v>
      </c>
      <c r="W578" s="142">
        <f t="shared" si="631"/>
        <v>0</v>
      </c>
      <c r="X578" s="142">
        <f t="shared" si="630"/>
        <v>0</v>
      </c>
      <c r="Y578" s="142">
        <f t="shared" si="636"/>
        <v>0</v>
      </c>
    </row>
    <row r="579" spans="1:25" ht="15" hidden="1" x14ac:dyDescent="0.25">
      <c r="A579">
        <v>4</v>
      </c>
      <c r="B579">
        <v>2020</v>
      </c>
      <c r="C579">
        <v>2019</v>
      </c>
      <c r="D579" t="s">
        <v>63</v>
      </c>
      <c r="E579" t="s">
        <v>69</v>
      </c>
      <c r="F579" s="143" t="s">
        <v>0</v>
      </c>
      <c r="G579" s="140">
        <v>1951.5447936388803</v>
      </c>
      <c r="H579" s="140">
        <v>194.99285680940523</v>
      </c>
      <c r="I579" s="140">
        <v>243.94309920486003</v>
      </c>
      <c r="J579" s="140">
        <v>29.273171904583201</v>
      </c>
      <c r="K579" s="141">
        <f t="shared" si="632"/>
        <v>9.9917182247105163E-2</v>
      </c>
      <c r="L579" s="141">
        <f t="shared" si="633"/>
        <v>0.125</v>
      </c>
      <c r="M579" s="141">
        <f t="shared" si="634"/>
        <v>1.4999999999999998E-2</v>
      </c>
      <c r="N579" s="140">
        <f t="shared" si="635"/>
        <v>1483.3356657200316</v>
      </c>
      <c r="U579" s="142">
        <f t="shared" si="631"/>
        <v>1951.5447936388803</v>
      </c>
      <c r="V579" s="142">
        <f t="shared" si="631"/>
        <v>194.99285680940523</v>
      </c>
      <c r="W579" s="142">
        <f t="shared" si="631"/>
        <v>243.94309920486003</v>
      </c>
      <c r="X579" s="142">
        <f t="shared" si="630"/>
        <v>29.273171904583201</v>
      </c>
      <c r="Y579" s="142">
        <f t="shared" si="636"/>
        <v>1483.3356657200316</v>
      </c>
    </row>
    <row r="580" spans="1:25" ht="15" hidden="1" x14ac:dyDescent="0.25">
      <c r="A580">
        <v>5</v>
      </c>
      <c r="B580">
        <v>2020</v>
      </c>
      <c r="C580">
        <v>2019</v>
      </c>
      <c r="D580" t="s">
        <v>63</v>
      </c>
      <c r="E580" t="s">
        <v>69</v>
      </c>
      <c r="F580" s="143" t="s">
        <v>0</v>
      </c>
      <c r="G580" s="140">
        <v>1935.35</v>
      </c>
      <c r="H580" s="140">
        <v>387.07</v>
      </c>
      <c r="I580" s="140">
        <v>241.92</v>
      </c>
      <c r="J580" s="140">
        <v>32.51</v>
      </c>
      <c r="K580" s="141">
        <f t="shared" si="632"/>
        <v>0.2</v>
      </c>
      <c r="L580" s="141">
        <f t="shared" si="633"/>
        <v>0.12500064587800655</v>
      </c>
      <c r="M580" s="141">
        <f t="shared" si="634"/>
        <v>1.6797995194667632E-2</v>
      </c>
      <c r="N580" s="140">
        <f t="shared" si="635"/>
        <v>1273.8499999999999</v>
      </c>
      <c r="U580" s="142">
        <f t="shared" si="631"/>
        <v>1935.35</v>
      </c>
      <c r="V580" s="142">
        <f t="shared" si="631"/>
        <v>387.07</v>
      </c>
      <c r="W580" s="142">
        <f t="shared" si="631"/>
        <v>241.92</v>
      </c>
      <c r="X580" s="142">
        <f t="shared" si="630"/>
        <v>32.51</v>
      </c>
      <c r="Y580" s="142">
        <f t="shared" si="636"/>
        <v>1273.8499999999999</v>
      </c>
    </row>
    <row r="581" spans="1:25" ht="15" hidden="1" x14ac:dyDescent="0.25">
      <c r="A581">
        <v>6</v>
      </c>
      <c r="B581">
        <v>2020</v>
      </c>
      <c r="C581">
        <v>2019</v>
      </c>
      <c r="D581" t="s">
        <v>63</v>
      </c>
      <c r="E581" t="s">
        <v>69</v>
      </c>
      <c r="F581" s="143" t="s">
        <v>0</v>
      </c>
      <c r="G581" s="140">
        <v>407.11000000000013</v>
      </c>
      <c r="H581" s="140">
        <v>54.630000000000095</v>
      </c>
      <c r="I581" s="140">
        <v>50.890000000000043</v>
      </c>
      <c r="J581" s="140">
        <v>1.4399999999999817</v>
      </c>
      <c r="K581" s="141">
        <f t="shared" si="632"/>
        <v>0.13418977671882312</v>
      </c>
      <c r="L581" s="141">
        <f t="shared" si="633"/>
        <v>0.1250030704232272</v>
      </c>
      <c r="M581" s="141">
        <f t="shared" si="634"/>
        <v>3.5371275576625023E-3</v>
      </c>
      <c r="N581" s="140">
        <f t="shared" si="635"/>
        <v>300.14999999999998</v>
      </c>
      <c r="U581" s="142">
        <f t="shared" si="631"/>
        <v>407.11000000000013</v>
      </c>
      <c r="V581" s="142">
        <f t="shared" si="631"/>
        <v>54.630000000000095</v>
      </c>
      <c r="W581" s="142">
        <f t="shared" si="631"/>
        <v>50.890000000000043</v>
      </c>
      <c r="X581" s="142">
        <f t="shared" si="630"/>
        <v>1.4399999999999817</v>
      </c>
      <c r="Y581" s="142">
        <f t="shared" si="636"/>
        <v>300.14999999999998</v>
      </c>
    </row>
    <row r="582" spans="1:25" ht="15" hidden="1" x14ac:dyDescent="0.25">
      <c r="A582">
        <v>7</v>
      </c>
      <c r="B582">
        <v>2020</v>
      </c>
      <c r="C582">
        <v>2019</v>
      </c>
      <c r="D582" t="s">
        <v>63</v>
      </c>
      <c r="E582" t="s">
        <v>69</v>
      </c>
      <c r="F582" s="143" t="s">
        <v>0</v>
      </c>
      <c r="G582" s="140">
        <v>-2320.0899999999997</v>
      </c>
      <c r="H582" s="140">
        <v>12.780000000000001</v>
      </c>
      <c r="I582" s="140">
        <v>-290.02</v>
      </c>
      <c r="J582" s="140">
        <v>1.3799999999999994</v>
      </c>
      <c r="K582" s="141">
        <f t="shared" si="632"/>
        <v>-5.5084070014525307E-3</v>
      </c>
      <c r="L582" s="141">
        <f t="shared" si="633"/>
        <v>0.12500377140541963</v>
      </c>
      <c r="M582" s="141">
        <f t="shared" si="634"/>
        <v>-5.94804511893935E-4</v>
      </c>
      <c r="N582" s="140">
        <f t="shared" si="635"/>
        <v>-2044.23</v>
      </c>
      <c r="U582" s="142">
        <f t="shared" si="631"/>
        <v>-2320.0899999999997</v>
      </c>
      <c r="V582" s="142">
        <f t="shared" si="631"/>
        <v>12.780000000000001</v>
      </c>
      <c r="W582" s="142">
        <f t="shared" si="631"/>
        <v>-290.02</v>
      </c>
      <c r="X582" s="142">
        <f t="shared" si="631"/>
        <v>1.3799999999999994</v>
      </c>
      <c r="Y582" s="142">
        <f t="shared" si="636"/>
        <v>-2044.23</v>
      </c>
    </row>
    <row r="583" spans="1:25" ht="15" hidden="1" x14ac:dyDescent="0.25">
      <c r="A583">
        <v>8</v>
      </c>
      <c r="B583">
        <v>2020</v>
      </c>
      <c r="C583">
        <v>2019</v>
      </c>
      <c r="D583" t="s">
        <v>63</v>
      </c>
      <c r="E583" t="s">
        <v>69</v>
      </c>
      <c r="F583" s="143" t="s">
        <v>0</v>
      </c>
      <c r="G583" s="140">
        <v>-424.12</v>
      </c>
      <c r="H583" s="140">
        <v>4.56555</v>
      </c>
      <c r="I583" s="140">
        <v>-53.015000000000001</v>
      </c>
      <c r="J583" s="140">
        <v>0.37</v>
      </c>
      <c r="K583" s="141">
        <f t="shared" si="632"/>
        <v>-1.0764759973592379E-2</v>
      </c>
      <c r="L583" s="141">
        <f t="shared" si="633"/>
        <v>0.125</v>
      </c>
      <c r="M583" s="141">
        <f t="shared" si="634"/>
        <v>-8.7239460530038671E-4</v>
      </c>
      <c r="N583" s="140">
        <f t="shared" si="635"/>
        <v>-376.04055</v>
      </c>
      <c r="U583" s="142">
        <f t="shared" ref="U583:X645" si="637">G583-O583</f>
        <v>-424.12</v>
      </c>
      <c r="V583" s="142">
        <f t="shared" si="637"/>
        <v>4.56555</v>
      </c>
      <c r="W583" s="142">
        <f t="shared" si="637"/>
        <v>-53.015000000000001</v>
      </c>
      <c r="X583" s="142">
        <f t="shared" si="637"/>
        <v>0.37</v>
      </c>
      <c r="Y583" s="142">
        <f t="shared" si="636"/>
        <v>-376.04055</v>
      </c>
    </row>
    <row r="584" spans="1:25" ht="15" hidden="1" x14ac:dyDescent="0.25">
      <c r="A584">
        <v>9</v>
      </c>
      <c r="B584">
        <v>2020</v>
      </c>
      <c r="C584">
        <v>2019</v>
      </c>
      <c r="D584" t="s">
        <v>63</v>
      </c>
      <c r="E584" t="s">
        <v>69</v>
      </c>
      <c r="F584" s="143" t="s">
        <v>0</v>
      </c>
      <c r="G584" s="140">
        <v>-161.96999999999997</v>
      </c>
      <c r="H584" s="140">
        <v>-24.29549999999999</v>
      </c>
      <c r="I584" s="140">
        <v>-20.246249999999996</v>
      </c>
      <c r="J584" s="140">
        <v>-2.8899999999999997</v>
      </c>
      <c r="K584" s="141">
        <f t="shared" si="632"/>
        <v>0.14999999999999997</v>
      </c>
      <c r="L584" s="141">
        <f t="shared" si="633"/>
        <v>0.125</v>
      </c>
      <c r="M584" s="141">
        <f t="shared" si="634"/>
        <v>1.7842810396987097E-2</v>
      </c>
      <c r="N584" s="140">
        <f t="shared" si="635"/>
        <v>-114.53824999999996</v>
      </c>
      <c r="U584" s="142">
        <f t="shared" si="637"/>
        <v>-161.96999999999997</v>
      </c>
      <c r="V584" s="142">
        <f t="shared" si="637"/>
        <v>-24.29549999999999</v>
      </c>
      <c r="W584" s="142">
        <f t="shared" si="637"/>
        <v>-20.246249999999996</v>
      </c>
      <c r="X584" s="142">
        <f t="shared" si="637"/>
        <v>-2.8899999999999997</v>
      </c>
      <c r="Y584" s="142">
        <f t="shared" si="636"/>
        <v>-114.53824999999996</v>
      </c>
    </row>
    <row r="585" spans="1:25" ht="15" hidden="1" x14ac:dyDescent="0.25">
      <c r="A585">
        <v>10</v>
      </c>
      <c r="B585">
        <v>2020</v>
      </c>
      <c r="C585">
        <v>2019</v>
      </c>
      <c r="D585" t="s">
        <v>63</v>
      </c>
      <c r="E585" t="s">
        <v>69</v>
      </c>
      <c r="F585" s="143" t="s">
        <v>0</v>
      </c>
      <c r="G585" s="140">
        <v>-365.6</v>
      </c>
      <c r="H585" s="140">
        <v>0</v>
      </c>
      <c r="I585" s="140">
        <v>-45.7</v>
      </c>
      <c r="J585" s="140">
        <v>0</v>
      </c>
      <c r="K585" s="141">
        <f t="shared" si="632"/>
        <v>0</v>
      </c>
      <c r="L585" s="141">
        <f t="shared" si="633"/>
        <v>0.125</v>
      </c>
      <c r="M585" s="141">
        <f t="shared" si="634"/>
        <v>0</v>
      </c>
      <c r="N585" s="140">
        <f t="shared" si="635"/>
        <v>-319.90000000000003</v>
      </c>
      <c r="U585" s="142">
        <f t="shared" si="637"/>
        <v>-365.6</v>
      </c>
      <c r="V585" s="142">
        <f t="shared" si="637"/>
        <v>0</v>
      </c>
      <c r="W585" s="142">
        <f t="shared" si="637"/>
        <v>-45.7</v>
      </c>
      <c r="X585" s="142">
        <f t="shared" si="637"/>
        <v>0</v>
      </c>
      <c r="Y585" s="142">
        <f t="shared" si="636"/>
        <v>-319.90000000000003</v>
      </c>
    </row>
    <row r="586" spans="1:25" ht="15" hidden="1" x14ac:dyDescent="0.25">
      <c r="A586">
        <v>11</v>
      </c>
      <c r="B586">
        <v>2020</v>
      </c>
      <c r="C586">
        <v>2019</v>
      </c>
      <c r="D586" t="s">
        <v>63</v>
      </c>
      <c r="E586" t="s">
        <v>69</v>
      </c>
      <c r="F586" s="143" t="s">
        <v>0</v>
      </c>
      <c r="G586" s="140">
        <v>0</v>
      </c>
      <c r="H586" s="140">
        <v>0</v>
      </c>
      <c r="I586" s="140">
        <v>0</v>
      </c>
      <c r="J586" s="140">
        <v>0</v>
      </c>
      <c r="K586" s="141" t="e">
        <f t="shared" si="632"/>
        <v>#DIV/0!</v>
      </c>
      <c r="L586" s="141" t="e">
        <f t="shared" si="633"/>
        <v>#DIV/0!</v>
      </c>
      <c r="M586" s="141" t="e">
        <f t="shared" si="634"/>
        <v>#DIV/0!</v>
      </c>
      <c r="N586" s="140">
        <f t="shared" si="635"/>
        <v>0</v>
      </c>
      <c r="U586" s="142">
        <f t="shared" si="637"/>
        <v>0</v>
      </c>
      <c r="V586" s="142">
        <f t="shared" si="637"/>
        <v>0</v>
      </c>
      <c r="W586" s="142">
        <f t="shared" si="637"/>
        <v>0</v>
      </c>
      <c r="X586" s="142">
        <f t="shared" si="637"/>
        <v>0</v>
      </c>
      <c r="Y586" s="142">
        <f t="shared" si="636"/>
        <v>0</v>
      </c>
    </row>
    <row r="587" spans="1:25" ht="15" hidden="1" x14ac:dyDescent="0.25">
      <c r="A587">
        <v>12</v>
      </c>
      <c r="B587">
        <v>2020</v>
      </c>
      <c r="C587">
        <v>2019</v>
      </c>
      <c r="D587" t="s">
        <v>63</v>
      </c>
      <c r="E587" t="s">
        <v>69</v>
      </c>
      <c r="F587" s="143" t="s">
        <v>0</v>
      </c>
      <c r="G587" s="140">
        <v>269.64999999999998</v>
      </c>
      <c r="H587" s="140">
        <v>67.41</v>
      </c>
      <c r="I587" s="140">
        <v>33.71</v>
      </c>
      <c r="J587" s="140">
        <v>0</v>
      </c>
      <c r="K587" s="141">
        <f t="shared" si="632"/>
        <v>0.24999072872241795</v>
      </c>
      <c r="L587" s="141">
        <f t="shared" si="633"/>
        <v>0.1250139069163731</v>
      </c>
      <c r="M587" s="141">
        <f t="shared" si="634"/>
        <v>0</v>
      </c>
      <c r="N587" s="140">
        <f t="shared" si="635"/>
        <v>168.52999999999997</v>
      </c>
      <c r="U587" s="142">
        <f t="shared" si="637"/>
        <v>269.64999999999998</v>
      </c>
      <c r="V587" s="142">
        <f t="shared" si="637"/>
        <v>67.41</v>
      </c>
      <c r="W587" s="142">
        <f t="shared" si="637"/>
        <v>33.71</v>
      </c>
      <c r="X587" s="142">
        <f t="shared" si="637"/>
        <v>0</v>
      </c>
      <c r="Y587" s="142">
        <f t="shared" si="636"/>
        <v>168.52999999999997</v>
      </c>
    </row>
    <row r="588" spans="1:25" ht="15" hidden="1" x14ac:dyDescent="0.25">
      <c r="A588">
        <v>1</v>
      </c>
      <c r="B588">
        <v>2021</v>
      </c>
      <c r="C588">
        <v>2019</v>
      </c>
      <c r="D588" t="s">
        <v>63</v>
      </c>
      <c r="E588" t="s">
        <v>69</v>
      </c>
      <c r="F588" s="143" t="s">
        <v>0</v>
      </c>
      <c r="G588" s="140">
        <v>1756.76</v>
      </c>
      <c r="H588" s="140">
        <v>466.05200000000002</v>
      </c>
      <c r="I588" s="140">
        <v>219.595</v>
      </c>
      <c r="J588" s="140">
        <v>37.28</v>
      </c>
      <c r="K588" s="141">
        <f t="shared" si="632"/>
        <v>0.26529064869418706</v>
      </c>
      <c r="L588" s="141">
        <f t="shared" si="633"/>
        <v>0.125</v>
      </c>
      <c r="M588" s="141">
        <f t="shared" si="634"/>
        <v>2.1220883899906649E-2</v>
      </c>
      <c r="N588" s="140">
        <f t="shared" si="635"/>
        <v>1033.8330000000001</v>
      </c>
      <c r="U588" s="142">
        <f t="shared" si="637"/>
        <v>1756.76</v>
      </c>
      <c r="V588" s="142">
        <f t="shared" si="637"/>
        <v>466.05200000000002</v>
      </c>
      <c r="W588" s="142">
        <f t="shared" si="637"/>
        <v>219.595</v>
      </c>
      <c r="X588" s="142">
        <f t="shared" si="637"/>
        <v>37.28</v>
      </c>
      <c r="Y588" s="142">
        <f t="shared" si="636"/>
        <v>1033.8330000000001</v>
      </c>
    </row>
    <row r="589" spans="1:25" ht="15" hidden="1" x14ac:dyDescent="0.25">
      <c r="A589">
        <v>2</v>
      </c>
      <c r="B589">
        <v>2021</v>
      </c>
      <c r="C589">
        <v>2019</v>
      </c>
      <c r="D589" t="s">
        <v>63</v>
      </c>
      <c r="E589" t="s">
        <v>69</v>
      </c>
      <c r="F589" s="143" t="s">
        <v>0</v>
      </c>
      <c r="G589" s="140">
        <v>-19886.57</v>
      </c>
      <c r="H589" s="140">
        <v>-4037.9820000000004</v>
      </c>
      <c r="I589" s="140">
        <v>-2485.8175000000001</v>
      </c>
      <c r="J589" s="140">
        <v>-319.96000000000004</v>
      </c>
      <c r="K589" s="141">
        <f t="shared" si="632"/>
        <v>0.20305070205671469</v>
      </c>
      <c r="L589" s="141">
        <f t="shared" si="633"/>
        <v>0.12499981143052825</v>
      </c>
      <c r="M589" s="141">
        <f t="shared" si="634"/>
        <v>1.6089250182409538E-2</v>
      </c>
      <c r="N589" s="140">
        <f t="shared" si="635"/>
        <v>-13042.8105</v>
      </c>
      <c r="U589" s="142">
        <f t="shared" si="637"/>
        <v>-19886.57</v>
      </c>
      <c r="V589" s="142">
        <f t="shared" si="637"/>
        <v>-4037.9820000000004</v>
      </c>
      <c r="W589" s="142">
        <f t="shared" si="637"/>
        <v>-2485.8175000000001</v>
      </c>
      <c r="X589" s="142">
        <f t="shared" si="637"/>
        <v>-319.96000000000004</v>
      </c>
      <c r="Y589" s="142">
        <f t="shared" si="636"/>
        <v>-13042.8105</v>
      </c>
    </row>
    <row r="590" spans="1:25" ht="15" hidden="1" x14ac:dyDescent="0.25">
      <c r="A590">
        <v>3</v>
      </c>
      <c r="B590">
        <v>2021</v>
      </c>
      <c r="C590">
        <v>2019</v>
      </c>
      <c r="D590" t="s">
        <v>63</v>
      </c>
      <c r="E590" t="s">
        <v>69</v>
      </c>
      <c r="F590" s="143" t="s">
        <v>0</v>
      </c>
      <c r="G590" s="140">
        <v>0</v>
      </c>
      <c r="H590" s="140">
        <v>0</v>
      </c>
      <c r="I590" s="140">
        <v>0</v>
      </c>
      <c r="J590" s="140">
        <v>0</v>
      </c>
      <c r="K590" s="141" t="e">
        <f t="shared" si="632"/>
        <v>#DIV/0!</v>
      </c>
      <c r="L590" s="141" t="e">
        <f t="shared" si="633"/>
        <v>#DIV/0!</v>
      </c>
      <c r="M590" s="141" t="e">
        <f t="shared" si="634"/>
        <v>#DIV/0!</v>
      </c>
      <c r="N590" s="140">
        <f t="shared" si="635"/>
        <v>0</v>
      </c>
      <c r="U590" s="142">
        <f t="shared" si="637"/>
        <v>0</v>
      </c>
      <c r="V590" s="142">
        <f t="shared" si="637"/>
        <v>0</v>
      </c>
      <c r="W590" s="142">
        <f t="shared" si="637"/>
        <v>0</v>
      </c>
      <c r="X590" s="142">
        <f t="shared" si="637"/>
        <v>0</v>
      </c>
      <c r="Y590" s="142">
        <f t="shared" si="636"/>
        <v>0</v>
      </c>
    </row>
    <row r="591" spans="1:25" ht="15" hidden="1" x14ac:dyDescent="0.25">
      <c r="A591">
        <v>4</v>
      </c>
      <c r="B591">
        <v>2021</v>
      </c>
      <c r="C591">
        <v>2019</v>
      </c>
      <c r="D591" t="s">
        <v>63</v>
      </c>
      <c r="E591" t="s">
        <v>69</v>
      </c>
      <c r="F591" s="143" t="s">
        <v>0</v>
      </c>
      <c r="G591" s="140">
        <v>0</v>
      </c>
      <c r="H591" s="140">
        <v>0</v>
      </c>
      <c r="I591" s="140">
        <v>0</v>
      </c>
      <c r="J591" s="140">
        <v>0</v>
      </c>
      <c r="K591" s="141" t="e">
        <f t="shared" si="632"/>
        <v>#DIV/0!</v>
      </c>
      <c r="L591" s="141" t="e">
        <f t="shared" si="633"/>
        <v>#DIV/0!</v>
      </c>
      <c r="M591" s="141" t="e">
        <f t="shared" si="634"/>
        <v>#DIV/0!</v>
      </c>
      <c r="N591" s="140">
        <f t="shared" si="635"/>
        <v>0</v>
      </c>
      <c r="U591" s="142">
        <f t="shared" si="637"/>
        <v>0</v>
      </c>
      <c r="V591" s="142">
        <f t="shared" si="637"/>
        <v>0</v>
      </c>
      <c r="W591" s="142">
        <f t="shared" si="637"/>
        <v>0</v>
      </c>
      <c r="X591" s="142">
        <f t="shared" si="637"/>
        <v>0</v>
      </c>
      <c r="Y591" s="142">
        <f t="shared" si="636"/>
        <v>0</v>
      </c>
    </row>
    <row r="592" spans="1:25" ht="15" hidden="1" x14ac:dyDescent="0.25">
      <c r="A592">
        <v>5</v>
      </c>
      <c r="B592">
        <v>2021</v>
      </c>
      <c r="C592">
        <v>2019</v>
      </c>
      <c r="D592" t="s">
        <v>63</v>
      </c>
      <c r="E592" t="s">
        <v>69</v>
      </c>
      <c r="F592" s="143" t="s">
        <v>0</v>
      </c>
      <c r="G592" s="140">
        <v>0</v>
      </c>
      <c r="H592" s="140">
        <v>0</v>
      </c>
      <c r="I592" s="140">
        <v>0</v>
      </c>
      <c r="J592" s="140">
        <v>0</v>
      </c>
      <c r="K592" s="141" t="e">
        <f t="shared" si="632"/>
        <v>#DIV/0!</v>
      </c>
      <c r="L592" s="141" t="e">
        <f t="shared" si="633"/>
        <v>#DIV/0!</v>
      </c>
      <c r="M592" s="141" t="e">
        <f t="shared" si="634"/>
        <v>#DIV/0!</v>
      </c>
      <c r="N592" s="140">
        <f t="shared" si="635"/>
        <v>0</v>
      </c>
      <c r="U592" s="142">
        <f t="shared" si="637"/>
        <v>0</v>
      </c>
      <c r="V592" s="142">
        <f t="shared" si="637"/>
        <v>0</v>
      </c>
      <c r="W592" s="142">
        <f t="shared" si="637"/>
        <v>0</v>
      </c>
      <c r="X592" s="142">
        <f t="shared" si="637"/>
        <v>0</v>
      </c>
      <c r="Y592" s="142">
        <f t="shared" si="636"/>
        <v>0</v>
      </c>
    </row>
    <row r="593" spans="1:25" ht="15" hidden="1" x14ac:dyDescent="0.25">
      <c r="A593">
        <v>6</v>
      </c>
      <c r="B593">
        <v>2021</v>
      </c>
      <c r="C593">
        <v>2019</v>
      </c>
      <c r="D593" t="s">
        <v>63</v>
      </c>
      <c r="E593" t="s">
        <v>69</v>
      </c>
      <c r="F593" s="143" t="s">
        <v>0</v>
      </c>
      <c r="G593" s="140">
        <v>496.29</v>
      </c>
      <c r="H593" s="140">
        <v>99.25800000000001</v>
      </c>
      <c r="I593" s="140">
        <v>62.036250000000003</v>
      </c>
      <c r="J593" s="140">
        <v>17.37</v>
      </c>
      <c r="K593" s="141">
        <f t="shared" si="632"/>
        <v>0.2</v>
      </c>
      <c r="L593" s="141">
        <f t="shared" si="633"/>
        <v>0.125</v>
      </c>
      <c r="M593" s="141">
        <f t="shared" si="634"/>
        <v>3.4999697757359609E-2</v>
      </c>
      <c r="N593" s="140">
        <f t="shared" si="635"/>
        <v>317.62575000000004</v>
      </c>
      <c r="U593" s="142">
        <f t="shared" si="637"/>
        <v>496.29</v>
      </c>
      <c r="V593" s="142">
        <f t="shared" si="637"/>
        <v>99.25800000000001</v>
      </c>
      <c r="W593" s="142">
        <f t="shared" si="637"/>
        <v>62.036250000000003</v>
      </c>
      <c r="X593" s="142">
        <f t="shared" si="637"/>
        <v>17.37</v>
      </c>
      <c r="Y593" s="142">
        <f t="shared" si="636"/>
        <v>317.62575000000004</v>
      </c>
    </row>
    <row r="594" spans="1:25" ht="15" hidden="1" x14ac:dyDescent="0.25">
      <c r="A594">
        <v>7</v>
      </c>
      <c r="B594">
        <v>2021</v>
      </c>
      <c r="C594">
        <v>2019</v>
      </c>
      <c r="D594" t="s">
        <v>63</v>
      </c>
      <c r="E594" t="s">
        <v>69</v>
      </c>
      <c r="F594" s="143" t="s">
        <v>0</v>
      </c>
      <c r="G594" s="140">
        <v>4111.8100000000004</v>
      </c>
      <c r="H594" s="140">
        <v>220.44646953000003</v>
      </c>
      <c r="I594" s="140">
        <v>513.97625000000005</v>
      </c>
      <c r="J594" s="140">
        <v>0</v>
      </c>
      <c r="K594" s="141">
        <f t="shared" si="632"/>
        <v>5.3613000000000001E-2</v>
      </c>
      <c r="L594" s="141">
        <f t="shared" si="633"/>
        <v>0.125</v>
      </c>
      <c r="M594" s="141">
        <f t="shared" si="634"/>
        <v>0</v>
      </c>
      <c r="N594" s="140">
        <f t="shared" si="635"/>
        <v>3377.3872804700004</v>
      </c>
      <c r="U594" s="142">
        <f t="shared" si="637"/>
        <v>4111.8100000000004</v>
      </c>
      <c r="V594" s="142">
        <f t="shared" si="637"/>
        <v>220.44646953000003</v>
      </c>
      <c r="W594" s="142">
        <f t="shared" si="637"/>
        <v>513.97625000000005</v>
      </c>
      <c r="X594" s="142">
        <f t="shared" si="637"/>
        <v>0</v>
      </c>
      <c r="Y594" s="142">
        <f t="shared" si="636"/>
        <v>3377.3872804700004</v>
      </c>
    </row>
    <row r="595" spans="1:25" ht="15" hidden="1" x14ac:dyDescent="0.25">
      <c r="A595">
        <v>8</v>
      </c>
      <c r="B595">
        <v>2021</v>
      </c>
      <c r="C595">
        <v>2019</v>
      </c>
      <c r="D595" t="s">
        <v>63</v>
      </c>
      <c r="E595" t="s">
        <v>69</v>
      </c>
      <c r="F595" s="143" t="s">
        <v>0</v>
      </c>
      <c r="G595" s="140">
        <v>-1188.3499999999999</v>
      </c>
      <c r="H595" s="140">
        <v>-205.7</v>
      </c>
      <c r="I595" s="140">
        <v>-148.54</v>
      </c>
      <c r="J595" s="140">
        <v>-27.41</v>
      </c>
      <c r="K595" s="141">
        <f t="shared" si="632"/>
        <v>0.17309715151260152</v>
      </c>
      <c r="L595" s="141">
        <f t="shared" si="633"/>
        <v>0.12499684436403417</v>
      </c>
      <c r="M595" s="141">
        <f t="shared" si="634"/>
        <v>2.3065595152943159E-2</v>
      </c>
      <c r="N595" s="140">
        <f t="shared" si="635"/>
        <v>-806.69999999999993</v>
      </c>
      <c r="U595" s="142">
        <f t="shared" si="637"/>
        <v>-1188.3499999999999</v>
      </c>
      <c r="V595" s="142">
        <f t="shared" si="637"/>
        <v>-205.7</v>
      </c>
      <c r="W595" s="142">
        <f t="shared" si="637"/>
        <v>-148.54</v>
      </c>
      <c r="X595" s="142">
        <f t="shared" si="637"/>
        <v>-27.41</v>
      </c>
      <c r="Y595" s="142">
        <f t="shared" si="636"/>
        <v>-806.69999999999993</v>
      </c>
    </row>
    <row r="596" spans="1:25" ht="15" hidden="1" x14ac:dyDescent="0.25">
      <c r="A596">
        <v>9</v>
      </c>
      <c r="B596">
        <v>2021</v>
      </c>
      <c r="C596">
        <v>2019</v>
      </c>
      <c r="D596" t="s">
        <v>63</v>
      </c>
      <c r="E596" t="s">
        <v>69</v>
      </c>
      <c r="F596" s="143" t="s">
        <v>0</v>
      </c>
      <c r="G596" s="140">
        <v>20.120000000000005</v>
      </c>
      <c r="H596" s="140">
        <v>4.0240000000000009</v>
      </c>
      <c r="I596" s="140">
        <v>2.5150000000000006</v>
      </c>
      <c r="J596" s="140">
        <v>0.34000000000000075</v>
      </c>
      <c r="K596" s="141">
        <f t="shared" si="632"/>
        <v>0.2</v>
      </c>
      <c r="L596" s="141">
        <f t="shared" si="633"/>
        <v>0.125</v>
      </c>
      <c r="M596" s="141">
        <f t="shared" si="634"/>
        <v>1.6898608349900628E-2</v>
      </c>
      <c r="N596" s="140">
        <f t="shared" si="635"/>
        <v>13.241000000000003</v>
      </c>
      <c r="U596" s="142">
        <f t="shared" si="637"/>
        <v>20.120000000000005</v>
      </c>
      <c r="V596" s="142">
        <f t="shared" si="637"/>
        <v>4.0240000000000009</v>
      </c>
      <c r="W596" s="142">
        <f t="shared" si="637"/>
        <v>2.5150000000000006</v>
      </c>
      <c r="X596" s="142">
        <f t="shared" si="637"/>
        <v>0.34000000000000075</v>
      </c>
      <c r="Y596" s="142">
        <f t="shared" si="636"/>
        <v>13.241000000000003</v>
      </c>
    </row>
    <row r="597" spans="1:25" ht="15" hidden="1" x14ac:dyDescent="0.25">
      <c r="A597">
        <v>10</v>
      </c>
      <c r="B597">
        <v>2021</v>
      </c>
      <c r="C597">
        <v>2019</v>
      </c>
      <c r="D597" t="s">
        <v>63</v>
      </c>
      <c r="E597" t="s">
        <v>69</v>
      </c>
      <c r="F597" s="143" t="s">
        <v>0</v>
      </c>
      <c r="G597" s="140">
        <v>0</v>
      </c>
      <c r="H597" s="140">
        <v>0</v>
      </c>
      <c r="I597" s="140">
        <v>0</v>
      </c>
      <c r="J597" s="140">
        <v>0</v>
      </c>
      <c r="K597" s="141" t="e">
        <f t="shared" si="632"/>
        <v>#DIV/0!</v>
      </c>
      <c r="L597" s="141" t="e">
        <f t="shared" si="633"/>
        <v>#DIV/0!</v>
      </c>
      <c r="M597" s="141" t="e">
        <f t="shared" si="634"/>
        <v>#DIV/0!</v>
      </c>
      <c r="N597" s="140">
        <f t="shared" si="635"/>
        <v>0</v>
      </c>
      <c r="U597" s="142">
        <f t="shared" si="637"/>
        <v>0</v>
      </c>
      <c r="V597" s="142">
        <f t="shared" si="637"/>
        <v>0</v>
      </c>
      <c r="W597" s="142">
        <f t="shared" si="637"/>
        <v>0</v>
      </c>
      <c r="X597" s="142">
        <f t="shared" si="637"/>
        <v>0</v>
      </c>
      <c r="Y597" s="142">
        <f t="shared" si="636"/>
        <v>0</v>
      </c>
    </row>
    <row r="598" spans="1:25" ht="15" hidden="1" x14ac:dyDescent="0.25">
      <c r="A598">
        <v>11</v>
      </c>
      <c r="B598">
        <v>2021</v>
      </c>
      <c r="C598">
        <v>2019</v>
      </c>
      <c r="D598" t="s">
        <v>63</v>
      </c>
      <c r="E598" t="s">
        <v>69</v>
      </c>
      <c r="F598" s="143" t="s">
        <v>0</v>
      </c>
      <c r="G598" s="140">
        <v>0</v>
      </c>
      <c r="H598" s="140">
        <v>0</v>
      </c>
      <c r="I598" s="140">
        <v>0</v>
      </c>
      <c r="J598" s="140">
        <v>0</v>
      </c>
      <c r="K598" s="141" t="e">
        <f t="shared" si="632"/>
        <v>#DIV/0!</v>
      </c>
      <c r="L598" s="141" t="e">
        <f t="shared" si="633"/>
        <v>#DIV/0!</v>
      </c>
      <c r="M598" s="141" t="e">
        <f t="shared" si="634"/>
        <v>#DIV/0!</v>
      </c>
      <c r="N598" s="140">
        <f t="shared" si="635"/>
        <v>0</v>
      </c>
      <c r="U598" s="142">
        <f t="shared" si="637"/>
        <v>0</v>
      </c>
      <c r="V598" s="142">
        <f t="shared" si="637"/>
        <v>0</v>
      </c>
      <c r="W598" s="142">
        <f t="shared" si="637"/>
        <v>0</v>
      </c>
      <c r="X598" s="142">
        <f t="shared" si="637"/>
        <v>0</v>
      </c>
      <c r="Y598" s="142">
        <f t="shared" si="636"/>
        <v>0</v>
      </c>
    </row>
    <row r="599" spans="1:25" ht="15" hidden="1" x14ac:dyDescent="0.25">
      <c r="A599">
        <v>12</v>
      </c>
      <c r="B599">
        <v>2021</v>
      </c>
      <c r="C599">
        <v>2019</v>
      </c>
      <c r="D599" t="s">
        <v>63</v>
      </c>
      <c r="E599" t="s">
        <v>69</v>
      </c>
      <c r="F599" s="143" t="s">
        <v>0</v>
      </c>
      <c r="G599" s="140">
        <v>-10.935462352941176</v>
      </c>
      <c r="H599" s="140">
        <v>-2.1870924705882353</v>
      </c>
      <c r="I599" s="140">
        <v>-1.366932794117647</v>
      </c>
      <c r="J599" s="140">
        <v>-0.18</v>
      </c>
      <c r="K599" s="141">
        <f t="shared" si="632"/>
        <v>0.2</v>
      </c>
      <c r="L599" s="141">
        <f t="shared" si="633"/>
        <v>0.125</v>
      </c>
      <c r="M599" s="141">
        <f t="shared" si="634"/>
        <v>1.6460209380318301E-2</v>
      </c>
      <c r="N599" s="140">
        <f t="shared" si="635"/>
        <v>-7.2014370882352949</v>
      </c>
      <c r="U599" s="142">
        <f t="shared" si="637"/>
        <v>-10.935462352941176</v>
      </c>
      <c r="V599" s="142">
        <f t="shared" si="637"/>
        <v>-2.1870924705882353</v>
      </c>
      <c r="W599" s="142">
        <f t="shared" si="637"/>
        <v>-1.366932794117647</v>
      </c>
      <c r="X599" s="142">
        <f t="shared" si="637"/>
        <v>-0.18</v>
      </c>
      <c r="Y599" s="142">
        <f t="shared" si="636"/>
        <v>-7.2014370882352949</v>
      </c>
    </row>
    <row r="600" spans="1:25" ht="15" hidden="1" x14ac:dyDescent="0.25">
      <c r="A600">
        <v>1</v>
      </c>
      <c r="B600">
        <v>2022</v>
      </c>
      <c r="C600">
        <v>2019</v>
      </c>
      <c r="D600" t="s">
        <v>63</v>
      </c>
      <c r="E600" t="s">
        <v>69</v>
      </c>
      <c r="F600" s="143" t="s">
        <v>0</v>
      </c>
      <c r="G600" s="140">
        <v>0</v>
      </c>
      <c r="H600" s="140">
        <v>0</v>
      </c>
      <c r="I600" s="140">
        <v>0</v>
      </c>
      <c r="J600" s="140">
        <v>0</v>
      </c>
      <c r="K600" s="141" t="e">
        <f t="shared" si="632"/>
        <v>#DIV/0!</v>
      </c>
      <c r="L600" s="141" t="e">
        <f t="shared" si="633"/>
        <v>#DIV/0!</v>
      </c>
      <c r="M600" s="141" t="e">
        <f t="shared" si="634"/>
        <v>#DIV/0!</v>
      </c>
      <c r="N600" s="140">
        <f t="shared" si="635"/>
        <v>0</v>
      </c>
      <c r="U600" s="142">
        <f t="shared" si="637"/>
        <v>0</v>
      </c>
      <c r="V600" s="142">
        <f t="shared" si="637"/>
        <v>0</v>
      </c>
      <c r="W600" s="142">
        <f t="shared" si="637"/>
        <v>0</v>
      </c>
      <c r="X600" s="142">
        <f t="shared" si="637"/>
        <v>0</v>
      </c>
      <c r="Y600" s="142">
        <f t="shared" si="636"/>
        <v>0</v>
      </c>
    </row>
    <row r="601" spans="1:25" ht="15" hidden="1" x14ac:dyDescent="0.25">
      <c r="A601">
        <v>1</v>
      </c>
      <c r="B601">
        <v>2020</v>
      </c>
      <c r="C601">
        <v>2020</v>
      </c>
      <c r="D601" t="s">
        <v>63</v>
      </c>
      <c r="E601" t="s">
        <v>69</v>
      </c>
      <c r="F601" s="143" t="s">
        <v>13</v>
      </c>
      <c r="G601" s="140">
        <v>19002.121058480956</v>
      </c>
      <c r="H601" s="140">
        <v>1900.2121058480957</v>
      </c>
      <c r="I601" s="140">
        <v>1900.2121058480957</v>
      </c>
      <c r="J601" s="140">
        <v>333.09415396809004</v>
      </c>
      <c r="K601" s="141">
        <f t="shared" si="632"/>
        <v>0.1</v>
      </c>
      <c r="L601" s="141">
        <f t="shared" si="633"/>
        <v>0.1</v>
      </c>
      <c r="M601" s="141">
        <f t="shared" si="634"/>
        <v>1.7529314382481776E-2</v>
      </c>
      <c r="N601" s="140">
        <f t="shared" si="635"/>
        <v>14868.602692816676</v>
      </c>
      <c r="O601" s="137">
        <v>160133.38</v>
      </c>
      <c r="P601" s="137">
        <v>32165</v>
      </c>
      <c r="Q601">
        <v>0</v>
      </c>
      <c r="R601" s="137">
        <v>18499.75</v>
      </c>
      <c r="S601" s="137">
        <f>O601-P601-Q601-R601</f>
        <v>109468.63</v>
      </c>
      <c r="U601" s="142">
        <f t="shared" si="637"/>
        <v>-141131.25894151905</v>
      </c>
      <c r="V601" s="142">
        <f t="shared" si="637"/>
        <v>-30264.787894151905</v>
      </c>
      <c r="W601" s="142">
        <f t="shared" si="637"/>
        <v>1900.2121058480957</v>
      </c>
      <c r="X601" s="142">
        <f t="shared" si="637"/>
        <v>-18166.65584603191</v>
      </c>
      <c r="Y601" s="142">
        <f t="shared" si="636"/>
        <v>-94600.027307183336</v>
      </c>
    </row>
    <row r="602" spans="1:25" ht="15" hidden="1" x14ac:dyDescent="0.25">
      <c r="A602">
        <v>2</v>
      </c>
      <c r="B602">
        <v>2020</v>
      </c>
      <c r="C602">
        <v>2020</v>
      </c>
      <c r="D602" t="s">
        <v>63</v>
      </c>
      <c r="E602" t="s">
        <v>69</v>
      </c>
      <c r="F602" s="143" t="s">
        <v>13</v>
      </c>
      <c r="G602" s="140">
        <v>508.063717</v>
      </c>
      <c r="H602" s="140">
        <v>114.314336325</v>
      </c>
      <c r="I602" s="140">
        <v>50.8063717</v>
      </c>
      <c r="J602" s="140">
        <v>5.0806371700000001</v>
      </c>
      <c r="K602" s="141">
        <f t="shared" si="632"/>
        <v>0.22500000000000001</v>
      </c>
      <c r="L602" s="141">
        <f t="shared" si="633"/>
        <v>0.1</v>
      </c>
      <c r="M602" s="141">
        <f t="shared" si="634"/>
        <v>0.01</v>
      </c>
      <c r="N602" s="140">
        <f t="shared" si="635"/>
        <v>337.86237180500001</v>
      </c>
      <c r="U602" s="142">
        <f t="shared" si="637"/>
        <v>508.063717</v>
      </c>
      <c r="V602" s="142">
        <f t="shared" si="637"/>
        <v>114.314336325</v>
      </c>
      <c r="W602" s="142">
        <f t="shared" si="637"/>
        <v>50.8063717</v>
      </c>
      <c r="X602" s="142">
        <f t="shared" si="637"/>
        <v>5.0806371700000001</v>
      </c>
      <c r="Y602" s="142">
        <f t="shared" si="636"/>
        <v>337.86237180500001</v>
      </c>
    </row>
    <row r="603" spans="1:25" ht="15" hidden="1" x14ac:dyDescent="0.25">
      <c r="A603">
        <v>3</v>
      </c>
      <c r="B603">
        <v>2020</v>
      </c>
      <c r="C603">
        <v>2020</v>
      </c>
      <c r="D603" t="s">
        <v>63</v>
      </c>
      <c r="E603" t="s">
        <v>69</v>
      </c>
      <c r="F603" s="143" t="s">
        <v>13</v>
      </c>
      <c r="G603" s="140">
        <v>129011.93243599044</v>
      </c>
      <c r="H603" s="140">
        <v>1717.6165402949953</v>
      </c>
      <c r="I603" s="140">
        <v>12901.193243599046</v>
      </c>
      <c r="J603" s="140">
        <v>198.79281223570848</v>
      </c>
      <c r="K603" s="141">
        <f t="shared" si="632"/>
        <v>1.3313625397768494E-2</v>
      </c>
      <c r="L603" s="141">
        <f t="shared" si="633"/>
        <v>0.1</v>
      </c>
      <c r="M603" s="141">
        <f t="shared" si="634"/>
        <v>1.5408870209299437E-3</v>
      </c>
      <c r="N603" s="140">
        <f t="shared" si="635"/>
        <v>114194.32983986069</v>
      </c>
      <c r="U603" s="142">
        <f t="shared" si="637"/>
        <v>129011.93243599044</v>
      </c>
      <c r="V603" s="142">
        <f t="shared" si="637"/>
        <v>1717.6165402949953</v>
      </c>
      <c r="W603" s="142">
        <f t="shared" si="637"/>
        <v>12901.193243599046</v>
      </c>
      <c r="X603" s="142">
        <f t="shared" si="637"/>
        <v>198.79281223570848</v>
      </c>
      <c r="Y603" s="142">
        <f t="shared" si="636"/>
        <v>114194.32983986069</v>
      </c>
    </row>
    <row r="604" spans="1:25" ht="15" hidden="1" x14ac:dyDescent="0.25">
      <c r="A604">
        <v>4</v>
      </c>
      <c r="B604">
        <v>2020</v>
      </c>
      <c r="C604">
        <v>2020</v>
      </c>
      <c r="D604" t="s">
        <v>63</v>
      </c>
      <c r="E604" t="s">
        <v>69</v>
      </c>
      <c r="F604" s="143" t="s">
        <v>13</v>
      </c>
      <c r="G604" s="140">
        <v>46934.077620504977</v>
      </c>
      <c r="H604" s="140">
        <v>40694.077621567638</v>
      </c>
      <c r="I604" s="140">
        <v>4693.4077620504977</v>
      </c>
      <c r="J604" s="140">
        <v>160.6834704667981</v>
      </c>
      <c r="K604" s="141">
        <f t="shared" si="632"/>
        <v>0.86704756297988583</v>
      </c>
      <c r="L604" s="141">
        <f t="shared" si="633"/>
        <v>0.1</v>
      </c>
      <c r="M604" s="141">
        <f t="shared" si="634"/>
        <v>3.4235991972834099E-3</v>
      </c>
      <c r="N604" s="140">
        <f t="shared" si="635"/>
        <v>1385.9087664200433</v>
      </c>
      <c r="U604" s="142">
        <f t="shared" si="637"/>
        <v>46934.077620504977</v>
      </c>
      <c r="V604" s="142">
        <f t="shared" si="637"/>
        <v>40694.077621567638</v>
      </c>
      <c r="W604" s="142">
        <f t="shared" si="637"/>
        <v>4693.4077620504977</v>
      </c>
      <c r="X604" s="142">
        <f t="shared" si="637"/>
        <v>160.6834704667981</v>
      </c>
      <c r="Y604" s="142">
        <f t="shared" si="636"/>
        <v>1385.9087664200433</v>
      </c>
    </row>
    <row r="605" spans="1:25" ht="15" hidden="1" x14ac:dyDescent="0.25">
      <c r="A605">
        <v>5</v>
      </c>
      <c r="B605">
        <v>2020</v>
      </c>
      <c r="C605">
        <v>2020</v>
      </c>
      <c r="D605" t="s">
        <v>63</v>
      </c>
      <c r="E605" t="s">
        <v>69</v>
      </c>
      <c r="F605" s="143" t="s">
        <v>13</v>
      </c>
      <c r="G605" s="140">
        <v>1722.0299999999997</v>
      </c>
      <c r="H605" s="140">
        <v>482.21999999999991</v>
      </c>
      <c r="I605" s="140">
        <v>172.2</v>
      </c>
      <c r="J605" s="140">
        <v>67.34</v>
      </c>
      <c r="K605" s="141">
        <f t="shared" si="632"/>
        <v>0.28002996463476243</v>
      </c>
      <c r="L605" s="141">
        <f t="shared" si="633"/>
        <v>9.9998257870071952E-2</v>
      </c>
      <c r="M605" s="141">
        <f t="shared" si="634"/>
        <v>3.9105009784963105E-2</v>
      </c>
      <c r="N605" s="140">
        <f t="shared" si="635"/>
        <v>1000.2699999999999</v>
      </c>
      <c r="U605" s="142">
        <f t="shared" si="637"/>
        <v>1722.0299999999997</v>
      </c>
      <c r="V605" s="142">
        <f t="shared" si="637"/>
        <v>482.21999999999991</v>
      </c>
      <c r="W605" s="142">
        <f t="shared" si="637"/>
        <v>172.2</v>
      </c>
      <c r="X605" s="142">
        <f t="shared" si="637"/>
        <v>67.34</v>
      </c>
      <c r="Y605" s="142">
        <f t="shared" si="636"/>
        <v>1000.2699999999999</v>
      </c>
    </row>
    <row r="606" spans="1:25" ht="15" hidden="1" x14ac:dyDescent="0.25">
      <c r="A606">
        <v>6</v>
      </c>
      <c r="B606">
        <v>2020</v>
      </c>
      <c r="C606">
        <v>2020</v>
      </c>
      <c r="D606" t="s">
        <v>63</v>
      </c>
      <c r="E606" t="s">
        <v>69</v>
      </c>
      <c r="F606" s="143" t="s">
        <v>13</v>
      </c>
      <c r="G606" s="140">
        <v>-7800</v>
      </c>
      <c r="H606" s="140">
        <v>-1560</v>
      </c>
      <c r="I606" s="140">
        <v>-780</v>
      </c>
      <c r="J606" s="140">
        <v>-131.04</v>
      </c>
      <c r="K606" s="141">
        <f t="shared" si="632"/>
        <v>0.2</v>
      </c>
      <c r="L606" s="141">
        <f t="shared" si="633"/>
        <v>0.1</v>
      </c>
      <c r="M606" s="141">
        <f t="shared" si="634"/>
        <v>1.6799999999999999E-2</v>
      </c>
      <c r="N606" s="140">
        <f t="shared" si="635"/>
        <v>-5328.96</v>
      </c>
      <c r="U606" s="142">
        <f t="shared" si="637"/>
        <v>-7800</v>
      </c>
      <c r="V606" s="142">
        <f t="shared" si="637"/>
        <v>-1560</v>
      </c>
      <c r="W606" s="142">
        <f t="shared" si="637"/>
        <v>-780</v>
      </c>
      <c r="X606" s="142">
        <f t="shared" si="637"/>
        <v>-131.04</v>
      </c>
      <c r="Y606" s="142">
        <f t="shared" si="636"/>
        <v>-5328.96</v>
      </c>
    </row>
    <row r="607" spans="1:25" ht="15" hidden="1" x14ac:dyDescent="0.25">
      <c r="A607">
        <v>7</v>
      </c>
      <c r="B607">
        <v>2020</v>
      </c>
      <c r="C607">
        <v>2020</v>
      </c>
      <c r="D607" t="s">
        <v>63</v>
      </c>
      <c r="E607" t="s">
        <v>69</v>
      </c>
      <c r="F607" s="143" t="s">
        <v>13</v>
      </c>
      <c r="G607" s="140">
        <v>0</v>
      </c>
      <c r="H607" s="140">
        <v>0</v>
      </c>
      <c r="I607" s="140">
        <v>0</v>
      </c>
      <c r="J607" s="140">
        <v>0</v>
      </c>
      <c r="K607" s="141" t="e">
        <f t="shared" si="632"/>
        <v>#DIV/0!</v>
      </c>
      <c r="L607" s="141" t="e">
        <f t="shared" si="633"/>
        <v>#DIV/0!</v>
      </c>
      <c r="M607" s="141" t="e">
        <f t="shared" si="634"/>
        <v>#DIV/0!</v>
      </c>
      <c r="N607" s="140">
        <f t="shared" si="635"/>
        <v>0</v>
      </c>
      <c r="U607" s="142">
        <f t="shared" si="637"/>
        <v>0</v>
      </c>
      <c r="V607" s="142">
        <f t="shared" si="637"/>
        <v>0</v>
      </c>
      <c r="W607" s="142">
        <f t="shared" si="637"/>
        <v>0</v>
      </c>
      <c r="X607" s="142">
        <f t="shared" si="637"/>
        <v>0</v>
      </c>
      <c r="Y607" s="142">
        <f t="shared" si="636"/>
        <v>0</v>
      </c>
    </row>
    <row r="608" spans="1:25" ht="15" hidden="1" x14ac:dyDescent="0.25">
      <c r="A608">
        <v>8</v>
      </c>
      <c r="B608">
        <v>2020</v>
      </c>
      <c r="C608">
        <v>2020</v>
      </c>
      <c r="D608" t="s">
        <v>63</v>
      </c>
      <c r="E608" t="s">
        <v>69</v>
      </c>
      <c r="F608" s="143" t="s">
        <v>13</v>
      </c>
      <c r="G608" s="140">
        <v>-117938.32</v>
      </c>
      <c r="H608" s="140">
        <v>-29484.58</v>
      </c>
      <c r="I608" s="140">
        <v>-11793.83</v>
      </c>
      <c r="J608" s="140">
        <v>0</v>
      </c>
      <c r="K608" s="141">
        <f t="shared" si="632"/>
        <v>0.25</v>
      </c>
      <c r="L608" s="141">
        <f t="shared" si="633"/>
        <v>9.9999983041983292E-2</v>
      </c>
      <c r="M608" s="141">
        <f t="shared" si="634"/>
        <v>0</v>
      </c>
      <c r="N608" s="140">
        <f t="shared" si="635"/>
        <v>-76659.91</v>
      </c>
      <c r="U608" s="142">
        <f t="shared" si="637"/>
        <v>-117938.32</v>
      </c>
      <c r="V608" s="142">
        <f t="shared" si="637"/>
        <v>-29484.58</v>
      </c>
      <c r="W608" s="142">
        <f t="shared" si="637"/>
        <v>-11793.83</v>
      </c>
      <c r="X608" s="142">
        <f t="shared" si="637"/>
        <v>0</v>
      </c>
      <c r="Y608" s="142">
        <f t="shared" si="636"/>
        <v>-76659.91</v>
      </c>
    </row>
    <row r="609" spans="1:25" ht="15" hidden="1" x14ac:dyDescent="0.25">
      <c r="A609">
        <v>9</v>
      </c>
      <c r="B609">
        <v>2020</v>
      </c>
      <c r="C609">
        <v>2020</v>
      </c>
      <c r="D609" t="s">
        <v>63</v>
      </c>
      <c r="E609" t="s">
        <v>69</v>
      </c>
      <c r="F609" s="143" t="s">
        <v>13</v>
      </c>
      <c r="G609" s="140">
        <v>3947.16</v>
      </c>
      <c r="H609" s="140">
        <v>592.07399999999996</v>
      </c>
      <c r="I609" s="140">
        <v>394.71600000000001</v>
      </c>
      <c r="J609" s="140">
        <v>70.459999999999994</v>
      </c>
      <c r="K609" s="141">
        <f t="shared" si="632"/>
        <v>0.15</v>
      </c>
      <c r="L609" s="141">
        <f t="shared" si="633"/>
        <v>0.1</v>
      </c>
      <c r="M609" s="141">
        <f t="shared" si="634"/>
        <v>1.7850809189391866E-2</v>
      </c>
      <c r="N609" s="140">
        <f t="shared" si="635"/>
        <v>2889.91</v>
      </c>
      <c r="U609" s="142">
        <f t="shared" si="637"/>
        <v>3947.16</v>
      </c>
      <c r="V609" s="142">
        <f t="shared" si="637"/>
        <v>592.07399999999996</v>
      </c>
      <c r="W609" s="142">
        <f t="shared" si="637"/>
        <v>394.71600000000001</v>
      </c>
      <c r="X609" s="142">
        <f t="shared" si="637"/>
        <v>70.459999999999994</v>
      </c>
      <c r="Y609" s="142">
        <f t="shared" si="636"/>
        <v>2889.91</v>
      </c>
    </row>
    <row r="610" spans="1:25" ht="15" hidden="1" x14ac:dyDescent="0.25">
      <c r="A610">
        <v>10</v>
      </c>
      <c r="B610">
        <v>2020</v>
      </c>
      <c r="C610">
        <v>2020</v>
      </c>
      <c r="D610" t="s">
        <v>63</v>
      </c>
      <c r="E610" t="s">
        <v>69</v>
      </c>
      <c r="F610" s="143" t="s">
        <v>13</v>
      </c>
      <c r="G610" s="140">
        <v>7779.18</v>
      </c>
      <c r="H610" s="140">
        <v>1498.3913999999997</v>
      </c>
      <c r="I610" s="140">
        <v>777.91399999999999</v>
      </c>
      <c r="J610" s="140">
        <v>153.67000000000002</v>
      </c>
      <c r="K610" s="141">
        <f t="shared" si="632"/>
        <v>0.1926155970166521</v>
      </c>
      <c r="L610" s="141">
        <f t="shared" si="633"/>
        <v>9.9999485806987365E-2</v>
      </c>
      <c r="M610" s="141">
        <f t="shared" si="634"/>
        <v>1.975401006275726E-2</v>
      </c>
      <c r="N610" s="140">
        <f t="shared" si="635"/>
        <v>5349.2046000000009</v>
      </c>
      <c r="U610" s="142">
        <f t="shared" si="637"/>
        <v>7779.18</v>
      </c>
      <c r="V610" s="142">
        <f t="shared" si="637"/>
        <v>1498.3913999999997</v>
      </c>
      <c r="W610" s="142">
        <f t="shared" si="637"/>
        <v>777.91399999999999</v>
      </c>
      <c r="X610" s="142">
        <f t="shared" si="637"/>
        <v>153.67000000000002</v>
      </c>
      <c r="Y610" s="142">
        <f t="shared" si="636"/>
        <v>5349.2046000000009</v>
      </c>
    </row>
    <row r="611" spans="1:25" ht="15" hidden="1" x14ac:dyDescent="0.25">
      <c r="A611">
        <v>11</v>
      </c>
      <c r="B611">
        <v>2020</v>
      </c>
      <c r="C611">
        <v>2020</v>
      </c>
      <c r="D611" t="s">
        <v>63</v>
      </c>
      <c r="E611" t="s">
        <v>69</v>
      </c>
      <c r="F611" s="143" t="s">
        <v>13</v>
      </c>
      <c r="G611" s="140">
        <v>2149.38</v>
      </c>
      <c r="H611" s="140">
        <v>322.40699999999998</v>
      </c>
      <c r="I611" s="140">
        <v>214.93800000000002</v>
      </c>
      <c r="J611" s="140">
        <v>0</v>
      </c>
      <c r="K611" s="141">
        <f t="shared" si="632"/>
        <v>0.15</v>
      </c>
      <c r="L611" s="141">
        <f t="shared" si="633"/>
        <v>0.1</v>
      </c>
      <c r="M611" s="141">
        <f t="shared" si="634"/>
        <v>0</v>
      </c>
      <c r="N611" s="140">
        <f t="shared" si="635"/>
        <v>1612.0350000000001</v>
      </c>
      <c r="U611" s="142">
        <f t="shared" si="637"/>
        <v>2149.38</v>
      </c>
      <c r="V611" s="142">
        <f t="shared" si="637"/>
        <v>322.40699999999998</v>
      </c>
      <c r="W611" s="142">
        <f t="shared" si="637"/>
        <v>214.93800000000002</v>
      </c>
      <c r="X611" s="142">
        <f t="shared" si="637"/>
        <v>0</v>
      </c>
      <c r="Y611" s="142">
        <f t="shared" si="636"/>
        <v>1612.0350000000001</v>
      </c>
    </row>
    <row r="612" spans="1:25" ht="15" hidden="1" x14ac:dyDescent="0.25">
      <c r="A612">
        <v>12</v>
      </c>
      <c r="B612">
        <v>2020</v>
      </c>
      <c r="C612">
        <v>2020</v>
      </c>
      <c r="D612" t="s">
        <v>63</v>
      </c>
      <c r="E612" t="s">
        <v>69</v>
      </c>
      <c r="F612" s="143" t="s">
        <v>13</v>
      </c>
      <c r="G612" s="140">
        <v>59270.92</v>
      </c>
      <c r="H612" s="140">
        <v>11008.940200000001</v>
      </c>
      <c r="I612" s="140">
        <v>5927.0910000000003</v>
      </c>
      <c r="J612" s="140">
        <v>1161.98</v>
      </c>
      <c r="K612" s="141">
        <f t="shared" si="632"/>
        <v>0.18573931702089325</v>
      </c>
      <c r="L612" s="141">
        <f t="shared" si="633"/>
        <v>9.9999983128319939E-2</v>
      </c>
      <c r="M612" s="141">
        <f t="shared" si="634"/>
        <v>1.960455481372653E-2</v>
      </c>
      <c r="N612" s="140">
        <f t="shared" si="635"/>
        <v>41172.908799999997</v>
      </c>
      <c r="U612" s="142">
        <f t="shared" si="637"/>
        <v>59270.92</v>
      </c>
      <c r="V612" s="142">
        <f t="shared" si="637"/>
        <v>11008.940200000001</v>
      </c>
      <c r="W612" s="142">
        <f t="shared" si="637"/>
        <v>5927.0910000000003</v>
      </c>
      <c r="X612" s="142">
        <f t="shared" si="637"/>
        <v>1161.98</v>
      </c>
      <c r="Y612" s="142">
        <f t="shared" si="636"/>
        <v>41172.908799999997</v>
      </c>
    </row>
    <row r="613" spans="1:25" ht="15" hidden="1" x14ac:dyDescent="0.25">
      <c r="A613">
        <v>1</v>
      </c>
      <c r="B613">
        <v>2021</v>
      </c>
      <c r="C613">
        <v>2020</v>
      </c>
      <c r="D613" t="s">
        <v>63</v>
      </c>
      <c r="E613" t="s">
        <v>69</v>
      </c>
      <c r="F613" s="143" t="s">
        <v>13</v>
      </c>
      <c r="G613" s="140">
        <v>522.84</v>
      </c>
      <c r="H613" s="140">
        <v>78.426000000000002</v>
      </c>
      <c r="I613" s="140">
        <v>52.284000000000006</v>
      </c>
      <c r="J613" s="140">
        <v>-12.450000000000001</v>
      </c>
      <c r="K613" s="141">
        <f t="shared" si="632"/>
        <v>0.15</v>
      </c>
      <c r="L613" s="141">
        <f t="shared" si="633"/>
        <v>0.1</v>
      </c>
      <c r="M613" s="141">
        <f t="shared" si="634"/>
        <v>-2.381225613954556E-2</v>
      </c>
      <c r="N613" s="140">
        <f t="shared" si="635"/>
        <v>404.58000000000004</v>
      </c>
      <c r="U613" s="142">
        <f t="shared" si="637"/>
        <v>522.84</v>
      </c>
      <c r="V613" s="142">
        <f t="shared" si="637"/>
        <v>78.426000000000002</v>
      </c>
      <c r="W613" s="142">
        <f t="shared" si="637"/>
        <v>52.284000000000006</v>
      </c>
      <c r="X613" s="142">
        <f t="shared" si="637"/>
        <v>-12.450000000000001</v>
      </c>
      <c r="Y613" s="142">
        <f t="shared" si="636"/>
        <v>404.58000000000004</v>
      </c>
    </row>
    <row r="614" spans="1:25" ht="15" hidden="1" x14ac:dyDescent="0.25">
      <c r="A614">
        <v>2</v>
      </c>
      <c r="B614">
        <v>2021</v>
      </c>
      <c r="C614">
        <v>2020</v>
      </c>
      <c r="D614" t="s">
        <v>63</v>
      </c>
      <c r="E614" t="s">
        <v>69</v>
      </c>
      <c r="F614" s="143" t="s">
        <v>13</v>
      </c>
      <c r="G614" s="140">
        <v>0</v>
      </c>
      <c r="H614" s="140">
        <v>0</v>
      </c>
      <c r="I614" s="140">
        <v>0</v>
      </c>
      <c r="J614" s="140">
        <v>0</v>
      </c>
      <c r="K614" s="141" t="e">
        <f t="shared" si="632"/>
        <v>#DIV/0!</v>
      </c>
      <c r="L614" s="141" t="e">
        <f t="shared" si="633"/>
        <v>#DIV/0!</v>
      </c>
      <c r="M614" s="141" t="e">
        <f t="shared" si="634"/>
        <v>#DIV/0!</v>
      </c>
      <c r="N614" s="140">
        <f t="shared" si="635"/>
        <v>0</v>
      </c>
      <c r="U614" s="142">
        <f t="shared" si="637"/>
        <v>0</v>
      </c>
      <c r="V614" s="142">
        <f t="shared" si="637"/>
        <v>0</v>
      </c>
      <c r="W614" s="142">
        <f t="shared" si="637"/>
        <v>0</v>
      </c>
      <c r="X614" s="142">
        <f t="shared" si="637"/>
        <v>0</v>
      </c>
      <c r="Y614" s="142">
        <f t="shared" si="636"/>
        <v>0</v>
      </c>
    </row>
    <row r="615" spans="1:25" ht="15" hidden="1" x14ac:dyDescent="0.25">
      <c r="A615">
        <v>3</v>
      </c>
      <c r="B615">
        <v>2021</v>
      </c>
      <c r="C615">
        <v>2020</v>
      </c>
      <c r="D615" t="s">
        <v>63</v>
      </c>
      <c r="E615" t="s">
        <v>69</v>
      </c>
      <c r="F615" s="143" t="s">
        <v>13</v>
      </c>
      <c r="G615" s="140">
        <v>1020.7799999999982</v>
      </c>
      <c r="H615" s="140">
        <v>222.62600000000043</v>
      </c>
      <c r="I615" s="140">
        <v>102.07799999999993</v>
      </c>
      <c r="J615" s="140">
        <v>-102.88</v>
      </c>
      <c r="K615" s="141">
        <f t="shared" ref="K615:K665" si="638">H615/G615</f>
        <v>0.21809400654401617</v>
      </c>
      <c r="L615" s="141">
        <f t="shared" si="633"/>
        <v>0.10000000000000012</v>
      </c>
      <c r="M615" s="141">
        <f t="shared" si="634"/>
        <v>-0.10078567370050372</v>
      </c>
      <c r="N615" s="140">
        <f t="shared" si="635"/>
        <v>798.95599999999774</v>
      </c>
      <c r="U615" s="142">
        <f t="shared" si="637"/>
        <v>1020.7799999999982</v>
      </c>
      <c r="V615" s="142">
        <f t="shared" si="637"/>
        <v>222.62600000000043</v>
      </c>
      <c r="W615" s="142">
        <f t="shared" si="637"/>
        <v>102.07799999999993</v>
      </c>
      <c r="X615" s="142">
        <f t="shared" si="637"/>
        <v>-102.88</v>
      </c>
      <c r="Y615" s="142">
        <f t="shared" si="636"/>
        <v>798.95599999999774</v>
      </c>
    </row>
    <row r="616" spans="1:25" ht="15" hidden="1" x14ac:dyDescent="0.25">
      <c r="A616">
        <v>4</v>
      </c>
      <c r="B616">
        <v>2021</v>
      </c>
      <c r="C616">
        <v>2020</v>
      </c>
      <c r="D616" t="s">
        <v>63</v>
      </c>
      <c r="E616" t="s">
        <v>69</v>
      </c>
      <c r="F616" s="143" t="s">
        <v>13</v>
      </c>
      <c r="G616" s="140">
        <v>2336.2900000000018</v>
      </c>
      <c r="H616" s="140">
        <v>367.73250000000007</v>
      </c>
      <c r="I616" s="140">
        <v>233.62899999999988</v>
      </c>
      <c r="J616" s="140">
        <v>-64.2</v>
      </c>
      <c r="K616" s="141">
        <f t="shared" si="638"/>
        <v>0.1574001943251907</v>
      </c>
      <c r="L616" s="141">
        <f t="shared" si="633"/>
        <v>9.9999999999999867E-2</v>
      </c>
      <c r="M616" s="141">
        <f t="shared" si="634"/>
        <v>-2.7479465306104959E-2</v>
      </c>
      <c r="N616" s="140">
        <f t="shared" si="635"/>
        <v>1799.1285000000018</v>
      </c>
      <c r="U616" s="142">
        <f t="shared" si="637"/>
        <v>2336.2900000000018</v>
      </c>
      <c r="V616" s="142">
        <f t="shared" si="637"/>
        <v>367.73250000000007</v>
      </c>
      <c r="W616" s="142">
        <f t="shared" si="637"/>
        <v>233.62899999999988</v>
      </c>
      <c r="X616" s="142">
        <f t="shared" si="637"/>
        <v>-64.2</v>
      </c>
      <c r="Y616" s="142">
        <f t="shared" si="636"/>
        <v>1799.1285000000018</v>
      </c>
    </row>
    <row r="617" spans="1:25" ht="15" hidden="1" x14ac:dyDescent="0.25">
      <c r="A617">
        <v>5</v>
      </c>
      <c r="B617">
        <v>2021</v>
      </c>
      <c r="C617">
        <v>2020</v>
      </c>
      <c r="D617" t="s">
        <v>63</v>
      </c>
      <c r="E617" t="s">
        <v>69</v>
      </c>
      <c r="F617" s="143" t="s">
        <v>13</v>
      </c>
      <c r="G617" s="140">
        <v>1923.67</v>
      </c>
      <c r="H617" s="140">
        <v>248.08029999999999</v>
      </c>
      <c r="I617" s="140">
        <v>192.36200000000002</v>
      </c>
      <c r="J617" s="140">
        <v>45.33</v>
      </c>
      <c r="K617" s="141">
        <f t="shared" si="638"/>
        <v>0.12896198412409612</v>
      </c>
      <c r="L617" s="141">
        <f t="shared" si="633"/>
        <v>9.9997400801592792E-2</v>
      </c>
      <c r="M617" s="141">
        <f t="shared" si="634"/>
        <v>2.3564332759776884E-2</v>
      </c>
      <c r="N617" s="140">
        <f t="shared" si="635"/>
        <v>1437.8977</v>
      </c>
      <c r="U617" s="142">
        <f t="shared" si="637"/>
        <v>1923.67</v>
      </c>
      <c r="V617" s="142">
        <f t="shared" si="637"/>
        <v>248.08029999999999</v>
      </c>
      <c r="W617" s="142">
        <f t="shared" si="637"/>
        <v>192.36200000000002</v>
      </c>
      <c r="X617" s="142">
        <f t="shared" si="637"/>
        <v>45.33</v>
      </c>
      <c r="Y617" s="142">
        <f t="shared" si="636"/>
        <v>1437.8977</v>
      </c>
    </row>
    <row r="618" spans="1:25" ht="15" hidden="1" x14ac:dyDescent="0.25">
      <c r="A618">
        <v>6</v>
      </c>
      <c r="B618">
        <v>2021</v>
      </c>
      <c r="C618">
        <v>2020</v>
      </c>
      <c r="D618" t="s">
        <v>63</v>
      </c>
      <c r="E618" t="s">
        <v>69</v>
      </c>
      <c r="F618" s="143" t="s">
        <v>13</v>
      </c>
      <c r="G618" s="140">
        <v>0</v>
      </c>
      <c r="H618" s="140">
        <v>0</v>
      </c>
      <c r="I618" s="140">
        <v>0</v>
      </c>
      <c r="J618" s="140">
        <v>0</v>
      </c>
      <c r="K618" s="141" t="e">
        <f t="shared" si="638"/>
        <v>#DIV/0!</v>
      </c>
      <c r="L618" s="141" t="e">
        <f t="shared" si="633"/>
        <v>#DIV/0!</v>
      </c>
      <c r="M618" s="141" t="e">
        <f t="shared" si="634"/>
        <v>#DIV/0!</v>
      </c>
      <c r="N618" s="140">
        <f t="shared" si="635"/>
        <v>0</v>
      </c>
      <c r="U618" s="142">
        <f t="shared" si="637"/>
        <v>0</v>
      </c>
      <c r="V618" s="142">
        <f t="shared" si="637"/>
        <v>0</v>
      </c>
      <c r="W618" s="142">
        <f t="shared" si="637"/>
        <v>0</v>
      </c>
      <c r="X618" s="142">
        <f t="shared" si="637"/>
        <v>0</v>
      </c>
      <c r="Y618" s="142">
        <f t="shared" si="636"/>
        <v>0</v>
      </c>
    </row>
    <row r="619" spans="1:25" ht="15" hidden="1" x14ac:dyDescent="0.25">
      <c r="A619">
        <v>7</v>
      </c>
      <c r="B619">
        <v>2021</v>
      </c>
      <c r="C619">
        <v>2020</v>
      </c>
      <c r="D619" t="s">
        <v>63</v>
      </c>
      <c r="E619" t="s">
        <v>69</v>
      </c>
      <c r="F619" s="143" t="s">
        <v>13</v>
      </c>
      <c r="G619" s="140">
        <v>82.19</v>
      </c>
      <c r="H619" s="140">
        <v>12.3285</v>
      </c>
      <c r="I619" s="140">
        <v>8.2189999999999994</v>
      </c>
      <c r="J619" s="140">
        <v>1.47</v>
      </c>
      <c r="K619" s="141">
        <f t="shared" si="638"/>
        <v>0.15</v>
      </c>
      <c r="L619" s="141">
        <f t="shared" si="633"/>
        <v>9.9999999999999992E-2</v>
      </c>
      <c r="M619" s="141">
        <f t="shared" si="634"/>
        <v>1.788538751672953E-2</v>
      </c>
      <c r="N619" s="140">
        <f t="shared" si="635"/>
        <v>60.172499999999992</v>
      </c>
      <c r="U619" s="142">
        <f t="shared" si="637"/>
        <v>82.19</v>
      </c>
      <c r="V619" s="142">
        <f t="shared" si="637"/>
        <v>12.3285</v>
      </c>
      <c r="W619" s="142">
        <f t="shared" si="637"/>
        <v>8.2189999999999994</v>
      </c>
      <c r="X619" s="142">
        <f t="shared" si="637"/>
        <v>1.47</v>
      </c>
      <c r="Y619" s="142">
        <f t="shared" si="636"/>
        <v>60.172499999999992</v>
      </c>
    </row>
    <row r="620" spans="1:25" ht="15" hidden="1" x14ac:dyDescent="0.25">
      <c r="A620">
        <v>8</v>
      </c>
      <c r="B620">
        <v>2021</v>
      </c>
      <c r="C620">
        <v>2020</v>
      </c>
      <c r="D620" t="s">
        <v>63</v>
      </c>
      <c r="E620" t="s">
        <v>69</v>
      </c>
      <c r="F620" s="143" t="s">
        <v>13</v>
      </c>
      <c r="G620" s="140">
        <v>4457.3200000000006</v>
      </c>
      <c r="H620" s="140">
        <v>846.21600000000001</v>
      </c>
      <c r="I620" s="140">
        <v>445.733</v>
      </c>
      <c r="J620" s="140">
        <v>59.68</v>
      </c>
      <c r="K620" s="141">
        <f t="shared" si="638"/>
        <v>0.18984860858094099</v>
      </c>
      <c r="L620" s="141">
        <f t="shared" si="633"/>
        <v>0.10000022435005787</v>
      </c>
      <c r="M620" s="141">
        <f t="shared" si="634"/>
        <v>1.3389211454416553E-2</v>
      </c>
      <c r="N620" s="140">
        <f t="shared" si="635"/>
        <v>3105.6910000000007</v>
      </c>
      <c r="U620" s="142">
        <f t="shared" si="637"/>
        <v>4457.3200000000006</v>
      </c>
      <c r="V620" s="142">
        <f t="shared" si="637"/>
        <v>846.21600000000001</v>
      </c>
      <c r="W620" s="142">
        <f t="shared" si="637"/>
        <v>445.733</v>
      </c>
      <c r="X620" s="142">
        <f t="shared" si="637"/>
        <v>59.68</v>
      </c>
      <c r="Y620" s="142">
        <f t="shared" si="636"/>
        <v>3105.6910000000007</v>
      </c>
    </row>
    <row r="621" spans="1:25" ht="15" hidden="1" x14ac:dyDescent="0.25">
      <c r="A621">
        <v>9</v>
      </c>
      <c r="B621">
        <v>2021</v>
      </c>
      <c r="C621">
        <v>2020</v>
      </c>
      <c r="D621" t="s">
        <v>63</v>
      </c>
      <c r="E621" t="s">
        <v>69</v>
      </c>
      <c r="F621" s="143" t="s">
        <v>13</v>
      </c>
      <c r="G621" s="140">
        <v>0</v>
      </c>
      <c r="H621" s="140">
        <v>0</v>
      </c>
      <c r="I621" s="140">
        <v>0</v>
      </c>
      <c r="J621" s="140">
        <v>0</v>
      </c>
      <c r="K621" s="141" t="e">
        <f t="shared" si="638"/>
        <v>#DIV/0!</v>
      </c>
      <c r="L621" s="141" t="e">
        <f t="shared" si="633"/>
        <v>#DIV/0!</v>
      </c>
      <c r="M621" s="141" t="e">
        <f t="shared" si="634"/>
        <v>#DIV/0!</v>
      </c>
      <c r="N621" s="140">
        <f t="shared" si="635"/>
        <v>0</v>
      </c>
      <c r="U621" s="142">
        <f t="shared" si="637"/>
        <v>0</v>
      </c>
      <c r="V621" s="142">
        <f t="shared" si="637"/>
        <v>0</v>
      </c>
      <c r="W621" s="142">
        <f t="shared" si="637"/>
        <v>0</v>
      </c>
      <c r="X621" s="142">
        <f t="shared" si="637"/>
        <v>0</v>
      </c>
      <c r="Y621" s="142">
        <f t="shared" si="636"/>
        <v>0</v>
      </c>
    </row>
    <row r="622" spans="1:25" ht="15" hidden="1" x14ac:dyDescent="0.25">
      <c r="A622">
        <v>10</v>
      </c>
      <c r="B622">
        <v>2021</v>
      </c>
      <c r="C622">
        <v>2020</v>
      </c>
      <c r="D622" t="s">
        <v>63</v>
      </c>
      <c r="E622" t="s">
        <v>69</v>
      </c>
      <c r="F622" s="143" t="s">
        <v>13</v>
      </c>
      <c r="G622" s="140">
        <v>2232.536911200234</v>
      </c>
      <c r="H622" s="140">
        <v>426.17787824004688</v>
      </c>
      <c r="I622" s="140">
        <v>223.25369112002343</v>
      </c>
      <c r="J622" s="140">
        <v>48.758218303204913</v>
      </c>
      <c r="K622" s="141">
        <f t="shared" si="638"/>
        <v>0.19089398974860819</v>
      </c>
      <c r="L622" s="141">
        <f t="shared" si="633"/>
        <v>0.10000000000000002</v>
      </c>
      <c r="M622" s="141">
        <f t="shared" si="634"/>
        <v>2.1839826279509086E-2</v>
      </c>
      <c r="N622" s="140">
        <f t="shared" si="635"/>
        <v>1534.3471235369586</v>
      </c>
      <c r="U622" s="142">
        <f t="shared" si="637"/>
        <v>2232.536911200234</v>
      </c>
      <c r="V622" s="142">
        <f t="shared" si="637"/>
        <v>426.17787824004688</v>
      </c>
      <c r="W622" s="142">
        <f t="shared" si="637"/>
        <v>223.25369112002343</v>
      </c>
      <c r="X622" s="142">
        <f t="shared" si="637"/>
        <v>48.758218303204913</v>
      </c>
      <c r="Y622" s="142">
        <f t="shared" si="636"/>
        <v>1534.3471235369586</v>
      </c>
    </row>
    <row r="623" spans="1:25" ht="15" hidden="1" x14ac:dyDescent="0.25">
      <c r="A623">
        <v>11</v>
      </c>
      <c r="B623">
        <v>2021</v>
      </c>
      <c r="C623">
        <v>2020</v>
      </c>
      <c r="D623" t="s">
        <v>63</v>
      </c>
      <c r="E623" t="s">
        <v>69</v>
      </c>
      <c r="F623" s="143" t="s">
        <v>13</v>
      </c>
      <c r="G623" s="140">
        <v>63.495600000000003</v>
      </c>
      <c r="H623" s="140">
        <v>12.699120000000001</v>
      </c>
      <c r="I623" s="140">
        <v>6.3495600000000003</v>
      </c>
      <c r="J623" s="140">
        <v>1.07</v>
      </c>
      <c r="K623" s="141">
        <f t="shared" si="638"/>
        <v>0.2</v>
      </c>
      <c r="L623" s="141">
        <f t="shared" si="633"/>
        <v>0.1</v>
      </c>
      <c r="M623" s="141">
        <f t="shared" si="634"/>
        <v>1.68515613680318E-2</v>
      </c>
      <c r="N623" s="140">
        <f t="shared" si="635"/>
        <v>43.376920000000005</v>
      </c>
      <c r="U623" s="142">
        <f t="shared" si="637"/>
        <v>63.495600000000003</v>
      </c>
      <c r="V623" s="142">
        <f t="shared" si="637"/>
        <v>12.699120000000001</v>
      </c>
      <c r="W623" s="142">
        <f t="shared" si="637"/>
        <v>6.3495600000000003</v>
      </c>
      <c r="X623" s="142">
        <f t="shared" si="637"/>
        <v>1.07</v>
      </c>
      <c r="Y623" s="142">
        <f t="shared" si="636"/>
        <v>43.376920000000005</v>
      </c>
    </row>
    <row r="624" spans="1:25" ht="15" hidden="1" x14ac:dyDescent="0.25">
      <c r="A624">
        <v>12</v>
      </c>
      <c r="B624">
        <v>2021</v>
      </c>
      <c r="C624">
        <v>2020</v>
      </c>
      <c r="D624" t="s">
        <v>63</v>
      </c>
      <c r="E624" t="s">
        <v>69</v>
      </c>
      <c r="F624" s="143" t="s">
        <v>13</v>
      </c>
      <c r="G624" s="140">
        <v>213.654</v>
      </c>
      <c r="H624" s="140">
        <v>32.048099999999998</v>
      </c>
      <c r="I624" s="140">
        <v>21.365400000000001</v>
      </c>
      <c r="J624" s="140">
        <v>3.81</v>
      </c>
      <c r="K624" s="141">
        <f t="shared" si="638"/>
        <v>0.15</v>
      </c>
      <c r="L624" s="141">
        <f t="shared" si="633"/>
        <v>0.1</v>
      </c>
      <c r="M624" s="141">
        <f t="shared" si="634"/>
        <v>1.7832570417591058E-2</v>
      </c>
      <c r="N624" s="140">
        <f t="shared" si="635"/>
        <v>156.43049999999999</v>
      </c>
      <c r="U624" s="142">
        <f t="shared" si="637"/>
        <v>213.654</v>
      </c>
      <c r="V624" s="142">
        <f t="shared" si="637"/>
        <v>32.048099999999998</v>
      </c>
      <c r="W624" s="142">
        <f t="shared" si="637"/>
        <v>21.365400000000001</v>
      </c>
      <c r="X624" s="142">
        <f t="shared" si="637"/>
        <v>3.81</v>
      </c>
      <c r="Y624" s="142">
        <f t="shared" si="636"/>
        <v>156.43049999999999</v>
      </c>
    </row>
    <row r="625" spans="1:25" ht="15" hidden="1" x14ac:dyDescent="0.25">
      <c r="A625">
        <v>1</v>
      </c>
      <c r="B625">
        <v>2022</v>
      </c>
      <c r="C625">
        <v>2020</v>
      </c>
      <c r="D625" t="s">
        <v>63</v>
      </c>
      <c r="E625" t="s">
        <v>69</v>
      </c>
      <c r="F625" s="143" t="s">
        <v>13</v>
      </c>
      <c r="G625" s="140">
        <v>2976.7755112002337</v>
      </c>
      <c r="H625" s="140">
        <v>575.16797824004686</v>
      </c>
      <c r="I625" s="140">
        <v>297.67755112002345</v>
      </c>
      <c r="J625" s="140">
        <v>50.439302456860965</v>
      </c>
      <c r="K625" s="141">
        <f t="shared" si="638"/>
        <v>0.19321845939539442</v>
      </c>
      <c r="L625" s="141">
        <f t="shared" ref="L625:L665" si="639">I625/G625</f>
        <v>0.10000000000000003</v>
      </c>
      <c r="M625" s="141">
        <f t="shared" ref="M625:M665" si="640">J625/G625</f>
        <v>1.6944274859518674E-2</v>
      </c>
      <c r="N625" s="140">
        <f t="shared" ref="N625:N665" si="641">G625-H625-I625-J625</f>
        <v>2053.4906793833024</v>
      </c>
      <c r="U625" s="142">
        <f t="shared" si="637"/>
        <v>2976.7755112002337</v>
      </c>
      <c r="V625" s="142">
        <f t="shared" si="637"/>
        <v>575.16797824004686</v>
      </c>
      <c r="W625" s="142">
        <f t="shared" si="637"/>
        <v>297.67755112002345</v>
      </c>
      <c r="X625" s="142">
        <f t="shared" si="637"/>
        <v>50.439302456860965</v>
      </c>
      <c r="Y625" s="142">
        <f t="shared" ref="Y625:Y643" si="642">N625-S625</f>
        <v>2053.4906793833024</v>
      </c>
    </row>
    <row r="626" spans="1:25" ht="15" hidden="1" x14ac:dyDescent="0.25">
      <c r="A626">
        <v>1</v>
      </c>
      <c r="B626">
        <v>2021</v>
      </c>
      <c r="C626">
        <v>2021</v>
      </c>
      <c r="D626" t="s">
        <v>63</v>
      </c>
      <c r="E626" t="s">
        <v>69</v>
      </c>
      <c r="F626" s="143" t="s">
        <v>18</v>
      </c>
      <c r="G626" s="140">
        <v>0</v>
      </c>
      <c r="H626" s="140">
        <v>0</v>
      </c>
      <c r="I626" s="140">
        <v>0</v>
      </c>
      <c r="J626" s="140">
        <v>0</v>
      </c>
      <c r="K626" s="141" t="e">
        <f t="shared" si="638"/>
        <v>#DIV/0!</v>
      </c>
      <c r="L626" s="141" t="e">
        <f t="shared" si="639"/>
        <v>#DIV/0!</v>
      </c>
      <c r="M626" s="141" t="e">
        <f t="shared" si="640"/>
        <v>#DIV/0!</v>
      </c>
      <c r="N626" s="140">
        <f t="shared" si="641"/>
        <v>0</v>
      </c>
      <c r="O626" s="137">
        <v>41001.269999999997</v>
      </c>
      <c r="P626" s="137">
        <v>12142.47</v>
      </c>
      <c r="Q626">
        <v>0</v>
      </c>
      <c r="R626">
        <v>629.66999999999996</v>
      </c>
      <c r="S626" s="137">
        <f>O626-P626-Q626-R626</f>
        <v>28229.129999999997</v>
      </c>
      <c r="U626" s="142">
        <f t="shared" si="637"/>
        <v>-41001.269999999997</v>
      </c>
      <c r="V626" s="142">
        <f t="shared" si="637"/>
        <v>-12142.47</v>
      </c>
      <c r="W626" s="142">
        <f t="shared" si="637"/>
        <v>0</v>
      </c>
      <c r="X626" s="142">
        <f t="shared" si="637"/>
        <v>-629.66999999999996</v>
      </c>
      <c r="Y626" s="142">
        <f t="shared" si="642"/>
        <v>-28229.129999999997</v>
      </c>
    </row>
    <row r="627" spans="1:25" ht="15" hidden="1" x14ac:dyDescent="0.25">
      <c r="A627">
        <v>2</v>
      </c>
      <c r="B627">
        <v>2021</v>
      </c>
      <c r="C627">
        <v>2021</v>
      </c>
      <c r="D627" t="s">
        <v>63</v>
      </c>
      <c r="E627" t="s">
        <v>69</v>
      </c>
      <c r="F627" s="143" t="s">
        <v>18</v>
      </c>
      <c r="G627" s="140">
        <v>0</v>
      </c>
      <c r="H627" s="140">
        <v>0</v>
      </c>
      <c r="I627" s="140">
        <v>0</v>
      </c>
      <c r="J627" s="140">
        <v>0</v>
      </c>
      <c r="K627" s="141" t="e">
        <f t="shared" si="638"/>
        <v>#DIV/0!</v>
      </c>
      <c r="L627" s="141" t="e">
        <f t="shared" si="639"/>
        <v>#DIV/0!</v>
      </c>
      <c r="M627" s="141" t="e">
        <f t="shared" si="640"/>
        <v>#DIV/0!</v>
      </c>
      <c r="N627" s="140">
        <f t="shared" si="641"/>
        <v>0</v>
      </c>
      <c r="U627" s="142">
        <f t="shared" si="637"/>
        <v>0</v>
      </c>
      <c r="V627" s="142">
        <f t="shared" si="637"/>
        <v>0</v>
      </c>
      <c r="W627" s="142">
        <f t="shared" si="637"/>
        <v>0</v>
      </c>
      <c r="X627" s="142">
        <f t="shared" si="637"/>
        <v>0</v>
      </c>
      <c r="Y627" s="142">
        <f t="shared" si="642"/>
        <v>0</v>
      </c>
    </row>
    <row r="628" spans="1:25" ht="15" hidden="1" x14ac:dyDescent="0.25">
      <c r="A628">
        <v>3</v>
      </c>
      <c r="B628">
        <v>2021</v>
      </c>
      <c r="C628">
        <v>2021</v>
      </c>
      <c r="D628" t="s">
        <v>63</v>
      </c>
      <c r="E628" t="s">
        <v>69</v>
      </c>
      <c r="F628" s="143" t="s">
        <v>18</v>
      </c>
      <c r="G628" s="140">
        <v>3220.78</v>
      </c>
      <c r="H628" s="140">
        <v>644.16</v>
      </c>
      <c r="I628" s="140">
        <v>289.87</v>
      </c>
      <c r="J628" s="140">
        <v>32.21</v>
      </c>
      <c r="K628" s="141">
        <f t="shared" si="638"/>
        <v>0.20000124193518337</v>
      </c>
      <c r="L628" s="141">
        <f t="shared" si="639"/>
        <v>8.9999937903240831E-2</v>
      </c>
      <c r="M628" s="141">
        <f t="shared" si="640"/>
        <v>1.0000683064350872E-2</v>
      </c>
      <c r="N628" s="140">
        <f t="shared" si="641"/>
        <v>2254.5400000000004</v>
      </c>
      <c r="U628" s="142">
        <f t="shared" si="637"/>
        <v>3220.78</v>
      </c>
      <c r="V628" s="142">
        <f t="shared" si="637"/>
        <v>644.16</v>
      </c>
      <c r="W628" s="142">
        <f t="shared" si="637"/>
        <v>289.87</v>
      </c>
      <c r="X628" s="142">
        <f t="shared" si="637"/>
        <v>32.21</v>
      </c>
      <c r="Y628" s="142">
        <f t="shared" si="642"/>
        <v>2254.5400000000004</v>
      </c>
    </row>
    <row r="629" spans="1:25" ht="15" hidden="1" x14ac:dyDescent="0.25">
      <c r="A629">
        <v>4</v>
      </c>
      <c r="B629">
        <v>2021</v>
      </c>
      <c r="C629">
        <v>2021</v>
      </c>
      <c r="D629" t="s">
        <v>63</v>
      </c>
      <c r="E629" t="s">
        <v>69</v>
      </c>
      <c r="F629" s="143" t="s">
        <v>18</v>
      </c>
      <c r="G629" s="140">
        <v>0</v>
      </c>
      <c r="H629" s="140">
        <v>0</v>
      </c>
      <c r="I629" s="140">
        <v>0</v>
      </c>
      <c r="J629" s="140">
        <v>0</v>
      </c>
      <c r="K629" s="141" t="e">
        <f t="shared" si="638"/>
        <v>#DIV/0!</v>
      </c>
      <c r="L629" s="141" t="e">
        <f t="shared" si="639"/>
        <v>#DIV/0!</v>
      </c>
      <c r="M629" s="141" t="e">
        <f t="shared" si="640"/>
        <v>#DIV/0!</v>
      </c>
      <c r="N629" s="140">
        <f t="shared" si="641"/>
        <v>0</v>
      </c>
      <c r="U629" s="142">
        <f t="shared" si="637"/>
        <v>0</v>
      </c>
      <c r="V629" s="142">
        <f t="shared" si="637"/>
        <v>0</v>
      </c>
      <c r="W629" s="142">
        <f t="shared" si="637"/>
        <v>0</v>
      </c>
      <c r="X629" s="142">
        <f t="shared" si="637"/>
        <v>0</v>
      </c>
      <c r="Y629" s="142">
        <f t="shared" si="642"/>
        <v>0</v>
      </c>
    </row>
    <row r="630" spans="1:25" ht="15" hidden="1" x14ac:dyDescent="0.25">
      <c r="A630">
        <v>5</v>
      </c>
      <c r="B630">
        <v>2021</v>
      </c>
      <c r="C630">
        <v>2021</v>
      </c>
      <c r="D630" t="s">
        <v>63</v>
      </c>
      <c r="E630" t="s">
        <v>69</v>
      </c>
      <c r="F630" s="143" t="s">
        <v>18</v>
      </c>
      <c r="G630" s="140">
        <v>5423.91</v>
      </c>
      <c r="H630" s="140">
        <v>976.30379999999991</v>
      </c>
      <c r="I630" s="140">
        <v>488.15189999999996</v>
      </c>
      <c r="J630" s="140">
        <v>93.4</v>
      </c>
      <c r="K630" s="141">
        <f t="shared" si="638"/>
        <v>0.18</v>
      </c>
      <c r="L630" s="141">
        <f t="shared" si="639"/>
        <v>0.09</v>
      </c>
      <c r="M630" s="141">
        <f t="shared" si="640"/>
        <v>1.7220049742713284E-2</v>
      </c>
      <c r="N630" s="140">
        <f t="shared" si="641"/>
        <v>3866.0543000000002</v>
      </c>
      <c r="U630" s="142">
        <f t="shared" si="637"/>
        <v>5423.91</v>
      </c>
      <c r="V630" s="142">
        <f t="shared" si="637"/>
        <v>976.30379999999991</v>
      </c>
      <c r="W630" s="142">
        <f t="shared" si="637"/>
        <v>488.15189999999996</v>
      </c>
      <c r="X630" s="142">
        <f t="shared" si="637"/>
        <v>93.4</v>
      </c>
      <c r="Y630" s="142">
        <f t="shared" si="642"/>
        <v>3866.0543000000002</v>
      </c>
    </row>
    <row r="631" spans="1:25" ht="15" hidden="1" x14ac:dyDescent="0.25">
      <c r="A631">
        <v>6</v>
      </c>
      <c r="B631">
        <v>2021</v>
      </c>
      <c r="C631">
        <v>2021</v>
      </c>
      <c r="D631" t="s">
        <v>63</v>
      </c>
      <c r="E631" t="s">
        <v>69</v>
      </c>
      <c r="F631" s="143" t="s">
        <v>18</v>
      </c>
      <c r="G631" s="140">
        <v>18351.990000000002</v>
      </c>
      <c r="H631" s="140">
        <v>3303.3582000000001</v>
      </c>
      <c r="I631" s="140">
        <v>1651.6791000000001</v>
      </c>
      <c r="J631" s="140">
        <v>316.02</v>
      </c>
      <c r="K631" s="141">
        <f t="shared" si="638"/>
        <v>0.18</v>
      </c>
      <c r="L631" s="141">
        <f t="shared" si="639"/>
        <v>0.09</v>
      </c>
      <c r="M631" s="141">
        <f t="shared" si="640"/>
        <v>1.7219930917573515E-2</v>
      </c>
      <c r="N631" s="140">
        <f t="shared" si="641"/>
        <v>13080.932700000001</v>
      </c>
      <c r="U631" s="142">
        <f t="shared" si="637"/>
        <v>18351.990000000002</v>
      </c>
      <c r="V631" s="142">
        <f t="shared" si="637"/>
        <v>3303.3582000000001</v>
      </c>
      <c r="W631" s="142">
        <f t="shared" si="637"/>
        <v>1651.6791000000001</v>
      </c>
      <c r="X631" s="142">
        <f t="shared" si="637"/>
        <v>316.02</v>
      </c>
      <c r="Y631" s="142">
        <f t="shared" si="642"/>
        <v>13080.932700000001</v>
      </c>
    </row>
    <row r="632" spans="1:25" ht="15" hidden="1" x14ac:dyDescent="0.25">
      <c r="A632">
        <v>7</v>
      </c>
      <c r="B632">
        <v>2021</v>
      </c>
      <c r="C632">
        <v>2021</v>
      </c>
      <c r="D632" t="s">
        <v>63</v>
      </c>
      <c r="E632" t="s">
        <v>69</v>
      </c>
      <c r="F632" s="143" t="s">
        <v>18</v>
      </c>
      <c r="G632" s="140">
        <v>11734.93</v>
      </c>
      <c r="H632" s="140">
        <v>1525.54</v>
      </c>
      <c r="I632" s="140">
        <v>1056.1400000000001</v>
      </c>
      <c r="J632" s="140">
        <v>272.60000000000002</v>
      </c>
      <c r="K632" s="141">
        <f t="shared" si="638"/>
        <v>0.12999992330589105</v>
      </c>
      <c r="L632" s="141">
        <f t="shared" si="639"/>
        <v>8.9999684701996527E-2</v>
      </c>
      <c r="M632" s="141">
        <f t="shared" si="640"/>
        <v>2.3229793445721451E-2</v>
      </c>
      <c r="N632" s="140">
        <f t="shared" si="641"/>
        <v>8880.65</v>
      </c>
      <c r="U632" s="142">
        <f t="shared" si="637"/>
        <v>11734.93</v>
      </c>
      <c r="V632" s="142">
        <f t="shared" si="637"/>
        <v>1525.54</v>
      </c>
      <c r="W632" s="142">
        <f t="shared" si="637"/>
        <v>1056.1400000000001</v>
      </c>
      <c r="X632" s="142">
        <f t="shared" si="637"/>
        <v>272.60000000000002</v>
      </c>
      <c r="Y632" s="142">
        <f t="shared" si="642"/>
        <v>8880.65</v>
      </c>
    </row>
    <row r="633" spans="1:25" ht="15" hidden="1" x14ac:dyDescent="0.25">
      <c r="A633">
        <v>8</v>
      </c>
      <c r="B633">
        <v>2021</v>
      </c>
      <c r="C633">
        <v>2021</v>
      </c>
      <c r="D633" t="s">
        <v>63</v>
      </c>
      <c r="E633" t="s">
        <v>69</v>
      </c>
      <c r="F633" s="143" t="s">
        <v>18</v>
      </c>
      <c r="G633" s="140">
        <v>19038.27</v>
      </c>
      <c r="H633" s="140">
        <v>3512.2962500000003</v>
      </c>
      <c r="I633" s="140">
        <v>1713.4416999999999</v>
      </c>
      <c r="J633" s="140">
        <v>419.12</v>
      </c>
      <c r="K633" s="141">
        <f t="shared" si="638"/>
        <v>0.18448610351675862</v>
      </c>
      <c r="L633" s="141">
        <f t="shared" si="639"/>
        <v>8.9999863432969479E-2</v>
      </c>
      <c r="M633" s="141">
        <f t="shared" si="640"/>
        <v>2.2014605318655529E-2</v>
      </c>
      <c r="N633" s="140">
        <f t="shared" si="641"/>
        <v>13393.412050000001</v>
      </c>
      <c r="U633" s="142">
        <f t="shared" si="637"/>
        <v>19038.27</v>
      </c>
      <c r="V633" s="142">
        <f t="shared" si="637"/>
        <v>3512.2962500000003</v>
      </c>
      <c r="W633" s="142">
        <f t="shared" si="637"/>
        <v>1713.4416999999999</v>
      </c>
      <c r="X633" s="142">
        <f t="shared" si="637"/>
        <v>419.12</v>
      </c>
      <c r="Y633" s="142">
        <f t="shared" si="642"/>
        <v>13393.412050000001</v>
      </c>
    </row>
    <row r="634" spans="1:25" ht="15" hidden="1" x14ac:dyDescent="0.25">
      <c r="A634">
        <v>9</v>
      </c>
      <c r="B634">
        <v>2021</v>
      </c>
      <c r="C634">
        <v>2021</v>
      </c>
      <c r="D634" t="s">
        <v>63</v>
      </c>
      <c r="E634" t="s">
        <v>69</v>
      </c>
      <c r="F634" s="143" t="s">
        <v>18</v>
      </c>
      <c r="G634" s="140">
        <v>-18351.990000000002</v>
      </c>
      <c r="H634" s="140">
        <v>-3303.3582000000001</v>
      </c>
      <c r="I634" s="140">
        <v>-1651.6791000000001</v>
      </c>
      <c r="J634" s="140">
        <v>-316.02</v>
      </c>
      <c r="K634" s="141">
        <f t="shared" si="638"/>
        <v>0.18</v>
      </c>
      <c r="L634" s="141">
        <f t="shared" si="639"/>
        <v>0.09</v>
      </c>
      <c r="M634" s="141">
        <f t="shared" si="640"/>
        <v>1.7219930917573515E-2</v>
      </c>
      <c r="N634" s="140">
        <f t="shared" si="641"/>
        <v>-13080.932700000001</v>
      </c>
      <c r="U634" s="142">
        <f t="shared" si="637"/>
        <v>-18351.990000000002</v>
      </c>
      <c r="V634" s="142">
        <f t="shared" si="637"/>
        <v>-3303.3582000000001</v>
      </c>
      <c r="W634" s="142">
        <f t="shared" si="637"/>
        <v>-1651.6791000000001</v>
      </c>
      <c r="X634" s="142">
        <f t="shared" si="637"/>
        <v>-316.02</v>
      </c>
      <c r="Y634" s="142">
        <f t="shared" si="642"/>
        <v>-13080.932700000001</v>
      </c>
    </row>
    <row r="635" spans="1:25" ht="15" hidden="1" x14ac:dyDescent="0.25">
      <c r="A635">
        <v>10</v>
      </c>
      <c r="B635">
        <v>2021</v>
      </c>
      <c r="C635">
        <v>2021</v>
      </c>
      <c r="D635" t="s">
        <v>63</v>
      </c>
      <c r="E635" t="s">
        <v>69</v>
      </c>
      <c r="F635" s="143" t="s">
        <v>18</v>
      </c>
      <c r="G635" s="140">
        <v>24679.578563663243</v>
      </c>
      <c r="H635" s="140">
        <v>5794.4715437791792</v>
      </c>
      <c r="I635" s="140">
        <v>2221.162070729692</v>
      </c>
      <c r="J635" s="140">
        <v>258.01494558413248</v>
      </c>
      <c r="K635" s="141">
        <f t="shared" si="638"/>
        <v>0.2347881074562034</v>
      </c>
      <c r="L635" s="141">
        <f t="shared" si="639"/>
        <v>9.0000000000000011E-2</v>
      </c>
      <c r="M635" s="141">
        <f t="shared" si="640"/>
        <v>1.0454592849653376E-2</v>
      </c>
      <c r="N635" s="140">
        <f t="shared" si="641"/>
        <v>16405.93000357024</v>
      </c>
      <c r="U635" s="142">
        <f t="shared" si="637"/>
        <v>24679.578563663243</v>
      </c>
      <c r="V635" s="142">
        <f t="shared" si="637"/>
        <v>5794.4715437791792</v>
      </c>
      <c r="W635" s="142">
        <f t="shared" si="637"/>
        <v>2221.162070729692</v>
      </c>
      <c r="X635" s="142">
        <f t="shared" si="637"/>
        <v>258.01494558413248</v>
      </c>
      <c r="Y635" s="142">
        <f t="shared" si="642"/>
        <v>16405.93000357024</v>
      </c>
    </row>
    <row r="636" spans="1:25" ht="15" hidden="1" x14ac:dyDescent="0.25">
      <c r="A636">
        <v>11</v>
      </c>
      <c r="B636">
        <v>2021</v>
      </c>
      <c r="C636">
        <v>2021</v>
      </c>
      <c r="D636" t="s">
        <v>63</v>
      </c>
      <c r="E636" t="s">
        <v>69</v>
      </c>
      <c r="F636" s="143" t="s">
        <v>18</v>
      </c>
      <c r="G636" s="140">
        <v>32276.083274999997</v>
      </c>
      <c r="H636" s="140">
        <v>6446.8463474999999</v>
      </c>
      <c r="I636" s="140">
        <v>2904.8474947499994</v>
      </c>
      <c r="J636" s="140">
        <v>542.41999999999996</v>
      </c>
      <c r="K636" s="141">
        <f t="shared" si="638"/>
        <v>0.19974066532705712</v>
      </c>
      <c r="L636" s="141">
        <f t="shared" si="639"/>
        <v>0.09</v>
      </c>
      <c r="M636" s="141">
        <f t="shared" si="640"/>
        <v>1.6805632684066745E-2</v>
      </c>
      <c r="N636" s="140">
        <f t="shared" si="641"/>
        <v>22381.96943275</v>
      </c>
      <c r="U636" s="142">
        <f t="shared" si="637"/>
        <v>32276.083274999997</v>
      </c>
      <c r="V636" s="142">
        <f t="shared" si="637"/>
        <v>6446.8463474999999</v>
      </c>
      <c r="W636" s="142">
        <f t="shared" si="637"/>
        <v>2904.8474947499994</v>
      </c>
      <c r="X636" s="142">
        <f t="shared" si="637"/>
        <v>542.41999999999996</v>
      </c>
      <c r="Y636" s="142">
        <f t="shared" si="642"/>
        <v>22381.96943275</v>
      </c>
    </row>
    <row r="637" spans="1:25" ht="15" hidden="1" x14ac:dyDescent="0.25">
      <c r="A637">
        <v>12</v>
      </c>
      <c r="B637">
        <v>2021</v>
      </c>
      <c r="C637">
        <v>2021</v>
      </c>
      <c r="D637" t="s">
        <v>63</v>
      </c>
      <c r="E637" t="s">
        <v>69</v>
      </c>
      <c r="F637" s="143" t="s">
        <v>18</v>
      </c>
      <c r="G637" s="140">
        <v>5504.4124327281743</v>
      </c>
      <c r="H637" s="140">
        <v>1361.353622731426</v>
      </c>
      <c r="I637" s="140">
        <v>495.39711894553568</v>
      </c>
      <c r="J637" s="140">
        <v>55.044123007669036</v>
      </c>
      <c r="K637" s="141">
        <f t="shared" si="638"/>
        <v>0.24732042508971167</v>
      </c>
      <c r="L637" s="141">
        <f t="shared" si="639"/>
        <v>0.09</v>
      </c>
      <c r="M637" s="141">
        <f t="shared" si="640"/>
        <v>9.9999997602627493E-3</v>
      </c>
      <c r="N637" s="140">
        <f t="shared" si="641"/>
        <v>3592.6175680435435</v>
      </c>
      <c r="U637" s="142">
        <f t="shared" si="637"/>
        <v>5504.4124327281743</v>
      </c>
      <c r="V637" s="142">
        <f t="shared" si="637"/>
        <v>1361.353622731426</v>
      </c>
      <c r="W637" s="142">
        <f t="shared" si="637"/>
        <v>495.39711894553568</v>
      </c>
      <c r="X637" s="142">
        <f t="shared" si="637"/>
        <v>55.044123007669036</v>
      </c>
      <c r="Y637" s="142">
        <f t="shared" si="642"/>
        <v>3592.6175680435435</v>
      </c>
    </row>
    <row r="638" spans="1:25" ht="15" hidden="1" x14ac:dyDescent="0.25">
      <c r="A638">
        <v>1</v>
      </c>
      <c r="B638">
        <v>2022</v>
      </c>
      <c r="C638">
        <v>2021</v>
      </c>
      <c r="D638" t="s">
        <v>63</v>
      </c>
      <c r="E638" t="s">
        <v>69</v>
      </c>
      <c r="F638" s="143" t="s">
        <v>18</v>
      </c>
      <c r="G638" s="140">
        <v>1314.077195249738</v>
      </c>
      <c r="H638" s="140">
        <v>262.8154390499476</v>
      </c>
      <c r="I638" s="140">
        <v>118.26694757247641</v>
      </c>
      <c r="J638" s="140">
        <v>13.140772616136919</v>
      </c>
      <c r="K638" s="141">
        <f t="shared" si="638"/>
        <v>0.2</v>
      </c>
      <c r="L638" s="141">
        <f t="shared" si="639"/>
        <v>0.09</v>
      </c>
      <c r="M638" s="141">
        <f t="shared" si="640"/>
        <v>1.0000000505023253E-2</v>
      </c>
      <c r="N638" s="140">
        <f t="shared" si="641"/>
        <v>919.85403601117707</v>
      </c>
      <c r="U638" s="142">
        <f t="shared" si="637"/>
        <v>1314.077195249738</v>
      </c>
      <c r="V638" s="142">
        <f t="shared" si="637"/>
        <v>262.8154390499476</v>
      </c>
      <c r="W638" s="142">
        <f t="shared" si="637"/>
        <v>118.26694757247641</v>
      </c>
      <c r="X638" s="142">
        <f t="shared" si="637"/>
        <v>13.140772616136919</v>
      </c>
      <c r="Y638" s="142">
        <f t="shared" si="642"/>
        <v>919.85403601117707</v>
      </c>
    </row>
    <row r="639" spans="1:25" ht="15" hidden="1" x14ac:dyDescent="0.25">
      <c r="A639">
        <v>1</v>
      </c>
      <c r="B639">
        <v>2022</v>
      </c>
      <c r="C639">
        <v>2022</v>
      </c>
      <c r="D639" t="s">
        <v>63</v>
      </c>
      <c r="E639" t="s">
        <v>69</v>
      </c>
      <c r="F639" s="143" t="s">
        <v>26</v>
      </c>
      <c r="G639" s="140">
        <v>13428.110734992464</v>
      </c>
      <c r="H639" s="140">
        <v>2604.2831783985685</v>
      </c>
      <c r="I639" s="140">
        <v>1208.5299661493218</v>
      </c>
      <c r="J639" s="140">
        <v>178.35399565673427</v>
      </c>
      <c r="K639" s="141">
        <f t="shared" si="638"/>
        <v>0.19394263495400271</v>
      </c>
      <c r="L639" s="141">
        <f t="shared" si="639"/>
        <v>0.09</v>
      </c>
      <c r="M639" s="141">
        <f t="shared" si="640"/>
        <v>1.3282136197459229E-2</v>
      </c>
      <c r="N639" s="140">
        <f t="shared" si="641"/>
        <v>9436.9435947878392</v>
      </c>
      <c r="U639" s="142">
        <f t="shared" si="637"/>
        <v>13428.110734992464</v>
      </c>
      <c r="V639" s="142">
        <f t="shared" si="637"/>
        <v>2604.2831783985685</v>
      </c>
      <c r="W639" s="142">
        <f t="shared" si="637"/>
        <v>1208.5299661493218</v>
      </c>
      <c r="X639" s="142">
        <f t="shared" si="637"/>
        <v>178.35399565673427</v>
      </c>
      <c r="Y639" s="142">
        <f t="shared" si="642"/>
        <v>9436.9435947878392</v>
      </c>
    </row>
    <row r="640" spans="1:25" ht="15" hidden="1" x14ac:dyDescent="0.25">
      <c r="A640">
        <v>1</v>
      </c>
      <c r="B640">
        <v>2022</v>
      </c>
      <c r="C640">
        <v>2021</v>
      </c>
      <c r="D640" t="s">
        <v>64</v>
      </c>
      <c r="E640" t="s">
        <v>70</v>
      </c>
      <c r="F640" s="143" t="s">
        <v>23</v>
      </c>
      <c r="G640" s="140">
        <v>1200.6592125</v>
      </c>
      <c r="H640" s="140">
        <v>240.1318425</v>
      </c>
      <c r="I640" s="140">
        <v>120.06592125</v>
      </c>
      <c r="J640" s="140">
        <v>24.01</v>
      </c>
      <c r="K640" s="141">
        <f t="shared" si="638"/>
        <v>0.2</v>
      </c>
      <c r="L640" s="141">
        <f t="shared" si="639"/>
        <v>0.1</v>
      </c>
      <c r="M640" s="141">
        <f t="shared" si="640"/>
        <v>1.9997347915239522E-2</v>
      </c>
      <c r="N640" s="140">
        <f t="shared" si="641"/>
        <v>816.45144875000005</v>
      </c>
      <c r="O640" s="137">
        <v>1755.05</v>
      </c>
      <c r="P640">
        <v>526.51</v>
      </c>
      <c r="Q640">
        <v>0</v>
      </c>
      <c r="R640">
        <v>61.44</v>
      </c>
      <c r="S640" s="137">
        <f>O640-P640-Q640-R640</f>
        <v>1167.0999999999999</v>
      </c>
      <c r="U640" s="142">
        <f t="shared" si="637"/>
        <v>-554.39078749999999</v>
      </c>
      <c r="V640" s="142">
        <f t="shared" si="637"/>
        <v>-286.37815749999999</v>
      </c>
      <c r="W640" s="142">
        <f t="shared" si="637"/>
        <v>120.06592125</v>
      </c>
      <c r="X640" s="142">
        <f t="shared" si="637"/>
        <v>-37.429999999999993</v>
      </c>
      <c r="Y640" s="142">
        <f t="shared" si="642"/>
        <v>-350.64855124999985</v>
      </c>
    </row>
    <row r="641" spans="1:25" ht="15" hidden="1" x14ac:dyDescent="0.25">
      <c r="A641">
        <v>10</v>
      </c>
      <c r="B641">
        <v>2021</v>
      </c>
      <c r="C641">
        <v>2021</v>
      </c>
      <c r="D641" t="s">
        <v>64</v>
      </c>
      <c r="E641" t="s">
        <v>70</v>
      </c>
      <c r="F641" s="143" t="s">
        <v>23</v>
      </c>
      <c r="G641" s="140">
        <v>1772.8672641168121</v>
      </c>
      <c r="H641" s="140">
        <v>354.5734528233624</v>
      </c>
      <c r="I641" s="140">
        <v>177.2867264116812</v>
      </c>
      <c r="J641" s="140">
        <v>62.050354244088432</v>
      </c>
      <c r="K641" s="141">
        <f t="shared" si="638"/>
        <v>0.19999999999999998</v>
      </c>
      <c r="L641" s="141">
        <f t="shared" si="639"/>
        <v>9.9999999999999992E-2</v>
      </c>
      <c r="M641" s="141">
        <f t="shared" si="640"/>
        <v>3.5000000000000003E-2</v>
      </c>
      <c r="N641" s="140">
        <f t="shared" si="641"/>
        <v>1178.95673063768</v>
      </c>
      <c r="U641" s="142">
        <f t="shared" si="637"/>
        <v>1772.8672641168121</v>
      </c>
      <c r="V641" s="142">
        <f t="shared" si="637"/>
        <v>354.5734528233624</v>
      </c>
      <c r="W641" s="142">
        <f t="shared" si="637"/>
        <v>177.2867264116812</v>
      </c>
      <c r="X641" s="142">
        <f t="shared" si="637"/>
        <v>62.050354244088432</v>
      </c>
      <c r="Y641" s="142">
        <f t="shared" si="642"/>
        <v>1178.95673063768</v>
      </c>
    </row>
    <row r="642" spans="1:25" ht="15" hidden="1" x14ac:dyDescent="0.25">
      <c r="A642">
        <v>11</v>
      </c>
      <c r="B642">
        <v>2021</v>
      </c>
      <c r="C642">
        <v>2021</v>
      </c>
      <c r="D642" t="s">
        <v>64</v>
      </c>
      <c r="E642" t="s">
        <v>70</v>
      </c>
      <c r="F642" s="143" t="s">
        <v>23</v>
      </c>
      <c r="G642" s="140">
        <v>-17.821711937721375</v>
      </c>
      <c r="H642" s="140">
        <v>-3.5643423875442863</v>
      </c>
      <c r="I642" s="140">
        <v>-1.7821711937721432</v>
      </c>
      <c r="J642" s="140">
        <v>-0.6237596631334057</v>
      </c>
      <c r="K642" s="141">
        <f t="shared" si="638"/>
        <v>0.20000000000000065</v>
      </c>
      <c r="L642" s="141">
        <f t="shared" si="639"/>
        <v>0.10000000000000032</v>
      </c>
      <c r="M642" s="141">
        <f t="shared" si="640"/>
        <v>3.4999985709181961E-2</v>
      </c>
      <c r="N642" s="140">
        <f t="shared" si="641"/>
        <v>-11.85143869327154</v>
      </c>
      <c r="U642" s="142">
        <f t="shared" si="637"/>
        <v>-17.821711937721375</v>
      </c>
      <c r="V642" s="142">
        <f t="shared" si="637"/>
        <v>-3.5643423875442863</v>
      </c>
      <c r="W642" s="142">
        <f t="shared" si="637"/>
        <v>-1.7821711937721432</v>
      </c>
      <c r="X642" s="142">
        <f t="shared" si="637"/>
        <v>-0.6237596631334057</v>
      </c>
      <c r="Y642" s="142">
        <f t="shared" si="642"/>
        <v>-11.85143869327154</v>
      </c>
    </row>
    <row r="643" spans="1:25" ht="15" hidden="1" x14ac:dyDescent="0.25">
      <c r="A643">
        <v>12</v>
      </c>
      <c r="B643">
        <v>2021</v>
      </c>
      <c r="C643">
        <v>2021</v>
      </c>
      <c r="D643" t="s">
        <v>64</v>
      </c>
      <c r="E643" t="s">
        <v>70</v>
      </c>
      <c r="F643" s="143" t="s">
        <v>23</v>
      </c>
      <c r="G643" s="140">
        <v>0</v>
      </c>
      <c r="H643" s="140">
        <v>0</v>
      </c>
      <c r="I643" s="140">
        <v>0</v>
      </c>
      <c r="J643" s="140">
        <v>0</v>
      </c>
      <c r="K643" s="141" t="e">
        <f t="shared" si="638"/>
        <v>#DIV/0!</v>
      </c>
      <c r="L643" s="141" t="e">
        <f t="shared" si="639"/>
        <v>#DIV/0!</v>
      </c>
      <c r="M643" s="141" t="e">
        <f t="shared" si="640"/>
        <v>#DIV/0!</v>
      </c>
      <c r="N643" s="140">
        <f t="shared" si="641"/>
        <v>0</v>
      </c>
      <c r="U643" s="142">
        <f t="shared" si="637"/>
        <v>0</v>
      </c>
      <c r="V643" s="142">
        <f t="shared" si="637"/>
        <v>0</v>
      </c>
      <c r="W643" s="142">
        <f t="shared" si="637"/>
        <v>0</v>
      </c>
      <c r="X643" s="142">
        <f t="shared" si="637"/>
        <v>0</v>
      </c>
      <c r="Y643" s="142">
        <f t="shared" si="642"/>
        <v>0</v>
      </c>
    </row>
    <row r="644" spans="1:25" ht="15" hidden="1" x14ac:dyDescent="0.25">
      <c r="A644">
        <v>2</v>
      </c>
      <c r="B644">
        <v>2022</v>
      </c>
      <c r="C644">
        <v>2019</v>
      </c>
      <c r="D644" t="s">
        <v>324</v>
      </c>
      <c r="E644" t="s">
        <v>65</v>
      </c>
      <c r="F644" t="s">
        <v>6</v>
      </c>
      <c r="G644" s="140">
        <v>0</v>
      </c>
      <c r="H644" s="140">
        <v>0</v>
      </c>
      <c r="I644" s="140">
        <v>0</v>
      </c>
      <c r="J644" s="140">
        <v>0</v>
      </c>
      <c r="K644" s="141" t="e">
        <f t="shared" si="638"/>
        <v>#DIV/0!</v>
      </c>
      <c r="L644" s="141" t="e">
        <f t="shared" si="639"/>
        <v>#DIV/0!</v>
      </c>
      <c r="M644" s="141" t="e">
        <f t="shared" si="640"/>
        <v>#DIV/0!</v>
      </c>
      <c r="N644" s="140">
        <f t="shared" si="641"/>
        <v>0</v>
      </c>
      <c r="U644" s="142">
        <f t="shared" si="637"/>
        <v>0</v>
      </c>
      <c r="V644" s="142">
        <f t="shared" si="637"/>
        <v>0</v>
      </c>
      <c r="W644" s="142">
        <f t="shared" si="637"/>
        <v>0</v>
      </c>
      <c r="X644" s="142">
        <f t="shared" si="637"/>
        <v>0</v>
      </c>
    </row>
    <row r="645" spans="1:25" ht="15" hidden="1" x14ac:dyDescent="0.25">
      <c r="A645">
        <v>2</v>
      </c>
      <c r="B645">
        <v>2022</v>
      </c>
      <c r="C645">
        <v>2019</v>
      </c>
      <c r="D645" t="s">
        <v>324</v>
      </c>
      <c r="E645" t="s">
        <v>325</v>
      </c>
      <c r="F645" t="s">
        <v>3</v>
      </c>
      <c r="G645" s="142">
        <v>0</v>
      </c>
      <c r="H645" s="142">
        <v>0</v>
      </c>
      <c r="I645" s="142">
        <v>0</v>
      </c>
      <c r="J645" s="142">
        <v>0</v>
      </c>
      <c r="K645" s="141" t="e">
        <f t="shared" si="638"/>
        <v>#DIV/0!</v>
      </c>
      <c r="L645" s="141" t="e">
        <f t="shared" si="639"/>
        <v>#DIV/0!</v>
      </c>
      <c r="M645" s="141" t="e">
        <f t="shared" si="640"/>
        <v>#DIV/0!</v>
      </c>
      <c r="N645" s="140">
        <f t="shared" si="641"/>
        <v>0</v>
      </c>
      <c r="U645" s="142">
        <f t="shared" si="637"/>
        <v>0</v>
      </c>
      <c r="V645" s="142">
        <f t="shared" si="637"/>
        <v>0</v>
      </c>
      <c r="W645" s="142">
        <f t="shared" si="637"/>
        <v>0</v>
      </c>
      <c r="X645" s="142">
        <f t="shared" si="637"/>
        <v>0</v>
      </c>
    </row>
    <row r="646" spans="1:25" ht="15" hidden="1" x14ac:dyDescent="0.25">
      <c r="A646">
        <v>2</v>
      </c>
      <c r="B646">
        <v>2022</v>
      </c>
      <c r="C646">
        <v>2019</v>
      </c>
      <c r="D646" t="s">
        <v>327</v>
      </c>
      <c r="E646" t="s">
        <v>68</v>
      </c>
      <c r="F646" t="s">
        <v>8</v>
      </c>
      <c r="G646" s="142">
        <v>0</v>
      </c>
      <c r="H646" s="142">
        <v>0</v>
      </c>
      <c r="I646" s="142">
        <v>0</v>
      </c>
      <c r="J646" s="142">
        <v>0</v>
      </c>
      <c r="K646" s="141" t="e">
        <f t="shared" si="638"/>
        <v>#DIV/0!</v>
      </c>
      <c r="L646" s="141" t="e">
        <f t="shared" si="639"/>
        <v>#DIV/0!</v>
      </c>
      <c r="M646" s="141" t="e">
        <f t="shared" si="640"/>
        <v>#DIV/0!</v>
      </c>
      <c r="N646" s="140">
        <f t="shared" si="641"/>
        <v>0</v>
      </c>
    </row>
    <row r="647" spans="1:25" ht="15" hidden="1" x14ac:dyDescent="0.25">
      <c r="A647">
        <v>2</v>
      </c>
      <c r="B647">
        <v>2022</v>
      </c>
      <c r="C647">
        <v>2019</v>
      </c>
      <c r="D647" t="s">
        <v>327</v>
      </c>
      <c r="E647" t="s">
        <v>67</v>
      </c>
      <c r="F647" t="s">
        <v>11</v>
      </c>
      <c r="G647" s="142">
        <v>7555.37</v>
      </c>
      <c r="H647" s="142">
        <v>1511.07</v>
      </c>
      <c r="I647" s="142">
        <v>944.42</v>
      </c>
      <c r="J647" s="142">
        <v>151.30000000000001</v>
      </c>
      <c r="K647" s="141">
        <f t="shared" si="638"/>
        <v>0.19999947057523323</v>
      </c>
      <c r="L647" s="141">
        <f t="shared" si="639"/>
        <v>0.12499983455476038</v>
      </c>
      <c r="M647" s="141">
        <f t="shared" si="640"/>
        <v>2.0025491802519269E-2</v>
      </c>
      <c r="N647" s="140">
        <f t="shared" si="641"/>
        <v>4948.58</v>
      </c>
      <c r="O647" s="142"/>
    </row>
    <row r="648" spans="1:25" ht="15" hidden="1" x14ac:dyDescent="0.25">
      <c r="A648">
        <v>2</v>
      </c>
      <c r="B648">
        <v>2022</v>
      </c>
      <c r="C648">
        <v>2019</v>
      </c>
      <c r="D648" t="s">
        <v>63</v>
      </c>
      <c r="E648" t="s">
        <v>69</v>
      </c>
      <c r="F648" s="1" t="s">
        <v>0</v>
      </c>
      <c r="G648">
        <v>0</v>
      </c>
      <c r="H648">
        <v>0</v>
      </c>
      <c r="I648">
        <v>0</v>
      </c>
      <c r="J648">
        <v>0</v>
      </c>
      <c r="K648" s="141" t="e">
        <f t="shared" si="638"/>
        <v>#DIV/0!</v>
      </c>
      <c r="L648" s="141" t="e">
        <f t="shared" si="639"/>
        <v>#DIV/0!</v>
      </c>
      <c r="M648" s="141" t="e">
        <f t="shared" si="640"/>
        <v>#DIV/0!</v>
      </c>
      <c r="N648" s="140">
        <f t="shared" si="641"/>
        <v>0</v>
      </c>
    </row>
    <row r="649" spans="1:25" ht="15" hidden="1" x14ac:dyDescent="0.25">
      <c r="A649">
        <v>2</v>
      </c>
      <c r="B649">
        <v>2022</v>
      </c>
      <c r="C649">
        <v>2020</v>
      </c>
      <c r="D649" t="s">
        <v>324</v>
      </c>
      <c r="E649" t="s">
        <v>65</v>
      </c>
      <c r="F649" t="s">
        <v>15</v>
      </c>
      <c r="G649" s="142">
        <v>0</v>
      </c>
      <c r="H649" s="142">
        <v>0</v>
      </c>
      <c r="I649" s="142">
        <v>0</v>
      </c>
      <c r="J649" s="142">
        <v>0</v>
      </c>
      <c r="K649" s="141" t="e">
        <f t="shared" si="638"/>
        <v>#DIV/0!</v>
      </c>
      <c r="L649" s="141" t="e">
        <f t="shared" si="639"/>
        <v>#DIV/0!</v>
      </c>
      <c r="M649" s="141" t="e">
        <f t="shared" si="640"/>
        <v>#DIV/0!</v>
      </c>
      <c r="N649" s="140">
        <f t="shared" si="641"/>
        <v>0</v>
      </c>
    </row>
    <row r="650" spans="1:25" ht="15" hidden="1" x14ac:dyDescent="0.25">
      <c r="A650">
        <v>2</v>
      </c>
      <c r="B650">
        <v>2022</v>
      </c>
      <c r="C650">
        <v>2020</v>
      </c>
      <c r="D650" t="s">
        <v>324</v>
      </c>
      <c r="E650" t="s">
        <v>325</v>
      </c>
      <c r="F650" t="s">
        <v>14</v>
      </c>
      <c r="G650" s="142">
        <v>0</v>
      </c>
      <c r="H650" s="142">
        <v>0</v>
      </c>
      <c r="I650" s="142">
        <v>0</v>
      </c>
      <c r="J650" s="142">
        <v>0</v>
      </c>
      <c r="K650" s="141" t="e">
        <f t="shared" si="638"/>
        <v>#DIV/0!</v>
      </c>
      <c r="L650" s="141" t="e">
        <f t="shared" si="639"/>
        <v>#DIV/0!</v>
      </c>
      <c r="M650" s="141" t="e">
        <f t="shared" si="640"/>
        <v>#DIV/0!</v>
      </c>
      <c r="N650" s="140">
        <f t="shared" si="641"/>
        <v>0</v>
      </c>
    </row>
    <row r="651" spans="1:25" ht="15" hidden="1" x14ac:dyDescent="0.25">
      <c r="A651">
        <v>2</v>
      </c>
      <c r="B651">
        <v>2022</v>
      </c>
      <c r="C651">
        <v>2020</v>
      </c>
      <c r="D651" t="s">
        <v>327</v>
      </c>
      <c r="E651" t="s">
        <v>68</v>
      </c>
      <c r="F651" t="s">
        <v>16</v>
      </c>
      <c r="G651">
        <v>37755.916586666674</v>
      </c>
      <c r="H651">
        <v>7398.2993840000017</v>
      </c>
      <c r="I651">
        <v>3775.5916586666676</v>
      </c>
      <c r="J651">
        <v>1321.46</v>
      </c>
      <c r="K651" s="141">
        <f t="shared" si="638"/>
        <v>0.19595072912658879</v>
      </c>
      <c r="L651" s="141">
        <f t="shared" si="639"/>
        <v>0.1</v>
      </c>
      <c r="M651" s="141">
        <f t="shared" si="640"/>
        <v>3.5000077324746172E-2</v>
      </c>
      <c r="N651" s="140">
        <f t="shared" si="641"/>
        <v>25260.565544000005</v>
      </c>
      <c r="O651" s="144">
        <f>+H651+I651</f>
        <v>11173.89104266667</v>
      </c>
    </row>
    <row r="652" spans="1:25" ht="15" hidden="1" x14ac:dyDescent="0.25">
      <c r="A652">
        <v>2</v>
      </c>
      <c r="B652">
        <v>2022</v>
      </c>
      <c r="C652">
        <v>2020</v>
      </c>
      <c r="D652" t="s">
        <v>327</v>
      </c>
      <c r="E652" t="s">
        <v>67</v>
      </c>
      <c r="F652" t="s">
        <v>17</v>
      </c>
      <c r="G652">
        <v>14885.584169052587</v>
      </c>
      <c r="H652" s="144">
        <v>2781.5685543083246</v>
      </c>
      <c r="I652" s="144">
        <v>1488.5584169052588</v>
      </c>
      <c r="J652" s="144">
        <v>192.12692521524266</v>
      </c>
      <c r="K652" s="141">
        <f t="shared" si="638"/>
        <v>0.18686324451352462</v>
      </c>
      <c r="L652" s="141">
        <f t="shared" si="639"/>
        <v>0.1</v>
      </c>
      <c r="M652" s="141">
        <f t="shared" si="640"/>
        <v>1.2906912018587634E-2</v>
      </c>
      <c r="N652" s="140">
        <f t="shared" si="641"/>
        <v>10423.33027262376</v>
      </c>
      <c r="O652" s="144">
        <f t="shared" ref="O652:O665" si="643">+H652+I652</f>
        <v>4270.1269712135836</v>
      </c>
    </row>
    <row r="653" spans="1:25" ht="15" hidden="1" x14ac:dyDescent="0.25">
      <c r="A653">
        <v>2</v>
      </c>
      <c r="B653">
        <v>2022</v>
      </c>
      <c r="C653">
        <v>2020</v>
      </c>
      <c r="D653" t="s">
        <v>63</v>
      </c>
      <c r="E653" t="s">
        <v>69</v>
      </c>
      <c r="F653" s="1" t="s">
        <v>13</v>
      </c>
      <c r="G653">
        <v>0</v>
      </c>
      <c r="H653">
        <v>0</v>
      </c>
      <c r="I653">
        <v>0</v>
      </c>
      <c r="J653">
        <v>0</v>
      </c>
      <c r="K653" s="141" t="e">
        <f t="shared" si="638"/>
        <v>#DIV/0!</v>
      </c>
      <c r="L653" s="141" t="e">
        <f t="shared" si="639"/>
        <v>#DIV/0!</v>
      </c>
      <c r="M653" s="141" t="e">
        <f t="shared" si="640"/>
        <v>#DIV/0!</v>
      </c>
      <c r="N653" s="140">
        <f t="shared" si="641"/>
        <v>0</v>
      </c>
      <c r="O653">
        <f t="shared" si="643"/>
        <v>0</v>
      </c>
    </row>
    <row r="654" spans="1:25" ht="15" x14ac:dyDescent="0.25">
      <c r="A654">
        <v>2</v>
      </c>
      <c r="B654">
        <v>2022</v>
      </c>
      <c r="C654">
        <v>2021</v>
      </c>
      <c r="D654" t="s">
        <v>324</v>
      </c>
      <c r="E654" t="s">
        <v>65</v>
      </c>
      <c r="F654" t="s">
        <v>20</v>
      </c>
      <c r="G654">
        <v>0</v>
      </c>
      <c r="H654">
        <v>0</v>
      </c>
      <c r="I654">
        <v>0</v>
      </c>
      <c r="J654">
        <v>0</v>
      </c>
      <c r="K654" s="141" t="e">
        <f t="shared" si="638"/>
        <v>#DIV/0!</v>
      </c>
      <c r="L654" s="141" t="e">
        <f t="shared" si="639"/>
        <v>#DIV/0!</v>
      </c>
      <c r="M654" s="141" t="e">
        <f t="shared" si="640"/>
        <v>#DIV/0!</v>
      </c>
      <c r="N654" s="140">
        <f t="shared" si="641"/>
        <v>0</v>
      </c>
      <c r="O654">
        <f t="shared" si="643"/>
        <v>0</v>
      </c>
    </row>
    <row r="655" spans="1:25" ht="15" hidden="1" x14ac:dyDescent="0.25">
      <c r="A655">
        <v>2</v>
      </c>
      <c r="B655">
        <v>2022</v>
      </c>
      <c r="C655">
        <v>2021</v>
      </c>
      <c r="D655" t="s">
        <v>324</v>
      </c>
      <c r="E655" t="s">
        <v>325</v>
      </c>
      <c r="F655" t="s">
        <v>19</v>
      </c>
      <c r="G655" s="144">
        <v>4209.4372500000009</v>
      </c>
      <c r="H655" s="144">
        <v>18665.368725</v>
      </c>
      <c r="I655" s="144">
        <v>378.84935250000001</v>
      </c>
      <c r="J655" s="144">
        <v>-40.72</v>
      </c>
      <c r="K655" s="145">
        <f t="shared" si="638"/>
        <v>4.4341719846281107</v>
      </c>
      <c r="L655" s="145">
        <f t="shared" si="639"/>
        <v>8.9999999999999983E-2</v>
      </c>
      <c r="M655" s="145">
        <f t="shared" si="640"/>
        <v>-9.6735020815430835E-3</v>
      </c>
      <c r="N655" s="146">
        <f t="shared" si="641"/>
        <v>-14794.0608275</v>
      </c>
      <c r="O655" s="144">
        <f t="shared" si="643"/>
        <v>19044.218077500002</v>
      </c>
    </row>
    <row r="656" spans="1:25" ht="15" hidden="1" x14ac:dyDescent="0.25">
      <c r="A656">
        <v>2</v>
      </c>
      <c r="B656">
        <v>2022</v>
      </c>
      <c r="C656">
        <v>2021</v>
      </c>
      <c r="D656" t="s">
        <v>327</v>
      </c>
      <c r="E656" t="s">
        <v>68</v>
      </c>
      <c r="F656" t="s">
        <v>21</v>
      </c>
      <c r="G656">
        <v>-2642.5419835946386</v>
      </c>
      <c r="H656">
        <v>-346.87969058823535</v>
      </c>
      <c r="I656">
        <v>-237.82877852351743</v>
      </c>
      <c r="J656">
        <v>-28.650000000000002</v>
      </c>
      <c r="K656" s="141">
        <f t="shared" si="638"/>
        <v>0.13126742838589697</v>
      </c>
      <c r="L656" s="141">
        <f t="shared" si="639"/>
        <v>8.9999999999999983E-2</v>
      </c>
      <c r="M656" s="141">
        <f t="shared" si="640"/>
        <v>1.0841833423220594E-2</v>
      </c>
      <c r="N656" s="140">
        <f t="shared" si="641"/>
        <v>-2029.1835144828856</v>
      </c>
      <c r="O656">
        <f t="shared" si="643"/>
        <v>-584.70846911175272</v>
      </c>
    </row>
    <row r="657" spans="1:15" ht="15" hidden="1" x14ac:dyDescent="0.25">
      <c r="A657">
        <v>2</v>
      </c>
      <c r="B657">
        <v>2022</v>
      </c>
      <c r="C657">
        <v>2021</v>
      </c>
      <c r="D657" t="s">
        <v>327</v>
      </c>
      <c r="E657" t="s">
        <v>67</v>
      </c>
      <c r="F657" t="s">
        <v>22</v>
      </c>
      <c r="G657">
        <v>8116.5364783383702</v>
      </c>
      <c r="H657">
        <v>1621.6570699989584</v>
      </c>
      <c r="I657">
        <v>730.48828305045299</v>
      </c>
      <c r="J657">
        <v>1447.9344758305494</v>
      </c>
      <c r="K657" s="141">
        <f t="shared" si="638"/>
        <v>0.19979668351480712</v>
      </c>
      <c r="L657" s="141">
        <f t="shared" si="639"/>
        <v>8.9999999999999955E-2</v>
      </c>
      <c r="M657" s="141">
        <f t="shared" si="640"/>
        <v>0.17839314585658991</v>
      </c>
      <c r="N657" s="140">
        <f t="shared" si="641"/>
        <v>4316.4566494584087</v>
      </c>
      <c r="O657">
        <f t="shared" si="643"/>
        <v>2352.1453530494114</v>
      </c>
    </row>
    <row r="658" spans="1:15" ht="15" hidden="1" x14ac:dyDescent="0.25">
      <c r="A658">
        <v>2</v>
      </c>
      <c r="B658">
        <v>2022</v>
      </c>
      <c r="C658">
        <v>2021</v>
      </c>
      <c r="D658" t="s">
        <v>63</v>
      </c>
      <c r="E658" t="s">
        <v>69</v>
      </c>
      <c r="F658" s="1" t="s">
        <v>18</v>
      </c>
      <c r="G658">
        <v>582.61632234967283</v>
      </c>
      <c r="H658">
        <v>116.52326446993456</v>
      </c>
      <c r="I658">
        <v>52.435469011470552</v>
      </c>
      <c r="J658">
        <v>9.7568407173822109</v>
      </c>
      <c r="K658" s="141">
        <f t="shared" si="638"/>
        <v>0.19999999999999998</v>
      </c>
      <c r="L658" s="141">
        <f t="shared" si="639"/>
        <v>0.09</v>
      </c>
      <c r="M658" s="141">
        <f t="shared" si="640"/>
        <v>1.6746596933695897E-2</v>
      </c>
      <c r="N658" s="140">
        <f t="shared" si="641"/>
        <v>403.90074815088548</v>
      </c>
      <c r="O658">
        <f t="shared" si="643"/>
        <v>168.95873348140512</v>
      </c>
    </row>
    <row r="659" spans="1:15" ht="15" hidden="1" x14ac:dyDescent="0.25">
      <c r="A659">
        <v>2</v>
      </c>
      <c r="B659">
        <v>2022</v>
      </c>
      <c r="C659">
        <v>2021</v>
      </c>
      <c r="D659" t="s">
        <v>64</v>
      </c>
      <c r="E659" t="s">
        <v>70</v>
      </c>
      <c r="F659" t="s">
        <v>23</v>
      </c>
      <c r="G659">
        <v>1741.5565345080763</v>
      </c>
      <c r="H659">
        <v>348.31130690161524</v>
      </c>
      <c r="I659">
        <v>174.15565345080762</v>
      </c>
      <c r="J659">
        <v>34.875183553597651</v>
      </c>
      <c r="K659" s="141">
        <f t="shared" si="638"/>
        <v>0.19999999999999998</v>
      </c>
      <c r="L659" s="141">
        <f t="shared" si="639"/>
        <v>9.9999999999999992E-2</v>
      </c>
      <c r="M659" s="141">
        <f t="shared" si="640"/>
        <v>2.0025295109612144E-2</v>
      </c>
      <c r="N659" s="140">
        <f t="shared" si="641"/>
        <v>1184.2143906020556</v>
      </c>
      <c r="O659">
        <f t="shared" si="643"/>
        <v>522.4669603524228</v>
      </c>
    </row>
    <row r="660" spans="1:15" ht="15" hidden="1" x14ac:dyDescent="0.25">
      <c r="A660">
        <v>2</v>
      </c>
      <c r="B660">
        <v>2022</v>
      </c>
      <c r="C660">
        <v>2022</v>
      </c>
      <c r="D660" t="s">
        <v>324</v>
      </c>
      <c r="E660" t="s">
        <v>65</v>
      </c>
      <c r="F660" t="s">
        <v>28</v>
      </c>
      <c r="G660">
        <v>0</v>
      </c>
      <c r="H660">
        <v>0</v>
      </c>
      <c r="I660">
        <v>0</v>
      </c>
      <c r="J660">
        <v>0</v>
      </c>
      <c r="K660" s="141" t="e">
        <f t="shared" si="638"/>
        <v>#DIV/0!</v>
      </c>
      <c r="L660" s="141" t="e">
        <f t="shared" si="639"/>
        <v>#DIV/0!</v>
      </c>
      <c r="M660" s="141" t="e">
        <f t="shared" si="640"/>
        <v>#DIV/0!</v>
      </c>
      <c r="N660" s="140">
        <f t="shared" si="641"/>
        <v>0</v>
      </c>
      <c r="O660">
        <f t="shared" si="643"/>
        <v>0</v>
      </c>
    </row>
    <row r="661" spans="1:15" ht="15" hidden="1" x14ac:dyDescent="0.25">
      <c r="A661">
        <v>2</v>
      </c>
      <c r="B661">
        <v>2022</v>
      </c>
      <c r="C661">
        <v>2022</v>
      </c>
      <c r="D661" t="s">
        <v>324</v>
      </c>
      <c r="E661" t="s">
        <v>325</v>
      </c>
      <c r="F661" t="s">
        <v>27</v>
      </c>
      <c r="G661">
        <v>7500</v>
      </c>
      <c r="H661">
        <v>1875</v>
      </c>
      <c r="I661">
        <v>675</v>
      </c>
      <c r="J661">
        <v>0</v>
      </c>
      <c r="K661" s="141">
        <f t="shared" si="638"/>
        <v>0.25</v>
      </c>
      <c r="L661" s="141">
        <f t="shared" si="639"/>
        <v>0.09</v>
      </c>
      <c r="M661" s="141">
        <f t="shared" si="640"/>
        <v>0</v>
      </c>
      <c r="N661" s="140">
        <f t="shared" si="641"/>
        <v>4950</v>
      </c>
      <c r="O661">
        <f t="shared" si="643"/>
        <v>2550</v>
      </c>
    </row>
    <row r="662" spans="1:15" ht="15" hidden="1" x14ac:dyDescent="0.25">
      <c r="A662">
        <v>2</v>
      </c>
      <c r="B662">
        <v>2022</v>
      </c>
      <c r="C662">
        <v>2022</v>
      </c>
      <c r="D662" t="s">
        <v>327</v>
      </c>
      <c r="E662" t="s">
        <v>68</v>
      </c>
      <c r="F662" t="s">
        <v>29</v>
      </c>
      <c r="G662">
        <v>14438.727377049181</v>
      </c>
      <c r="H662">
        <v>1759.6853214285713</v>
      </c>
      <c r="I662">
        <v>1299.4854639344262</v>
      </c>
      <c r="J662">
        <v>393.46000000000004</v>
      </c>
      <c r="K662" s="141">
        <f t="shared" si="638"/>
        <v>0.12187260521489224</v>
      </c>
      <c r="L662" s="141">
        <f t="shared" si="639"/>
        <v>0.09</v>
      </c>
      <c r="M662" s="141">
        <f t="shared" si="640"/>
        <v>2.7250324057327746E-2</v>
      </c>
      <c r="N662" s="140">
        <f t="shared" si="641"/>
        <v>10986.096591686182</v>
      </c>
      <c r="O662">
        <f t="shared" si="643"/>
        <v>3059.1707853629978</v>
      </c>
    </row>
    <row r="663" spans="1:15" ht="15" hidden="1" x14ac:dyDescent="0.25">
      <c r="A663">
        <v>2</v>
      </c>
      <c r="B663">
        <v>2022</v>
      </c>
      <c r="C663">
        <v>2022</v>
      </c>
      <c r="D663" t="s">
        <v>327</v>
      </c>
      <c r="E663" t="s">
        <v>67</v>
      </c>
      <c r="F663" t="s">
        <v>30</v>
      </c>
      <c r="G663">
        <v>133282.70359626476</v>
      </c>
      <c r="H663">
        <v>24223.031143374486</v>
      </c>
      <c r="I663">
        <v>11995.443323663827</v>
      </c>
      <c r="J663">
        <v>2142.0522481859493</v>
      </c>
      <c r="K663" s="141">
        <f t="shared" si="638"/>
        <v>0.18174174510107502</v>
      </c>
      <c r="L663" s="141">
        <f t="shared" si="639"/>
        <v>8.9999999999999983E-2</v>
      </c>
      <c r="M663" s="141">
        <f t="shared" si="640"/>
        <v>1.6071494577980485E-2</v>
      </c>
      <c r="N663" s="140">
        <f t="shared" si="641"/>
        <v>94922.176881040505</v>
      </c>
      <c r="O663">
        <f t="shared" si="643"/>
        <v>36218.474467038315</v>
      </c>
    </row>
    <row r="664" spans="1:15" ht="15" hidden="1" x14ac:dyDescent="0.25">
      <c r="A664">
        <v>2</v>
      </c>
      <c r="B664">
        <v>2022</v>
      </c>
      <c r="C664">
        <v>2022</v>
      </c>
      <c r="D664" t="s">
        <v>63</v>
      </c>
      <c r="E664" t="s">
        <v>69</v>
      </c>
      <c r="F664" s="1" t="s">
        <v>26</v>
      </c>
      <c r="G664">
        <v>4478.7785547294961</v>
      </c>
      <c r="H664">
        <v>895.75571094589941</v>
      </c>
      <c r="I664">
        <v>403.09006992565463</v>
      </c>
      <c r="J664">
        <v>44.787786275026903</v>
      </c>
      <c r="K664" s="141">
        <f t="shared" si="638"/>
        <v>0.20000000000000004</v>
      </c>
      <c r="L664" s="141">
        <f t="shared" si="639"/>
        <v>0.09</v>
      </c>
      <c r="M664" s="141">
        <f t="shared" si="640"/>
        <v>1.0000000162484465E-2</v>
      </c>
      <c r="N664" s="140">
        <f t="shared" si="641"/>
        <v>3135.1449875829153</v>
      </c>
      <c r="O664">
        <f t="shared" si="643"/>
        <v>1298.8457808715541</v>
      </c>
    </row>
    <row r="665" spans="1:15" ht="15" hidden="1" x14ac:dyDescent="0.25">
      <c r="A665">
        <v>2</v>
      </c>
      <c r="B665">
        <v>2022</v>
      </c>
      <c r="C665">
        <v>2022</v>
      </c>
      <c r="D665" t="s">
        <v>64</v>
      </c>
      <c r="E665" t="s">
        <v>70</v>
      </c>
      <c r="F665" t="s">
        <v>328</v>
      </c>
      <c r="K665" s="141" t="e">
        <f t="shared" si="638"/>
        <v>#DIV/0!</v>
      </c>
      <c r="L665" s="141" t="e">
        <f t="shared" si="639"/>
        <v>#DIV/0!</v>
      </c>
      <c r="M665" s="141" t="e">
        <f t="shared" si="640"/>
        <v>#DIV/0!</v>
      </c>
      <c r="N665" s="140">
        <f t="shared" si="641"/>
        <v>0</v>
      </c>
      <c r="O665">
        <f t="shared" si="643"/>
        <v>0</v>
      </c>
    </row>
    <row r="666" spans="1:15" ht="15" x14ac:dyDescent="0.25"/>
    <row r="667" spans="1:15" ht="15" x14ac:dyDescent="0.25"/>
    <row r="668" spans="1:15" ht="15" x14ac:dyDescent="0.25"/>
    <row r="669" spans="1:15" ht="15" x14ac:dyDescent="0.25"/>
    <row r="670" spans="1:15" ht="15" x14ac:dyDescent="0.25"/>
    <row r="671" spans="1:15" ht="15" x14ac:dyDescent="0.25"/>
    <row r="672" spans="1:15" ht="15" x14ac:dyDescent="0.25"/>
    <row r="673" ht="15" x14ac:dyDescent="0.25"/>
    <row r="674" ht="15" x14ac:dyDescent="0.25"/>
    <row r="675" ht="15" x14ac:dyDescent="0.25"/>
    <row r="676" ht="15" x14ac:dyDescent="0.25"/>
    <row r="677" ht="15" x14ac:dyDescent="0.25"/>
  </sheetData>
  <autoFilter ref="A2:Y665" xr:uid="{00000000-0009-0000-0000-000006000000}">
    <filterColumn colId="5">
      <filters>
        <filter val="MRLN19AONBMAR-3"/>
      </filters>
    </filterColumn>
  </autoFilter>
  <mergeCells count="1">
    <mergeCell ref="A1:H1"/>
  </mergeCells>
  <phoneticPr fontId="3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3:D130"/>
  <sheetViews>
    <sheetView topLeftCell="A3" workbookViewId="0">
      <selection activeCell="A21" sqref="A21"/>
    </sheetView>
  </sheetViews>
  <sheetFormatPr defaultRowHeight="15" x14ac:dyDescent="0.25"/>
  <cols>
    <col min="1" max="1" width="14.42578125" bestFit="1" customWidth="1"/>
    <col min="2" max="2" width="13.85546875" style="111" bestFit="1" customWidth="1"/>
    <col min="3" max="3" width="12.5703125" bestFit="1" customWidth="1"/>
    <col min="4" max="4" width="13.85546875" bestFit="1" customWidth="1"/>
  </cols>
  <sheetData>
    <row r="3" spans="1:4" x14ac:dyDescent="0.25">
      <c r="A3" s="169" t="s">
        <v>517</v>
      </c>
      <c r="B3" s="169" t="s">
        <v>516</v>
      </c>
      <c r="C3" s="169" t="s">
        <v>515</v>
      </c>
      <c r="D3" s="170" t="s">
        <v>519</v>
      </c>
    </row>
    <row r="4" spans="1:4" x14ac:dyDescent="0.25">
      <c r="A4" s="171" t="s">
        <v>332</v>
      </c>
      <c r="B4" s="170"/>
      <c r="C4" s="170"/>
      <c r="D4" s="170">
        <v>0</v>
      </c>
    </row>
    <row r="5" spans="1:4" x14ac:dyDescent="0.25">
      <c r="A5" s="171" t="s">
        <v>53</v>
      </c>
      <c r="B5" s="170"/>
      <c r="C5" s="170"/>
      <c r="D5" s="170">
        <v>340123.24977690342</v>
      </c>
    </row>
    <row r="6" spans="1:4" x14ac:dyDescent="0.25">
      <c r="A6" s="171" t="s">
        <v>55</v>
      </c>
      <c r="B6" s="170"/>
      <c r="C6" s="170"/>
      <c r="D6" s="170">
        <v>444447.23155127536</v>
      </c>
    </row>
    <row r="7" spans="1:4" x14ac:dyDescent="0.25">
      <c r="A7" s="171" t="s">
        <v>54</v>
      </c>
      <c r="B7" s="170"/>
      <c r="C7" s="170"/>
      <c r="D7" s="170">
        <v>299535.79869303072</v>
      </c>
    </row>
    <row r="8" spans="1:4" x14ac:dyDescent="0.25">
      <c r="A8" s="171" t="s">
        <v>518</v>
      </c>
      <c r="B8" s="170"/>
      <c r="C8" s="170"/>
      <c r="D8" s="170">
        <v>1084106.2800212095</v>
      </c>
    </row>
    <row r="9" spans="1:4" x14ac:dyDescent="0.25">
      <c r="B9"/>
    </row>
    <row r="10" spans="1:4" x14ac:dyDescent="0.25">
      <c r="B10"/>
    </row>
    <row r="11" spans="1:4" x14ac:dyDescent="0.25">
      <c r="B11"/>
    </row>
    <row r="12" spans="1:4" x14ac:dyDescent="0.25">
      <c r="B12"/>
    </row>
    <row r="13" spans="1:4" x14ac:dyDescent="0.25">
      <c r="B13"/>
    </row>
    <row r="14" spans="1:4" x14ac:dyDescent="0.25">
      <c r="B14"/>
    </row>
    <row r="15" spans="1:4" x14ac:dyDescent="0.25">
      <c r="B15"/>
    </row>
    <row r="16" spans="1:4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N81"/>
  <sheetViews>
    <sheetView topLeftCell="A2" workbookViewId="0">
      <selection activeCell="C12" sqref="C12"/>
    </sheetView>
  </sheetViews>
  <sheetFormatPr defaultRowHeight="15" x14ac:dyDescent="0.25"/>
  <cols>
    <col min="2" max="2" width="16.140625" customWidth="1"/>
    <col min="3" max="3" width="19.85546875" customWidth="1"/>
    <col min="4" max="4" width="10.140625" customWidth="1"/>
    <col min="5" max="5" width="11.140625" customWidth="1"/>
    <col min="6" max="6" width="12.28515625" customWidth="1"/>
    <col min="8" max="8" width="14.5703125" customWidth="1"/>
    <col min="9" max="9" width="13.42578125" customWidth="1"/>
    <col min="10" max="10" width="9" customWidth="1"/>
    <col min="11" max="11" width="15.140625" customWidth="1"/>
    <col min="12" max="12" width="13.85546875" customWidth="1"/>
    <col min="13" max="13" width="9.5703125" customWidth="1"/>
  </cols>
  <sheetData>
    <row r="1" spans="1:14" x14ac:dyDescent="0.25">
      <c r="A1" t="s">
        <v>256</v>
      </c>
      <c r="B1" t="s">
        <v>514</v>
      </c>
      <c r="C1" t="s">
        <v>36</v>
      </c>
      <c r="D1" t="s">
        <v>37</v>
      </c>
      <c r="E1" t="s">
        <v>515</v>
      </c>
      <c r="F1" t="s">
        <v>516</v>
      </c>
      <c r="G1" t="s">
        <v>305</v>
      </c>
      <c r="H1" t="s">
        <v>306</v>
      </c>
      <c r="I1" t="s">
        <v>307</v>
      </c>
      <c r="J1" t="s">
        <v>308</v>
      </c>
      <c r="K1" t="s">
        <v>309</v>
      </c>
      <c r="L1" t="s">
        <v>310</v>
      </c>
      <c r="M1" t="s">
        <v>311</v>
      </c>
      <c r="N1" t="s">
        <v>312</v>
      </c>
    </row>
    <row r="2" spans="1:14" x14ac:dyDescent="0.25">
      <c r="A2" t="s">
        <v>53</v>
      </c>
      <c r="B2">
        <v>2022</v>
      </c>
      <c r="C2" t="s">
        <v>335</v>
      </c>
      <c r="D2" t="s">
        <v>1</v>
      </c>
      <c r="E2" t="s">
        <v>2</v>
      </c>
      <c r="F2" t="s">
        <v>26</v>
      </c>
      <c r="G2">
        <v>16420.774971804873</v>
      </c>
      <c r="H2">
        <v>2473.9347622647997</v>
      </c>
      <c r="I2">
        <v>1477.8697474624387</v>
      </c>
      <c r="J2">
        <v>376.64804113991232</v>
      </c>
      <c r="K2">
        <v>0.15065883105472455</v>
      </c>
      <c r="L2">
        <v>9.0000000000000011E-2</v>
      </c>
      <c r="M2">
        <v>2.2937287782496995E-2</v>
      </c>
      <c r="N2">
        <v>12092.322420937722</v>
      </c>
    </row>
    <row r="3" spans="1:14" x14ac:dyDescent="0.25">
      <c r="A3" t="s">
        <v>332</v>
      </c>
      <c r="B3" t="s">
        <v>332</v>
      </c>
      <c r="C3" t="s">
        <v>332</v>
      </c>
      <c r="D3" t="s">
        <v>332</v>
      </c>
      <c r="E3" t="s">
        <v>332</v>
      </c>
      <c r="F3" t="s">
        <v>332</v>
      </c>
      <c r="K3">
        <v>0</v>
      </c>
      <c r="L3">
        <v>0</v>
      </c>
      <c r="M3">
        <v>0</v>
      </c>
      <c r="N3">
        <v>0</v>
      </c>
    </row>
    <row r="4" spans="1:14" x14ac:dyDescent="0.25">
      <c r="A4" t="s">
        <v>55</v>
      </c>
      <c r="B4">
        <v>2022</v>
      </c>
      <c r="C4" t="s">
        <v>335</v>
      </c>
      <c r="D4" t="s">
        <v>1</v>
      </c>
      <c r="E4" t="s">
        <v>2</v>
      </c>
      <c r="F4" t="s">
        <v>26</v>
      </c>
      <c r="G4">
        <v>50848.82239999999</v>
      </c>
      <c r="H4">
        <v>9152.7880319999986</v>
      </c>
      <c r="I4">
        <v>4576.3940159999993</v>
      </c>
      <c r="J4">
        <v>875.62</v>
      </c>
      <c r="K4">
        <v>0.18</v>
      </c>
      <c r="L4">
        <v>0.09</v>
      </c>
      <c r="M4">
        <v>1.7220064470952236E-2</v>
      </c>
      <c r="N4">
        <v>36244.020351999992</v>
      </c>
    </row>
    <row r="5" spans="1:14" x14ac:dyDescent="0.25">
      <c r="A5" t="s">
        <v>332</v>
      </c>
      <c r="B5" t="s">
        <v>332</v>
      </c>
      <c r="C5" t="s">
        <v>332</v>
      </c>
      <c r="D5" t="s">
        <v>332</v>
      </c>
      <c r="E5" t="s">
        <v>332</v>
      </c>
      <c r="F5" t="s">
        <v>332</v>
      </c>
      <c r="K5">
        <v>0</v>
      </c>
      <c r="L5">
        <v>0</v>
      </c>
      <c r="M5">
        <v>0</v>
      </c>
      <c r="N5">
        <v>0</v>
      </c>
    </row>
    <row r="6" spans="1:14" x14ac:dyDescent="0.25">
      <c r="A6" t="s">
        <v>54</v>
      </c>
      <c r="B6">
        <v>2022</v>
      </c>
      <c r="C6" t="s">
        <v>335</v>
      </c>
      <c r="D6" t="s">
        <v>1</v>
      </c>
      <c r="E6" t="s">
        <v>2</v>
      </c>
      <c r="F6" t="s">
        <v>26</v>
      </c>
      <c r="K6">
        <v>0</v>
      </c>
      <c r="L6">
        <v>0</v>
      </c>
      <c r="M6">
        <v>0</v>
      </c>
      <c r="N6">
        <v>0</v>
      </c>
    </row>
    <row r="7" spans="1:14" x14ac:dyDescent="0.25">
      <c r="A7" t="s">
        <v>332</v>
      </c>
      <c r="B7" t="s">
        <v>332</v>
      </c>
      <c r="C7" t="s">
        <v>332</v>
      </c>
      <c r="D7" t="s">
        <v>332</v>
      </c>
      <c r="E7" t="s">
        <v>332</v>
      </c>
      <c r="F7" t="s">
        <v>332</v>
      </c>
      <c r="K7">
        <v>0</v>
      </c>
      <c r="L7">
        <v>0</v>
      </c>
      <c r="M7">
        <v>0</v>
      </c>
      <c r="N7">
        <v>0</v>
      </c>
    </row>
    <row r="8" spans="1:14" x14ac:dyDescent="0.25">
      <c r="A8" t="s">
        <v>53</v>
      </c>
      <c r="B8">
        <v>2022</v>
      </c>
      <c r="C8" t="s">
        <v>335</v>
      </c>
      <c r="D8" t="s">
        <v>1</v>
      </c>
      <c r="E8" t="s">
        <v>2</v>
      </c>
      <c r="F8" t="s">
        <v>26</v>
      </c>
      <c r="G8">
        <v>2473.9347622647997</v>
      </c>
      <c r="H8">
        <v>1477.8697474624387</v>
      </c>
      <c r="I8">
        <v>376.64804113991232</v>
      </c>
      <c r="J8">
        <v>12092.32242093772</v>
      </c>
      <c r="K8">
        <v>0.59737620005367531</v>
      </c>
      <c r="L8">
        <v>0.15224655350050717</v>
      </c>
      <c r="M8">
        <v>4.8878905803755419</v>
      </c>
      <c r="N8">
        <v>-11472.905447275272</v>
      </c>
    </row>
    <row r="9" spans="1:14" x14ac:dyDescent="0.25">
      <c r="A9" t="s">
        <v>332</v>
      </c>
      <c r="B9" t="s">
        <v>332</v>
      </c>
      <c r="C9" t="s">
        <v>332</v>
      </c>
      <c r="D9" t="s">
        <v>332</v>
      </c>
      <c r="E9" t="s">
        <v>332</v>
      </c>
      <c r="F9" t="s">
        <v>332</v>
      </c>
      <c r="K9">
        <v>0</v>
      </c>
      <c r="L9">
        <v>0</v>
      </c>
      <c r="M9">
        <v>0</v>
      </c>
      <c r="N9">
        <v>0</v>
      </c>
    </row>
    <row r="10" spans="1:14" x14ac:dyDescent="0.25">
      <c r="A10" t="s">
        <v>55</v>
      </c>
      <c r="B10">
        <v>2022</v>
      </c>
      <c r="C10" t="s">
        <v>335</v>
      </c>
      <c r="D10" t="s">
        <v>9</v>
      </c>
      <c r="E10" t="s">
        <v>10</v>
      </c>
      <c r="F10" t="s">
        <v>29</v>
      </c>
      <c r="G10">
        <v>202568.32071921014</v>
      </c>
      <c r="H10">
        <v>40902.896203550561</v>
      </c>
      <c r="I10">
        <v>18231.148864728908</v>
      </c>
      <c r="J10">
        <v>5281.9210719276398</v>
      </c>
      <c r="K10">
        <v>0.20192148534542115</v>
      </c>
      <c r="L10">
        <v>8.9999999999999983E-2</v>
      </c>
      <c r="M10">
        <v>2.6074763581859225E-2</v>
      </c>
      <c r="N10">
        <v>138152.354579003</v>
      </c>
    </row>
    <row r="11" spans="1:14" x14ac:dyDescent="0.25">
      <c r="A11" t="s">
        <v>55</v>
      </c>
      <c r="B11">
        <v>2022</v>
      </c>
      <c r="C11" t="s">
        <v>335</v>
      </c>
      <c r="D11" t="s">
        <v>9</v>
      </c>
      <c r="E11" t="s">
        <v>12</v>
      </c>
      <c r="F11" t="s">
        <v>30</v>
      </c>
      <c r="G11">
        <v>358430.23992816836</v>
      </c>
      <c r="H11">
        <v>57873.321594012064</v>
      </c>
      <c r="I11">
        <v>32258.721593535152</v>
      </c>
      <c r="J11">
        <v>6768.490481655298</v>
      </c>
      <c r="K11">
        <v>0.16146327833725815</v>
      </c>
      <c r="L11">
        <v>0.09</v>
      </c>
      <c r="M11">
        <v>1.8883703794109963E-2</v>
      </c>
      <c r="N11">
        <v>261529.70625896583</v>
      </c>
    </row>
    <row r="12" spans="1:14" x14ac:dyDescent="0.25">
      <c r="A12" t="s">
        <v>54</v>
      </c>
      <c r="B12">
        <v>2022</v>
      </c>
      <c r="C12" t="s">
        <v>335</v>
      </c>
      <c r="D12" t="s">
        <v>9</v>
      </c>
      <c r="E12" t="s">
        <v>10</v>
      </c>
      <c r="F12" t="s">
        <v>29</v>
      </c>
      <c r="G12">
        <v>10513.993190819296</v>
      </c>
      <c r="H12">
        <v>1603.5502562370523</v>
      </c>
      <c r="I12">
        <v>946.2593871737364</v>
      </c>
      <c r="J12">
        <v>114.01864445285877</v>
      </c>
      <c r="K12">
        <v>0.15251581650606877</v>
      </c>
      <c r="L12">
        <v>8.9999999999999983E-2</v>
      </c>
      <c r="M12">
        <v>1.0844466263533307E-2</v>
      </c>
      <c r="N12">
        <v>7850.1649029556474</v>
      </c>
    </row>
    <row r="13" spans="1:14" x14ac:dyDescent="0.25">
      <c r="A13" t="s">
        <v>54</v>
      </c>
      <c r="B13">
        <v>2022</v>
      </c>
      <c r="C13" t="s">
        <v>335</v>
      </c>
      <c r="D13" t="s">
        <v>9</v>
      </c>
      <c r="E13" t="s">
        <v>12</v>
      </c>
      <c r="F13" t="s">
        <v>30</v>
      </c>
      <c r="G13">
        <v>372077.92814555333</v>
      </c>
      <c r="H13">
        <v>64921.031791230649</v>
      </c>
      <c r="I13">
        <v>33487.013533099802</v>
      </c>
      <c r="J13">
        <v>9173.7501033342596</v>
      </c>
      <c r="K13">
        <v>0.17448235135795037</v>
      </c>
      <c r="L13">
        <v>9.0000000000000011E-2</v>
      </c>
      <c r="M13">
        <v>2.4655453627836738E-2</v>
      </c>
      <c r="N13">
        <v>264496.13271788863</v>
      </c>
    </row>
    <row r="14" spans="1:14" x14ac:dyDescent="0.25">
      <c r="A14" t="s">
        <v>53</v>
      </c>
      <c r="B14">
        <v>2022</v>
      </c>
      <c r="C14" t="s">
        <v>335</v>
      </c>
      <c r="D14" t="s">
        <v>9</v>
      </c>
      <c r="E14" t="s">
        <v>10</v>
      </c>
      <c r="F14" t="s">
        <v>29</v>
      </c>
      <c r="G14">
        <v>79044.99078813316</v>
      </c>
      <c r="H14">
        <v>7268.3353234277092</v>
      </c>
      <c r="I14">
        <v>7114.0491709319831</v>
      </c>
      <c r="J14">
        <v>1903.6918605411197</v>
      </c>
      <c r="K14">
        <v>9.195187767064536E-2</v>
      </c>
      <c r="L14">
        <v>8.9999999999999983E-2</v>
      </c>
      <c r="M14">
        <v>2.4083649597020595E-2</v>
      </c>
      <c r="N14">
        <v>62758.914433232356</v>
      </c>
    </row>
    <row r="15" spans="1:14" x14ac:dyDescent="0.25">
      <c r="A15" t="s">
        <v>53</v>
      </c>
      <c r="B15">
        <v>2022</v>
      </c>
      <c r="C15" t="s">
        <v>335</v>
      </c>
      <c r="D15" t="s">
        <v>9</v>
      </c>
      <c r="E15" t="s">
        <v>12</v>
      </c>
      <c r="F15" t="s">
        <v>30</v>
      </c>
      <c r="G15">
        <v>374747.13095154264</v>
      </c>
      <c r="H15">
        <v>54474.370774260875</v>
      </c>
      <c r="I15">
        <v>33727.241785638857</v>
      </c>
      <c r="J15">
        <v>8340.1107143556037</v>
      </c>
      <c r="K15">
        <v>0.14536300954710921</v>
      </c>
      <c r="L15">
        <v>9.0000000000000052E-2</v>
      </c>
      <c r="M15">
        <v>2.2255302377309025E-2</v>
      </c>
      <c r="N15">
        <v>278205.40767728729</v>
      </c>
    </row>
    <row r="16" spans="1:14" x14ac:dyDescent="0.25">
      <c r="A16" t="s">
        <v>54</v>
      </c>
      <c r="B16">
        <v>2022</v>
      </c>
      <c r="C16" t="s">
        <v>335</v>
      </c>
      <c r="D16" t="s">
        <v>4</v>
      </c>
      <c r="E16" t="s">
        <v>5</v>
      </c>
      <c r="F16" t="s">
        <v>27</v>
      </c>
      <c r="K16">
        <v>0</v>
      </c>
      <c r="L16">
        <v>0</v>
      </c>
      <c r="M16">
        <v>0</v>
      </c>
      <c r="N16">
        <v>0</v>
      </c>
    </row>
    <row r="17" spans="1:14" x14ac:dyDescent="0.25">
      <c r="A17" t="s">
        <v>54</v>
      </c>
      <c r="B17">
        <v>2022</v>
      </c>
      <c r="C17" t="s">
        <v>335</v>
      </c>
      <c r="D17" t="s">
        <v>4</v>
      </c>
      <c r="E17" t="s">
        <v>7</v>
      </c>
      <c r="F17" t="s">
        <v>28</v>
      </c>
      <c r="K17">
        <v>0</v>
      </c>
      <c r="L17">
        <v>0</v>
      </c>
      <c r="M17">
        <v>0</v>
      </c>
      <c r="N17">
        <v>0</v>
      </c>
    </row>
    <row r="18" spans="1:14" x14ac:dyDescent="0.25">
      <c r="A18" t="s">
        <v>53</v>
      </c>
      <c r="B18">
        <v>2022</v>
      </c>
      <c r="C18" t="s">
        <v>335</v>
      </c>
      <c r="D18" t="s">
        <v>4</v>
      </c>
      <c r="E18" t="s">
        <v>5</v>
      </c>
      <c r="F18" t="s">
        <v>27</v>
      </c>
      <c r="G18">
        <v>27314.752499999999</v>
      </c>
      <c r="H18">
        <v>8034.1132500000003</v>
      </c>
      <c r="I18">
        <v>3124.37</v>
      </c>
      <c r="J18">
        <v>50794.681874999995</v>
      </c>
      <c r="K18">
        <v>0.29413091881392667</v>
      </c>
      <c r="L18">
        <v>0.11438397620479995</v>
      </c>
      <c r="M18">
        <v>1.859606155135398</v>
      </c>
      <c r="N18">
        <v>-34638.412624999997</v>
      </c>
    </row>
    <row r="19" spans="1:14" x14ac:dyDescent="0.25">
      <c r="A19" t="s">
        <v>53</v>
      </c>
      <c r="B19">
        <v>2022</v>
      </c>
      <c r="C19" t="s">
        <v>335</v>
      </c>
      <c r="D19" t="s">
        <v>4</v>
      </c>
      <c r="E19" t="s">
        <v>7</v>
      </c>
      <c r="F19" t="s">
        <v>28</v>
      </c>
      <c r="K19">
        <v>0</v>
      </c>
      <c r="L19">
        <v>0</v>
      </c>
      <c r="M19">
        <v>0</v>
      </c>
      <c r="N19">
        <v>0</v>
      </c>
    </row>
    <row r="20" spans="1:14" x14ac:dyDescent="0.25">
      <c r="A20" t="s">
        <v>55</v>
      </c>
      <c r="B20">
        <v>2022</v>
      </c>
      <c r="C20" t="s">
        <v>334</v>
      </c>
      <c r="D20" t="s">
        <v>24</v>
      </c>
      <c r="E20" t="s">
        <v>25</v>
      </c>
      <c r="F20" t="s">
        <v>23</v>
      </c>
      <c r="K20">
        <v>0</v>
      </c>
      <c r="L20">
        <v>0</v>
      </c>
      <c r="M20">
        <v>0</v>
      </c>
      <c r="N20">
        <v>0</v>
      </c>
    </row>
    <row r="21" spans="1:14" x14ac:dyDescent="0.25">
      <c r="A21" t="s">
        <v>332</v>
      </c>
      <c r="B21" t="s">
        <v>332</v>
      </c>
      <c r="C21" t="s">
        <v>332</v>
      </c>
      <c r="D21" t="s">
        <v>332</v>
      </c>
      <c r="E21" t="s">
        <v>332</v>
      </c>
      <c r="F21" t="s">
        <v>332</v>
      </c>
      <c r="K21">
        <v>0</v>
      </c>
      <c r="L21">
        <v>0</v>
      </c>
      <c r="M21">
        <v>0</v>
      </c>
      <c r="N21">
        <v>0</v>
      </c>
    </row>
    <row r="22" spans="1:14" x14ac:dyDescent="0.25">
      <c r="A22" t="s">
        <v>54</v>
      </c>
      <c r="B22">
        <v>2022</v>
      </c>
      <c r="C22" t="s">
        <v>334</v>
      </c>
      <c r="D22" t="s">
        <v>24</v>
      </c>
      <c r="E22" t="s">
        <v>25</v>
      </c>
      <c r="F22" t="s">
        <v>23</v>
      </c>
      <c r="K22">
        <v>0</v>
      </c>
      <c r="L22">
        <v>0</v>
      </c>
      <c r="M22">
        <v>0</v>
      </c>
      <c r="N22">
        <v>0</v>
      </c>
    </row>
    <row r="23" spans="1:14" x14ac:dyDescent="0.25">
      <c r="A23" t="s">
        <v>332</v>
      </c>
      <c r="B23" t="s">
        <v>332</v>
      </c>
      <c r="C23" t="s">
        <v>332</v>
      </c>
      <c r="D23" t="s">
        <v>332</v>
      </c>
      <c r="E23" t="s">
        <v>332</v>
      </c>
      <c r="F23" t="s">
        <v>332</v>
      </c>
      <c r="K23">
        <v>0</v>
      </c>
      <c r="L23">
        <v>0</v>
      </c>
      <c r="M23">
        <v>0</v>
      </c>
      <c r="N23">
        <v>0</v>
      </c>
    </row>
    <row r="24" spans="1:14" x14ac:dyDescent="0.25">
      <c r="A24" t="s">
        <v>53</v>
      </c>
      <c r="B24">
        <v>2022</v>
      </c>
      <c r="C24" t="s">
        <v>334</v>
      </c>
      <c r="D24" t="s">
        <v>24</v>
      </c>
      <c r="E24" t="s">
        <v>25</v>
      </c>
      <c r="F24" t="s">
        <v>23</v>
      </c>
      <c r="G24">
        <v>4157.2165165854694</v>
      </c>
      <c r="H24">
        <v>831.44330331709386</v>
      </c>
      <c r="I24">
        <v>415.72165165854693</v>
      </c>
      <c r="J24">
        <v>103.27373997745021</v>
      </c>
      <c r="K24">
        <v>0.19999999999999998</v>
      </c>
      <c r="L24">
        <v>9.9999999999999992E-2</v>
      </c>
      <c r="M24">
        <v>2.4842040236642309E-2</v>
      </c>
      <c r="N24">
        <v>2806.7778216323786</v>
      </c>
    </row>
    <row r="25" spans="1:14" x14ac:dyDescent="0.25">
      <c r="A25" t="s">
        <v>332</v>
      </c>
      <c r="B25" t="s">
        <v>332</v>
      </c>
      <c r="C25" t="s">
        <v>332</v>
      </c>
      <c r="D25" t="s">
        <v>332</v>
      </c>
      <c r="E25" t="s">
        <v>332</v>
      </c>
      <c r="F25" t="s">
        <v>332</v>
      </c>
      <c r="K25">
        <v>0</v>
      </c>
      <c r="L25">
        <v>0</v>
      </c>
      <c r="M25">
        <v>0</v>
      </c>
      <c r="N25">
        <v>0</v>
      </c>
    </row>
    <row r="26" spans="1:14" x14ac:dyDescent="0.25">
      <c r="A26" t="s">
        <v>55</v>
      </c>
      <c r="B26">
        <v>2022</v>
      </c>
      <c r="C26" t="s">
        <v>334</v>
      </c>
      <c r="D26" t="s">
        <v>1</v>
      </c>
      <c r="E26" t="s">
        <v>2</v>
      </c>
      <c r="F26" t="s">
        <v>18</v>
      </c>
      <c r="G26">
        <v>286.97060428641208</v>
      </c>
      <c r="H26">
        <v>67.96659107160302</v>
      </c>
      <c r="I26">
        <v>25.827354385777088</v>
      </c>
      <c r="J26">
        <v>3.1621000428641208</v>
      </c>
      <c r="K26">
        <v>0.2368416487835413</v>
      </c>
      <c r="L26">
        <v>0.09</v>
      </c>
      <c r="M26">
        <v>1.1018898784867091E-2</v>
      </c>
      <c r="N26">
        <v>190.01455878616784</v>
      </c>
    </row>
    <row r="27" spans="1:14" x14ac:dyDescent="0.25">
      <c r="A27" t="s">
        <v>332</v>
      </c>
      <c r="B27" t="s">
        <v>332</v>
      </c>
      <c r="C27" t="s">
        <v>332</v>
      </c>
      <c r="D27" t="s">
        <v>332</v>
      </c>
      <c r="E27" t="s">
        <v>332</v>
      </c>
      <c r="F27" t="s">
        <v>332</v>
      </c>
      <c r="K27">
        <v>0</v>
      </c>
      <c r="L27">
        <v>0</v>
      </c>
      <c r="M27">
        <v>0</v>
      </c>
      <c r="N27">
        <v>0</v>
      </c>
    </row>
    <row r="28" spans="1:14" x14ac:dyDescent="0.25">
      <c r="A28" t="s">
        <v>54</v>
      </c>
      <c r="B28">
        <v>2022</v>
      </c>
      <c r="C28" t="s">
        <v>334</v>
      </c>
      <c r="D28" t="s">
        <v>1</v>
      </c>
      <c r="E28" t="s">
        <v>2</v>
      </c>
      <c r="F28" t="s">
        <v>18</v>
      </c>
      <c r="G28">
        <v>743.77384072562973</v>
      </c>
      <c r="H28">
        <v>187.55199994734213</v>
      </c>
      <c r="I28">
        <v>66.939645665306685</v>
      </c>
      <c r="J28">
        <v>7.4377373258796293</v>
      </c>
      <c r="K28">
        <v>0.25216267321846841</v>
      </c>
      <c r="L28">
        <v>9.0000000000000011E-2</v>
      </c>
      <c r="M28">
        <v>9.9999985460947818E-3</v>
      </c>
      <c r="N28">
        <v>481.84445778710131</v>
      </c>
    </row>
    <row r="29" spans="1:14" x14ac:dyDescent="0.25">
      <c r="A29" t="s">
        <v>332</v>
      </c>
      <c r="B29" t="s">
        <v>332</v>
      </c>
      <c r="C29" t="s">
        <v>332</v>
      </c>
      <c r="D29" t="s">
        <v>332</v>
      </c>
      <c r="E29" t="s">
        <v>332</v>
      </c>
      <c r="F29" t="s">
        <v>332</v>
      </c>
      <c r="K29">
        <v>0</v>
      </c>
      <c r="L29">
        <v>0</v>
      </c>
      <c r="M29">
        <v>0</v>
      </c>
      <c r="N29">
        <v>0</v>
      </c>
    </row>
    <row r="30" spans="1:14" x14ac:dyDescent="0.25">
      <c r="A30" t="s">
        <v>53</v>
      </c>
      <c r="B30">
        <v>2022</v>
      </c>
      <c r="C30" t="s">
        <v>334</v>
      </c>
      <c r="D30" t="s">
        <v>1</v>
      </c>
      <c r="E30" t="s">
        <v>2</v>
      </c>
      <c r="F30" t="s">
        <v>18</v>
      </c>
      <c r="G30">
        <v>-620.50158383175358</v>
      </c>
      <c r="H30">
        <v>-177.69698345793836</v>
      </c>
      <c r="I30">
        <v>-55.845142544857858</v>
      </c>
      <c r="J30">
        <v>-3.139332216872516</v>
      </c>
      <c r="K30">
        <v>0.28637635759221552</v>
      </c>
      <c r="L30">
        <v>9.0000000000000052E-2</v>
      </c>
      <c r="M30">
        <v>5.059346017275812E-3</v>
      </c>
      <c r="N30">
        <v>-383.82012561208484</v>
      </c>
    </row>
    <row r="31" spans="1:14" x14ac:dyDescent="0.25">
      <c r="A31" t="s">
        <v>332</v>
      </c>
      <c r="B31" t="s">
        <v>332</v>
      </c>
      <c r="C31" t="s">
        <v>332</v>
      </c>
      <c r="D31" t="s">
        <v>332</v>
      </c>
      <c r="E31" t="s">
        <v>332</v>
      </c>
      <c r="F31" t="s">
        <v>332</v>
      </c>
      <c r="K31">
        <v>0</v>
      </c>
      <c r="L31">
        <v>0</v>
      </c>
      <c r="M31">
        <v>0</v>
      </c>
      <c r="N31">
        <v>0</v>
      </c>
    </row>
    <row r="32" spans="1:14" x14ac:dyDescent="0.25">
      <c r="A32" t="s">
        <v>53</v>
      </c>
      <c r="B32">
        <v>2022</v>
      </c>
      <c r="C32" t="s">
        <v>334</v>
      </c>
      <c r="D32" t="s">
        <v>1</v>
      </c>
      <c r="E32" t="s">
        <v>2</v>
      </c>
      <c r="F32" t="s">
        <v>18</v>
      </c>
      <c r="G32">
        <v>-177.69698345793836</v>
      </c>
      <c r="H32">
        <v>-55.845142544857858</v>
      </c>
      <c r="I32">
        <v>-3.139332216872516</v>
      </c>
      <c r="J32">
        <v>-383.82012561208472</v>
      </c>
      <c r="K32">
        <v>0.31427175328542728</v>
      </c>
      <c r="L32">
        <v>1.7666772703632358E-2</v>
      </c>
      <c r="M32">
        <v>2.1599698438490185</v>
      </c>
      <c r="N32">
        <v>265.10761691587675</v>
      </c>
    </row>
    <row r="33" spans="1:14" x14ac:dyDescent="0.25">
      <c r="A33" t="s">
        <v>332</v>
      </c>
      <c r="B33" t="s">
        <v>332</v>
      </c>
      <c r="C33" t="s">
        <v>332</v>
      </c>
      <c r="D33" t="s">
        <v>332</v>
      </c>
      <c r="E33" t="s">
        <v>332</v>
      </c>
      <c r="F33" t="s">
        <v>332</v>
      </c>
      <c r="K33">
        <v>0</v>
      </c>
      <c r="L33">
        <v>0</v>
      </c>
      <c r="M33">
        <v>0</v>
      </c>
      <c r="N33">
        <v>0</v>
      </c>
    </row>
    <row r="34" spans="1:14" x14ac:dyDescent="0.25">
      <c r="A34" t="s">
        <v>55</v>
      </c>
      <c r="B34">
        <v>2022</v>
      </c>
      <c r="C34" t="s">
        <v>334</v>
      </c>
      <c r="D34" t="s">
        <v>9</v>
      </c>
      <c r="E34" t="s">
        <v>10</v>
      </c>
      <c r="F34" t="s">
        <v>21</v>
      </c>
      <c r="G34">
        <v>-1370.4245000000001</v>
      </c>
      <c r="H34">
        <v>-274.0849</v>
      </c>
      <c r="I34">
        <v>-123.338205</v>
      </c>
      <c r="J34">
        <v>-47.96</v>
      </c>
      <c r="K34">
        <v>0.19999999999999998</v>
      </c>
      <c r="L34">
        <v>0.09</v>
      </c>
      <c r="M34">
        <v>3.499645547784646E-2</v>
      </c>
      <c r="N34">
        <v>-925.04139499999997</v>
      </c>
    </row>
    <row r="35" spans="1:14" x14ac:dyDescent="0.25">
      <c r="A35" t="s">
        <v>55</v>
      </c>
      <c r="B35">
        <v>2022</v>
      </c>
      <c r="C35" t="s">
        <v>334</v>
      </c>
      <c r="D35" t="s">
        <v>9</v>
      </c>
      <c r="E35" t="s">
        <v>12</v>
      </c>
      <c r="F35" t="s">
        <v>22</v>
      </c>
      <c r="G35">
        <v>13281.824908379211</v>
      </c>
      <c r="H35">
        <v>2195.3440568794863</v>
      </c>
      <c r="I35">
        <v>1195.3642417541291</v>
      </c>
      <c r="J35">
        <v>25.360233376699512</v>
      </c>
      <c r="K35">
        <v>0.16528933877862612</v>
      </c>
      <c r="L35">
        <v>9.0000000000000011E-2</v>
      </c>
      <c r="M35">
        <v>1.9093937430766986E-3</v>
      </c>
      <c r="N35">
        <v>9865.7563763688959</v>
      </c>
    </row>
    <row r="36" spans="1:14" x14ac:dyDescent="0.25">
      <c r="A36" t="s">
        <v>54</v>
      </c>
      <c r="B36">
        <v>2022</v>
      </c>
      <c r="C36" t="s">
        <v>334</v>
      </c>
      <c r="D36" t="s">
        <v>9</v>
      </c>
      <c r="E36" t="s">
        <v>10</v>
      </c>
      <c r="F36" t="s">
        <v>21</v>
      </c>
      <c r="K36">
        <v>0</v>
      </c>
      <c r="L36">
        <v>0</v>
      </c>
      <c r="M36">
        <v>0</v>
      </c>
      <c r="N36">
        <v>0</v>
      </c>
    </row>
    <row r="37" spans="1:14" x14ac:dyDescent="0.25">
      <c r="A37" t="s">
        <v>54</v>
      </c>
      <c r="B37">
        <v>2022</v>
      </c>
      <c r="C37" t="s">
        <v>334</v>
      </c>
      <c r="D37" t="s">
        <v>9</v>
      </c>
      <c r="E37" t="s">
        <v>12</v>
      </c>
      <c r="F37" t="s">
        <v>22</v>
      </c>
      <c r="G37">
        <v>26615.41203265743</v>
      </c>
      <c r="H37">
        <v>6019.3273426321966</v>
      </c>
      <c r="I37">
        <v>2395.3870829391662</v>
      </c>
      <c r="J37">
        <v>186.99945374549324</v>
      </c>
      <c r="K37">
        <v>0.22615946487119604</v>
      </c>
      <c r="L37">
        <v>8.9999999999999913E-2</v>
      </c>
      <c r="M37">
        <v>7.025983799012492E-3</v>
      </c>
      <c r="N37">
        <v>18013.698153340571</v>
      </c>
    </row>
    <row r="38" spans="1:14" x14ac:dyDescent="0.25">
      <c r="A38" t="s">
        <v>53</v>
      </c>
      <c r="B38">
        <v>2022</v>
      </c>
      <c r="C38" t="s">
        <v>334</v>
      </c>
      <c r="D38" t="s">
        <v>9</v>
      </c>
      <c r="E38" t="s">
        <v>10</v>
      </c>
      <c r="F38" t="s">
        <v>21</v>
      </c>
      <c r="G38">
        <v>39843.147616688191</v>
      </c>
      <c r="H38">
        <v>7482.3091135581826</v>
      </c>
      <c r="I38">
        <v>3585.8832855019368</v>
      </c>
      <c r="J38">
        <v>921.65216319942397</v>
      </c>
      <c r="K38">
        <v>0.18779412674776322</v>
      </c>
      <c r="L38">
        <v>0.09</v>
      </c>
      <c r="M38">
        <v>2.3132011859760611E-2</v>
      </c>
      <c r="N38">
        <v>27853.303054428648</v>
      </c>
    </row>
    <row r="39" spans="1:14" x14ac:dyDescent="0.25">
      <c r="A39" t="s">
        <v>53</v>
      </c>
      <c r="B39">
        <v>2022</v>
      </c>
      <c r="C39" t="s">
        <v>334</v>
      </c>
      <c r="D39" t="s">
        <v>9</v>
      </c>
      <c r="E39" t="s">
        <v>12</v>
      </c>
      <c r="F39" t="s">
        <v>22</v>
      </c>
      <c r="G39">
        <v>26391.370403924964</v>
      </c>
      <c r="H39">
        <v>3725.0936132280367</v>
      </c>
      <c r="I39">
        <v>2375.2233363532487</v>
      </c>
      <c r="J39">
        <v>409.73384556367546</v>
      </c>
      <c r="K39">
        <v>0.14114816912554246</v>
      </c>
      <c r="L39">
        <v>9.0000000000000066E-2</v>
      </c>
      <c r="M39">
        <v>1.5525296310597771E-2</v>
      </c>
      <c r="N39">
        <v>19881.319608780006</v>
      </c>
    </row>
    <row r="40" spans="1:14" x14ac:dyDescent="0.25">
      <c r="A40" t="s">
        <v>55</v>
      </c>
      <c r="B40">
        <v>2022</v>
      </c>
      <c r="C40" t="s">
        <v>334</v>
      </c>
      <c r="D40" t="s">
        <v>4</v>
      </c>
      <c r="E40" t="s">
        <v>5</v>
      </c>
      <c r="F40" t="s">
        <v>19</v>
      </c>
      <c r="G40">
        <v>180.94200000000001</v>
      </c>
      <c r="H40">
        <v>162.84779999999998</v>
      </c>
      <c r="I40">
        <v>19.27</v>
      </c>
      <c r="J40">
        <v>1446.3602000000001</v>
      </c>
      <c r="K40">
        <v>0.8999999999999998</v>
      </c>
      <c r="L40">
        <v>0.10649821489759148</v>
      </c>
      <c r="M40">
        <v>7.9935017851024091</v>
      </c>
      <c r="N40">
        <v>-1447.5360000000001</v>
      </c>
    </row>
    <row r="41" spans="1:14" x14ac:dyDescent="0.25">
      <c r="A41" t="s">
        <v>55</v>
      </c>
      <c r="B41">
        <v>2022</v>
      </c>
      <c r="C41" t="s">
        <v>334</v>
      </c>
      <c r="D41" t="s">
        <v>4</v>
      </c>
      <c r="E41" t="s">
        <v>7</v>
      </c>
      <c r="F41" t="s">
        <v>20</v>
      </c>
      <c r="K41">
        <v>0</v>
      </c>
      <c r="L41">
        <v>0</v>
      </c>
      <c r="M41">
        <v>0</v>
      </c>
      <c r="N41">
        <v>0</v>
      </c>
    </row>
    <row r="42" spans="1:14" x14ac:dyDescent="0.25">
      <c r="A42" t="s">
        <v>54</v>
      </c>
      <c r="B42">
        <v>2022</v>
      </c>
      <c r="C42" t="s">
        <v>334</v>
      </c>
      <c r="D42" t="s">
        <v>4</v>
      </c>
      <c r="E42" t="s">
        <v>5</v>
      </c>
      <c r="F42" t="s">
        <v>19</v>
      </c>
      <c r="K42">
        <v>0</v>
      </c>
      <c r="L42">
        <v>0</v>
      </c>
      <c r="M42">
        <v>0</v>
      </c>
      <c r="N42">
        <v>0</v>
      </c>
    </row>
    <row r="43" spans="1:14" x14ac:dyDescent="0.25">
      <c r="A43" t="s">
        <v>54</v>
      </c>
      <c r="B43">
        <v>2022</v>
      </c>
      <c r="C43" t="s">
        <v>334</v>
      </c>
      <c r="D43" t="s">
        <v>4</v>
      </c>
      <c r="E43" t="s">
        <v>7</v>
      </c>
      <c r="F43" t="s">
        <v>20</v>
      </c>
      <c r="K43">
        <v>0</v>
      </c>
      <c r="L43">
        <v>0</v>
      </c>
      <c r="M43">
        <v>0</v>
      </c>
      <c r="N43">
        <v>0</v>
      </c>
    </row>
    <row r="44" spans="1:14" x14ac:dyDescent="0.25">
      <c r="A44" t="s">
        <v>53</v>
      </c>
      <c r="B44">
        <v>2022</v>
      </c>
      <c r="C44" t="s">
        <v>334</v>
      </c>
      <c r="D44" t="s">
        <v>4</v>
      </c>
      <c r="E44" t="s">
        <v>5</v>
      </c>
      <c r="F44" t="s">
        <v>19</v>
      </c>
      <c r="K44">
        <v>0</v>
      </c>
      <c r="L44">
        <v>0</v>
      </c>
      <c r="M44">
        <v>0</v>
      </c>
      <c r="N44">
        <v>0</v>
      </c>
    </row>
    <row r="45" spans="1:14" x14ac:dyDescent="0.25">
      <c r="A45" t="s">
        <v>53</v>
      </c>
      <c r="B45">
        <v>2022</v>
      </c>
      <c r="C45" t="s">
        <v>334</v>
      </c>
      <c r="D45" t="s">
        <v>4</v>
      </c>
      <c r="E45" t="s">
        <v>7</v>
      </c>
      <c r="F45" t="s">
        <v>20</v>
      </c>
      <c r="K45">
        <v>0</v>
      </c>
      <c r="L45">
        <v>0</v>
      </c>
      <c r="M45">
        <v>0</v>
      </c>
      <c r="N45">
        <v>0</v>
      </c>
    </row>
    <row r="46" spans="1:14" x14ac:dyDescent="0.25">
      <c r="A46" t="s">
        <v>55</v>
      </c>
      <c r="B46">
        <v>2022</v>
      </c>
      <c r="C46" t="s">
        <v>333</v>
      </c>
      <c r="D46" t="s">
        <v>1</v>
      </c>
      <c r="E46" t="s">
        <v>2</v>
      </c>
      <c r="F46" t="s">
        <v>13</v>
      </c>
      <c r="K46">
        <v>0</v>
      </c>
      <c r="L46">
        <v>0</v>
      </c>
      <c r="M46">
        <v>0</v>
      </c>
      <c r="N46">
        <v>0</v>
      </c>
    </row>
    <row r="47" spans="1:14" x14ac:dyDescent="0.25">
      <c r="A47" t="s">
        <v>332</v>
      </c>
      <c r="B47" t="s">
        <v>332</v>
      </c>
      <c r="C47" t="s">
        <v>332</v>
      </c>
      <c r="D47" t="s">
        <v>332</v>
      </c>
      <c r="E47" t="s">
        <v>332</v>
      </c>
      <c r="F47" t="s">
        <v>332</v>
      </c>
      <c r="K47">
        <v>0</v>
      </c>
      <c r="L47">
        <v>0</v>
      </c>
      <c r="M47">
        <v>0</v>
      </c>
      <c r="N47">
        <v>0</v>
      </c>
    </row>
    <row r="48" spans="1:14" x14ac:dyDescent="0.25">
      <c r="A48" t="s">
        <v>54</v>
      </c>
      <c r="B48">
        <v>2022</v>
      </c>
      <c r="C48" t="s">
        <v>333</v>
      </c>
      <c r="D48" t="s">
        <v>1</v>
      </c>
      <c r="E48" t="s">
        <v>2</v>
      </c>
      <c r="F48" t="s">
        <v>13</v>
      </c>
      <c r="K48">
        <v>0</v>
      </c>
      <c r="L48">
        <v>0</v>
      </c>
      <c r="M48">
        <v>0</v>
      </c>
      <c r="N48">
        <v>0</v>
      </c>
    </row>
    <row r="49" spans="1:14" x14ac:dyDescent="0.25">
      <c r="A49" t="s">
        <v>332</v>
      </c>
      <c r="B49" t="s">
        <v>332</v>
      </c>
      <c r="C49" t="s">
        <v>332</v>
      </c>
      <c r="D49" t="s">
        <v>332</v>
      </c>
      <c r="E49" t="s">
        <v>332</v>
      </c>
      <c r="F49" t="s">
        <v>332</v>
      </c>
      <c r="K49">
        <v>0</v>
      </c>
      <c r="L49">
        <v>0</v>
      </c>
      <c r="M49">
        <v>0</v>
      </c>
      <c r="N49">
        <v>0</v>
      </c>
    </row>
    <row r="50" spans="1:14" x14ac:dyDescent="0.25">
      <c r="A50" t="s">
        <v>53</v>
      </c>
      <c r="B50">
        <v>2022</v>
      </c>
      <c r="C50" t="s">
        <v>333</v>
      </c>
      <c r="D50" t="s">
        <v>1</v>
      </c>
      <c r="E50" t="s">
        <v>2</v>
      </c>
      <c r="F50" t="s">
        <v>13</v>
      </c>
      <c r="K50">
        <v>0</v>
      </c>
      <c r="L50">
        <v>0</v>
      </c>
      <c r="M50">
        <v>0</v>
      </c>
      <c r="N50">
        <v>0</v>
      </c>
    </row>
    <row r="51" spans="1:14" x14ac:dyDescent="0.25">
      <c r="A51" t="s">
        <v>332</v>
      </c>
      <c r="B51" t="s">
        <v>332</v>
      </c>
      <c r="C51" t="s">
        <v>332</v>
      </c>
      <c r="D51" t="s">
        <v>332</v>
      </c>
      <c r="E51" t="s">
        <v>332</v>
      </c>
      <c r="F51" t="s">
        <v>332</v>
      </c>
      <c r="K51">
        <v>0</v>
      </c>
      <c r="L51">
        <v>0</v>
      </c>
      <c r="M51">
        <v>0</v>
      </c>
      <c r="N51">
        <v>0</v>
      </c>
    </row>
    <row r="52" spans="1:14" x14ac:dyDescent="0.25">
      <c r="A52" t="s">
        <v>55</v>
      </c>
      <c r="B52">
        <v>2022</v>
      </c>
      <c r="C52" t="s">
        <v>333</v>
      </c>
      <c r="D52" t="s">
        <v>9</v>
      </c>
      <c r="E52" t="s">
        <v>10</v>
      </c>
      <c r="F52" t="s">
        <v>16</v>
      </c>
      <c r="K52">
        <v>0</v>
      </c>
      <c r="L52">
        <v>0</v>
      </c>
      <c r="M52">
        <v>0</v>
      </c>
      <c r="N52">
        <v>0</v>
      </c>
    </row>
    <row r="53" spans="1:14" x14ac:dyDescent="0.25">
      <c r="A53" t="s">
        <v>55</v>
      </c>
      <c r="B53">
        <v>2022</v>
      </c>
      <c r="C53" t="s">
        <v>333</v>
      </c>
      <c r="D53" t="s">
        <v>9</v>
      </c>
      <c r="E53" t="s">
        <v>12</v>
      </c>
      <c r="F53" t="s">
        <v>17</v>
      </c>
      <c r="K53">
        <v>0</v>
      </c>
      <c r="L53">
        <v>0</v>
      </c>
      <c r="M53">
        <v>0</v>
      </c>
      <c r="N53">
        <v>0</v>
      </c>
    </row>
    <row r="54" spans="1:14" x14ac:dyDescent="0.25">
      <c r="A54" t="s">
        <v>54</v>
      </c>
      <c r="B54">
        <v>2022</v>
      </c>
      <c r="C54" t="s">
        <v>333</v>
      </c>
      <c r="D54" t="s">
        <v>9</v>
      </c>
      <c r="E54" t="s">
        <v>10</v>
      </c>
      <c r="F54" t="s">
        <v>16</v>
      </c>
      <c r="G54">
        <v>7150.28712</v>
      </c>
      <c r="H54">
        <v>0</v>
      </c>
      <c r="I54">
        <v>715.02871200000004</v>
      </c>
      <c r="J54">
        <v>0</v>
      </c>
      <c r="K54">
        <v>0</v>
      </c>
      <c r="L54">
        <v>0.1</v>
      </c>
      <c r="M54">
        <v>0</v>
      </c>
      <c r="N54">
        <v>6435.2584079999997</v>
      </c>
    </row>
    <row r="55" spans="1:14" x14ac:dyDescent="0.25">
      <c r="A55" t="s">
        <v>54</v>
      </c>
      <c r="B55">
        <v>2022</v>
      </c>
      <c r="C55" t="s">
        <v>333</v>
      </c>
      <c r="D55" t="s">
        <v>9</v>
      </c>
      <c r="E55" t="s">
        <v>12</v>
      </c>
      <c r="F55" t="s">
        <v>17</v>
      </c>
      <c r="G55">
        <v>296.48752033154943</v>
      </c>
      <c r="H55">
        <v>43.049760442080952</v>
      </c>
      <c r="I55">
        <v>29.648752033154942</v>
      </c>
      <c r="J55">
        <v>2.964874494641685</v>
      </c>
      <c r="K55">
        <v>0.1451992326487814</v>
      </c>
      <c r="L55">
        <v>9.9999999999999992E-2</v>
      </c>
      <c r="M55">
        <v>9.9999976097685031E-3</v>
      </c>
      <c r="N55">
        <v>220.82413336167184</v>
      </c>
    </row>
    <row r="56" spans="1:14" x14ac:dyDescent="0.25">
      <c r="A56" t="s">
        <v>53</v>
      </c>
      <c r="B56">
        <v>2022</v>
      </c>
      <c r="C56" t="s">
        <v>333</v>
      </c>
      <c r="D56" t="s">
        <v>9</v>
      </c>
      <c r="E56" t="s">
        <v>10</v>
      </c>
      <c r="F56" t="s">
        <v>16</v>
      </c>
      <c r="G56">
        <v>-28156.392538087133</v>
      </c>
      <c r="H56">
        <v>-5703.7351892695224</v>
      </c>
      <c r="I56">
        <v>-2815.639253808713</v>
      </c>
      <c r="J56">
        <v>-646.30912492034463</v>
      </c>
      <c r="K56">
        <v>0.20257336523327993</v>
      </c>
      <c r="L56">
        <v>9.9999999999999992E-2</v>
      </c>
      <c r="M56">
        <v>2.2954258932357287E-2</v>
      </c>
      <c r="N56">
        <v>-18990.708970088552</v>
      </c>
    </row>
    <row r="57" spans="1:14" x14ac:dyDescent="0.25">
      <c r="A57" t="s">
        <v>53</v>
      </c>
      <c r="B57">
        <v>2022</v>
      </c>
      <c r="C57" t="s">
        <v>333</v>
      </c>
      <c r="D57" t="s">
        <v>9</v>
      </c>
      <c r="E57" t="s">
        <v>12</v>
      </c>
      <c r="F57" t="s">
        <v>17</v>
      </c>
      <c r="G57">
        <v>2420.1908693604983</v>
      </c>
      <c r="H57">
        <v>393.78127903536893</v>
      </c>
      <c r="I57">
        <v>242.01908693604986</v>
      </c>
      <c r="J57">
        <v>65.823319630089145</v>
      </c>
      <c r="K57">
        <v>0.16270670384746147</v>
      </c>
      <c r="L57">
        <v>0.10000000000000002</v>
      </c>
      <c r="M57">
        <v>2.7197573738257281E-2</v>
      </c>
      <c r="N57">
        <v>1718.5671837589903</v>
      </c>
    </row>
    <row r="58" spans="1:14" x14ac:dyDescent="0.25">
      <c r="A58" t="s">
        <v>55</v>
      </c>
      <c r="B58">
        <v>2022</v>
      </c>
      <c r="C58" t="s">
        <v>333</v>
      </c>
      <c r="D58" t="s">
        <v>4</v>
      </c>
      <c r="E58" t="s">
        <v>5</v>
      </c>
      <c r="F58" t="s">
        <v>14</v>
      </c>
      <c r="K58">
        <v>0</v>
      </c>
      <c r="L58">
        <v>0</v>
      </c>
      <c r="M58">
        <v>0</v>
      </c>
      <c r="N58">
        <v>0</v>
      </c>
    </row>
    <row r="59" spans="1:14" x14ac:dyDescent="0.25">
      <c r="A59" t="s">
        <v>55</v>
      </c>
      <c r="B59">
        <v>2022</v>
      </c>
      <c r="C59" t="s">
        <v>333</v>
      </c>
      <c r="D59" t="s">
        <v>4</v>
      </c>
      <c r="E59" t="s">
        <v>7</v>
      </c>
      <c r="F59" t="s">
        <v>15</v>
      </c>
      <c r="K59">
        <v>0</v>
      </c>
      <c r="L59">
        <v>0</v>
      </c>
      <c r="M59">
        <v>0</v>
      </c>
      <c r="N59">
        <v>0</v>
      </c>
    </row>
    <row r="60" spans="1:14" x14ac:dyDescent="0.25">
      <c r="A60" t="s">
        <v>54</v>
      </c>
      <c r="B60">
        <v>2022</v>
      </c>
      <c r="C60" t="s">
        <v>333</v>
      </c>
      <c r="D60" t="s">
        <v>4</v>
      </c>
      <c r="E60" t="s">
        <v>5</v>
      </c>
      <c r="F60" t="s">
        <v>14</v>
      </c>
      <c r="K60">
        <v>0</v>
      </c>
      <c r="L60">
        <v>0</v>
      </c>
      <c r="M60">
        <v>0</v>
      </c>
      <c r="N60">
        <v>0</v>
      </c>
    </row>
    <row r="61" spans="1:14" x14ac:dyDescent="0.25">
      <c r="A61" t="s">
        <v>54</v>
      </c>
      <c r="B61">
        <v>2022</v>
      </c>
      <c r="C61" t="s">
        <v>333</v>
      </c>
      <c r="D61" t="s">
        <v>4</v>
      </c>
      <c r="E61" t="s">
        <v>7</v>
      </c>
      <c r="F61" t="s">
        <v>15</v>
      </c>
      <c r="K61">
        <v>0</v>
      </c>
      <c r="L61">
        <v>0</v>
      </c>
      <c r="M61">
        <v>0</v>
      </c>
      <c r="N61">
        <v>0</v>
      </c>
    </row>
    <row r="62" spans="1:14" x14ac:dyDescent="0.25">
      <c r="A62" t="s">
        <v>53</v>
      </c>
      <c r="B62">
        <v>2022</v>
      </c>
      <c r="C62" t="s">
        <v>333</v>
      </c>
      <c r="D62" t="s">
        <v>4</v>
      </c>
      <c r="E62" t="s">
        <v>5</v>
      </c>
      <c r="F62" t="s">
        <v>14</v>
      </c>
      <c r="K62">
        <v>0</v>
      </c>
      <c r="L62">
        <v>0</v>
      </c>
      <c r="M62">
        <v>0</v>
      </c>
      <c r="N62">
        <v>0</v>
      </c>
    </row>
    <row r="63" spans="1:14" x14ac:dyDescent="0.25">
      <c r="A63" t="s">
        <v>53</v>
      </c>
      <c r="B63">
        <v>2022</v>
      </c>
      <c r="C63" t="s">
        <v>333</v>
      </c>
      <c r="D63" t="s">
        <v>4</v>
      </c>
      <c r="E63" t="s">
        <v>7</v>
      </c>
      <c r="F63" t="s">
        <v>15</v>
      </c>
      <c r="K63">
        <v>0</v>
      </c>
      <c r="L63">
        <v>0</v>
      </c>
      <c r="M63">
        <v>0</v>
      </c>
      <c r="N63">
        <v>0</v>
      </c>
    </row>
    <row r="64" spans="1:14" x14ac:dyDescent="0.25">
      <c r="A64" t="s">
        <v>55</v>
      </c>
      <c r="B64">
        <v>2022</v>
      </c>
      <c r="C64" t="s">
        <v>331</v>
      </c>
      <c r="D64" t="s">
        <v>1</v>
      </c>
      <c r="E64" t="s">
        <v>2</v>
      </c>
      <c r="F64" t="s">
        <v>0</v>
      </c>
      <c r="G64">
        <v>1224.1065340136911</v>
      </c>
      <c r="H64">
        <v>206.03207397424052</v>
      </c>
      <c r="I64">
        <v>153.01331675171139</v>
      </c>
      <c r="J64">
        <v>27.104322136245443</v>
      </c>
      <c r="K64">
        <v>0.16831220833262553</v>
      </c>
      <c r="L64">
        <v>0.125</v>
      </c>
      <c r="M64">
        <v>2.2142126835459155E-2</v>
      </c>
      <c r="N64">
        <v>837.95682115149373</v>
      </c>
    </row>
    <row r="65" spans="1:14" x14ac:dyDescent="0.25">
      <c r="A65" t="s">
        <v>332</v>
      </c>
      <c r="B65" t="s">
        <v>332</v>
      </c>
      <c r="C65" t="s">
        <v>332</v>
      </c>
      <c r="D65" t="s">
        <v>332</v>
      </c>
      <c r="E65" t="s">
        <v>332</v>
      </c>
      <c r="F65" t="s">
        <v>332</v>
      </c>
      <c r="K65">
        <v>0</v>
      </c>
      <c r="L65">
        <v>0</v>
      </c>
      <c r="M65">
        <v>0</v>
      </c>
      <c r="N65">
        <v>0</v>
      </c>
    </row>
    <row r="66" spans="1:14" x14ac:dyDescent="0.25">
      <c r="A66" t="s">
        <v>54</v>
      </c>
      <c r="B66">
        <v>2022</v>
      </c>
      <c r="C66" t="s">
        <v>331</v>
      </c>
      <c r="D66" t="s">
        <v>1</v>
      </c>
      <c r="E66" t="s">
        <v>2</v>
      </c>
      <c r="F66" t="s">
        <v>0</v>
      </c>
      <c r="G66">
        <v>3056.4421176470591</v>
      </c>
      <c r="H66">
        <v>535.01290885341177</v>
      </c>
      <c r="I66">
        <v>382.05526470588239</v>
      </c>
      <c r="J66">
        <v>88.738588235294131</v>
      </c>
      <c r="K66">
        <v>0.17504434511106684</v>
      </c>
      <c r="L66">
        <v>0.125</v>
      </c>
      <c r="M66">
        <v>2.9033295845173002E-2</v>
      </c>
      <c r="N66">
        <v>2050.6353558524706</v>
      </c>
    </row>
    <row r="67" spans="1:14" x14ac:dyDescent="0.25">
      <c r="A67" t="s">
        <v>332</v>
      </c>
      <c r="B67" t="s">
        <v>332</v>
      </c>
      <c r="C67" t="s">
        <v>332</v>
      </c>
      <c r="D67" t="s">
        <v>332</v>
      </c>
      <c r="E67" t="s">
        <v>332</v>
      </c>
      <c r="F67" t="s">
        <v>332</v>
      </c>
      <c r="K67">
        <v>0</v>
      </c>
      <c r="L67">
        <v>0</v>
      </c>
      <c r="M67">
        <v>0</v>
      </c>
      <c r="N67">
        <v>0</v>
      </c>
    </row>
    <row r="68" spans="1:14" x14ac:dyDescent="0.25">
      <c r="A68" t="s">
        <v>53</v>
      </c>
      <c r="B68">
        <v>2022</v>
      </c>
      <c r="C68" t="s">
        <v>331</v>
      </c>
      <c r="D68" t="s">
        <v>1</v>
      </c>
      <c r="E68" t="s">
        <v>2</v>
      </c>
      <c r="F68" t="s">
        <v>0</v>
      </c>
      <c r="K68">
        <v>0</v>
      </c>
      <c r="L68">
        <v>0</v>
      </c>
      <c r="M68">
        <v>0</v>
      </c>
      <c r="N68">
        <v>0</v>
      </c>
    </row>
    <row r="69" spans="1:14" x14ac:dyDescent="0.25">
      <c r="A69" t="s">
        <v>332</v>
      </c>
      <c r="B69" t="s">
        <v>332</v>
      </c>
      <c r="C69" t="s">
        <v>332</v>
      </c>
      <c r="D69" t="s">
        <v>332</v>
      </c>
      <c r="E69" t="s">
        <v>332</v>
      </c>
      <c r="F69" t="s">
        <v>332</v>
      </c>
      <c r="K69">
        <v>0</v>
      </c>
      <c r="L69">
        <v>0</v>
      </c>
      <c r="M69">
        <v>0</v>
      </c>
      <c r="N69">
        <v>0</v>
      </c>
    </row>
    <row r="70" spans="1:14" x14ac:dyDescent="0.25">
      <c r="A70" t="s">
        <v>55</v>
      </c>
      <c r="B70">
        <v>2022</v>
      </c>
      <c r="C70" t="s">
        <v>331</v>
      </c>
      <c r="D70" t="s">
        <v>9</v>
      </c>
      <c r="E70" t="s">
        <v>10</v>
      </c>
      <c r="F70" t="s">
        <v>8</v>
      </c>
      <c r="K70">
        <v>0</v>
      </c>
      <c r="L70">
        <v>0</v>
      </c>
      <c r="M70">
        <v>0</v>
      </c>
      <c r="N70">
        <v>0</v>
      </c>
    </row>
    <row r="71" spans="1:14" x14ac:dyDescent="0.25">
      <c r="A71" t="s">
        <v>55</v>
      </c>
      <c r="B71">
        <v>2022</v>
      </c>
      <c r="C71" t="s">
        <v>331</v>
      </c>
      <c r="D71" t="s">
        <v>9</v>
      </c>
      <c r="E71" t="s">
        <v>12</v>
      </c>
      <c r="F71" t="s">
        <v>11</v>
      </c>
      <c r="K71">
        <v>0</v>
      </c>
      <c r="L71">
        <v>0</v>
      </c>
      <c r="M71">
        <v>0</v>
      </c>
      <c r="N71">
        <v>0</v>
      </c>
    </row>
    <row r="72" spans="1:14" x14ac:dyDescent="0.25">
      <c r="A72" t="s">
        <v>54</v>
      </c>
      <c r="B72">
        <v>2022</v>
      </c>
      <c r="C72" t="s">
        <v>331</v>
      </c>
      <c r="D72" t="s">
        <v>9</v>
      </c>
      <c r="E72" t="s">
        <v>10</v>
      </c>
      <c r="F72" t="s">
        <v>8</v>
      </c>
      <c r="K72">
        <v>0</v>
      </c>
      <c r="L72">
        <v>0</v>
      </c>
      <c r="M72">
        <v>0</v>
      </c>
      <c r="N72">
        <v>0</v>
      </c>
    </row>
    <row r="73" spans="1:14" x14ac:dyDescent="0.25">
      <c r="A73" t="s">
        <v>54</v>
      </c>
      <c r="B73">
        <v>2022</v>
      </c>
      <c r="C73" t="s">
        <v>331</v>
      </c>
      <c r="D73" t="s">
        <v>9</v>
      </c>
      <c r="E73" t="s">
        <v>12</v>
      </c>
      <c r="F73" t="s">
        <v>11</v>
      </c>
      <c r="G73">
        <v>-14.582212749000002</v>
      </c>
      <c r="H73">
        <v>0</v>
      </c>
      <c r="I73">
        <v>-1.8227765936250002</v>
      </c>
      <c r="J73">
        <v>0</v>
      </c>
      <c r="K73">
        <v>0</v>
      </c>
      <c r="L73">
        <v>0.125</v>
      </c>
      <c r="M73">
        <v>0</v>
      </c>
      <c r="N73">
        <v>-12.759436155375001</v>
      </c>
    </row>
    <row r="74" spans="1:14" x14ac:dyDescent="0.25">
      <c r="A74" t="s">
        <v>53</v>
      </c>
      <c r="B74">
        <v>2022</v>
      </c>
      <c r="C74" t="s">
        <v>331</v>
      </c>
      <c r="D74" t="s">
        <v>9</v>
      </c>
      <c r="E74" t="s">
        <v>10</v>
      </c>
      <c r="F74" t="s">
        <v>8</v>
      </c>
      <c r="K74">
        <v>0</v>
      </c>
      <c r="L74">
        <v>0</v>
      </c>
      <c r="M74">
        <v>0</v>
      </c>
      <c r="N74">
        <v>0</v>
      </c>
    </row>
    <row r="75" spans="1:14" x14ac:dyDescent="0.25">
      <c r="A75" t="s">
        <v>53</v>
      </c>
      <c r="B75">
        <v>2022</v>
      </c>
      <c r="C75" t="s">
        <v>331</v>
      </c>
      <c r="D75" t="s">
        <v>9</v>
      </c>
      <c r="E75" t="s">
        <v>12</v>
      </c>
      <c r="F75" t="s">
        <v>11</v>
      </c>
      <c r="G75">
        <v>22.873476185985034</v>
      </c>
      <c r="H75">
        <v>3.1056583918466329</v>
      </c>
      <c r="I75">
        <v>2.8591845232481292</v>
      </c>
      <c r="J75">
        <v>0.23164312949914367</v>
      </c>
      <c r="K75">
        <v>0.1357755317379141</v>
      </c>
      <c r="L75">
        <v>0.125</v>
      </c>
      <c r="M75">
        <v>1.0127150224812587E-2</v>
      </c>
      <c r="N75">
        <v>16.67699014139113</v>
      </c>
    </row>
    <row r="76" spans="1:14" x14ac:dyDescent="0.25">
      <c r="A76" t="s">
        <v>55</v>
      </c>
      <c r="B76">
        <v>2022</v>
      </c>
      <c r="C76" t="s">
        <v>331</v>
      </c>
      <c r="D76" t="s">
        <v>4</v>
      </c>
      <c r="E76" t="s">
        <v>5</v>
      </c>
      <c r="F76" t="s">
        <v>3</v>
      </c>
      <c r="K76">
        <v>0</v>
      </c>
      <c r="L76">
        <v>0</v>
      </c>
      <c r="M76">
        <v>0</v>
      </c>
      <c r="N76">
        <v>0</v>
      </c>
    </row>
    <row r="77" spans="1:14" x14ac:dyDescent="0.25">
      <c r="A77" t="s">
        <v>55</v>
      </c>
      <c r="B77">
        <v>2022</v>
      </c>
      <c r="C77" t="s">
        <v>331</v>
      </c>
      <c r="D77" t="s">
        <v>4</v>
      </c>
      <c r="E77" t="s">
        <v>7</v>
      </c>
      <c r="F77" t="s">
        <v>6</v>
      </c>
      <c r="K77">
        <v>0</v>
      </c>
      <c r="L77">
        <v>0</v>
      </c>
      <c r="M77">
        <v>0</v>
      </c>
      <c r="N77">
        <v>0</v>
      </c>
    </row>
    <row r="78" spans="1:14" x14ac:dyDescent="0.25">
      <c r="A78" t="s">
        <v>54</v>
      </c>
      <c r="B78">
        <v>2022</v>
      </c>
      <c r="C78" t="s">
        <v>331</v>
      </c>
      <c r="D78" t="s">
        <v>4</v>
      </c>
      <c r="E78" t="s">
        <v>5</v>
      </c>
      <c r="F78" t="s">
        <v>3</v>
      </c>
      <c r="K78">
        <v>0</v>
      </c>
      <c r="L78">
        <v>0</v>
      </c>
      <c r="M78">
        <v>0</v>
      </c>
      <c r="N78">
        <v>0</v>
      </c>
    </row>
    <row r="79" spans="1:14" x14ac:dyDescent="0.25">
      <c r="A79" t="s">
        <v>54</v>
      </c>
      <c r="B79">
        <v>2022</v>
      </c>
      <c r="C79" t="s">
        <v>331</v>
      </c>
      <c r="D79" t="s">
        <v>4</v>
      </c>
      <c r="E79" t="s">
        <v>7</v>
      </c>
      <c r="F79" t="s">
        <v>6</v>
      </c>
      <c r="K79">
        <v>0</v>
      </c>
      <c r="L79">
        <v>0</v>
      </c>
      <c r="M79">
        <v>0</v>
      </c>
      <c r="N79">
        <v>0</v>
      </c>
    </row>
    <row r="80" spans="1:14" x14ac:dyDescent="0.25">
      <c r="A80" t="s">
        <v>53</v>
      </c>
      <c r="B80">
        <v>2022</v>
      </c>
      <c r="C80" t="s">
        <v>331</v>
      </c>
      <c r="D80" t="s">
        <v>4</v>
      </c>
      <c r="E80" t="s">
        <v>5</v>
      </c>
      <c r="F80" t="s">
        <v>3</v>
      </c>
      <c r="K80">
        <v>0</v>
      </c>
      <c r="L80">
        <v>0</v>
      </c>
      <c r="M80">
        <v>0</v>
      </c>
      <c r="N80">
        <v>0</v>
      </c>
    </row>
    <row r="81" spans="1:14" x14ac:dyDescent="0.25">
      <c r="A81" t="s">
        <v>53</v>
      </c>
      <c r="B81">
        <v>2022</v>
      </c>
      <c r="C81" t="s">
        <v>331</v>
      </c>
      <c r="D81" t="s">
        <v>4</v>
      </c>
      <c r="E81" t="s">
        <v>7</v>
      </c>
      <c r="F81" t="s">
        <v>6</v>
      </c>
      <c r="G81">
        <v>18.29787142857143</v>
      </c>
      <c r="H81">
        <v>5.031914642857144</v>
      </c>
      <c r="I81">
        <v>2.2872339285714287</v>
      </c>
      <c r="J81">
        <v>0.27858509250000008</v>
      </c>
      <c r="K81">
        <v>0.27500000000000002</v>
      </c>
      <c r="L81">
        <v>0.125</v>
      </c>
      <c r="M81">
        <v>1.5225000000000002E-2</v>
      </c>
      <c r="N81">
        <v>10.700137764642857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F13"/>
  <sheetViews>
    <sheetView workbookViewId="0">
      <selection activeCell="E26" sqref="E26"/>
    </sheetView>
  </sheetViews>
  <sheetFormatPr defaultRowHeight="15" x14ac:dyDescent="0.25"/>
  <cols>
    <col min="1" max="1" width="15.85546875" bestFit="1" customWidth="1"/>
    <col min="2" max="2" width="25.42578125" bestFit="1" customWidth="1"/>
    <col min="4" max="4" width="10.7109375" bestFit="1" customWidth="1"/>
  </cols>
  <sheetData>
    <row r="1" spans="1:6" x14ac:dyDescent="0.25">
      <c r="A1" s="97" t="s">
        <v>238</v>
      </c>
      <c r="B1" s="11" t="s">
        <v>239</v>
      </c>
      <c r="C1" s="10"/>
      <c r="D1" s="10"/>
      <c r="E1" s="10"/>
      <c r="F1" s="11"/>
    </row>
    <row r="2" spans="1:6" x14ac:dyDescent="0.25">
      <c r="A2" s="9"/>
      <c r="B2" s="10"/>
      <c r="C2" s="10"/>
      <c r="D2" s="10"/>
      <c r="E2" s="10"/>
      <c r="F2" s="11"/>
    </row>
    <row r="3" spans="1:6" x14ac:dyDescent="0.25">
      <c r="A3" s="97" t="s">
        <v>240</v>
      </c>
      <c r="B3" s="10" t="s">
        <v>241</v>
      </c>
      <c r="C3" s="10"/>
      <c r="D3" s="10"/>
      <c r="E3" s="10"/>
      <c r="F3" s="11"/>
    </row>
    <row r="4" spans="1:6" x14ac:dyDescent="0.25">
      <c r="A4" s="9"/>
      <c r="B4" s="10"/>
      <c r="C4" s="58"/>
      <c r="D4" s="59"/>
      <c r="E4" s="60"/>
      <c r="F4" s="11"/>
    </row>
    <row r="5" spans="1:6" x14ac:dyDescent="0.25">
      <c r="A5" s="97" t="s">
        <v>242</v>
      </c>
      <c r="B5" s="98">
        <v>1</v>
      </c>
      <c r="C5" s="99" t="s">
        <v>105</v>
      </c>
      <c r="D5" s="98">
        <v>1</v>
      </c>
      <c r="E5" s="99" t="s">
        <v>243</v>
      </c>
      <c r="F5" s="100">
        <v>1</v>
      </c>
    </row>
    <row r="6" spans="1:6" x14ac:dyDescent="0.25">
      <c r="A6" s="97" t="s">
        <v>244</v>
      </c>
      <c r="B6" s="101">
        <f>+B5*D5</f>
        <v>1</v>
      </c>
      <c r="C6" s="102"/>
      <c r="D6" s="103"/>
      <c r="E6" s="99" t="s">
        <v>245</v>
      </c>
      <c r="F6" s="104">
        <v>2</v>
      </c>
    </row>
    <row r="7" spans="1:6" x14ac:dyDescent="0.25">
      <c r="A7" s="105"/>
      <c r="B7" s="18"/>
      <c r="C7" s="18"/>
      <c r="D7" s="18"/>
      <c r="E7" s="18"/>
      <c r="F7" s="104"/>
    </row>
    <row r="8" spans="1:6" x14ac:dyDescent="0.25">
      <c r="A8" s="97" t="s">
        <v>246</v>
      </c>
      <c r="B8" s="106" t="s">
        <v>247</v>
      </c>
      <c r="C8" s="106" t="s">
        <v>248</v>
      </c>
      <c r="D8" s="106" t="s">
        <v>249</v>
      </c>
      <c r="E8" s="18"/>
      <c r="F8" s="104"/>
    </row>
    <row r="9" spans="1:6" x14ac:dyDescent="0.25">
      <c r="A9" s="97" t="s">
        <v>250</v>
      </c>
      <c r="B9" s="109" t="e">
        <f>+IF(D9&lt;0,Recepcion!#REF!,"")</f>
        <v>#REF!</v>
      </c>
      <c r="C9" s="108" t="e">
        <f>+IF(D9&gt;0,D9,"")</f>
        <v>#REF!</v>
      </c>
      <c r="D9" s="107" t="e">
        <f>+Recepcion!#REF!</f>
        <v>#REF!</v>
      </c>
      <c r="E9" s="18"/>
      <c r="F9" s="104"/>
    </row>
    <row r="10" spans="1:6" x14ac:dyDescent="0.25">
      <c r="A10" s="97" t="s">
        <v>251</v>
      </c>
      <c r="B10" s="108" t="e">
        <f>+(IF(C9&lt;&gt;"",Recepcion!#REF!,""))*-1</f>
        <v>#REF!</v>
      </c>
      <c r="C10" t="e">
        <f>+IF(B9&lt;&gt;"",Recepcion!#REF!,"")</f>
        <v>#REF!</v>
      </c>
      <c r="D10" s="107" t="e">
        <f>+Recepcion!#REF!</f>
        <v>#REF!</v>
      </c>
      <c r="E10" s="18"/>
      <c r="F10" s="104"/>
    </row>
    <row r="11" spans="1:6" x14ac:dyDescent="0.25">
      <c r="A11" s="97" t="s">
        <v>252</v>
      </c>
      <c r="B11" s="108"/>
      <c r="E11" s="18"/>
      <c r="F11" s="104"/>
    </row>
    <row r="12" spans="1:6" x14ac:dyDescent="0.25">
      <c r="A12" s="97" t="s">
        <v>253</v>
      </c>
      <c r="B12" s="108" t="e">
        <f>(IF(C9&lt;&gt;"",Recepcion!#REF!,""))*-1</f>
        <v>#REF!</v>
      </c>
      <c r="C12" t="e">
        <f>+IF(B9&lt;&gt;"",Recepcion!#REF!,"")</f>
        <v>#REF!</v>
      </c>
      <c r="D12" s="107" t="e">
        <f>+Recepcion!#REF!</f>
        <v>#REF!</v>
      </c>
      <c r="E12" s="18"/>
      <c r="F12" s="104"/>
    </row>
    <row r="13" spans="1:6" x14ac:dyDescent="0.25">
      <c r="A13" s="97" t="s">
        <v>254</v>
      </c>
      <c r="B13" s="108"/>
      <c r="C13" s="108"/>
      <c r="D13" s="110" t="e">
        <f>+D9-(D10+D12)</f>
        <v>#REF!</v>
      </c>
      <c r="E13" s="10"/>
      <c r="F13" s="104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BR51"/>
  <sheetViews>
    <sheetView topLeftCell="D1" zoomScale="70" zoomScaleNormal="70" workbookViewId="0">
      <selection activeCell="I18" sqref="I18"/>
    </sheetView>
  </sheetViews>
  <sheetFormatPr defaultRowHeight="15" x14ac:dyDescent="0.25"/>
  <cols>
    <col min="1" max="1" width="12" bestFit="1" customWidth="1"/>
    <col min="2" max="2" width="24.42578125" bestFit="1" customWidth="1"/>
    <col min="3" max="3" width="12.5703125" customWidth="1"/>
    <col min="4" max="4" width="9.28515625" bestFit="1" customWidth="1"/>
    <col min="5" max="5" width="15.7109375" bestFit="1" customWidth="1"/>
    <col min="6" max="6" width="12.5703125" customWidth="1"/>
    <col min="7" max="7" width="9.5703125"/>
    <col min="8" max="8" width="15.7109375" bestFit="1" customWidth="1"/>
    <col min="9" max="9" width="23.5703125" bestFit="1" customWidth="1"/>
    <col min="10" max="10" width="11" customWidth="1"/>
    <col min="11" max="11" width="15.7109375" bestFit="1" customWidth="1"/>
    <col min="12" max="12" width="12.140625" bestFit="1" customWidth="1"/>
    <col min="13" max="13" width="16.5703125" customWidth="1"/>
    <col min="14" max="14" width="9.5703125"/>
    <col min="15" max="15" width="13.85546875" bestFit="1" customWidth="1"/>
    <col min="16" max="16" width="8.85546875" bestFit="1" customWidth="1"/>
    <col min="17" max="17" width="14.28515625" customWidth="1"/>
    <col min="18" max="18" width="9.85546875" customWidth="1"/>
    <col min="19" max="19" width="14.5703125" bestFit="1" customWidth="1"/>
    <col min="20" max="20" width="11" bestFit="1" customWidth="1"/>
    <col min="21" max="22" width="9.5703125"/>
    <col min="23" max="24" width="11.140625" bestFit="1" customWidth="1"/>
    <col min="25" max="25" width="5.5703125" bestFit="1" customWidth="1"/>
    <col min="26" max="26" width="11.140625" bestFit="1" customWidth="1"/>
    <col min="27" max="27" width="10.85546875" customWidth="1"/>
    <col min="28" max="28" width="15.28515625" customWidth="1"/>
    <col min="29" max="29" width="9.5703125"/>
    <col min="30" max="30" width="4" bestFit="1" customWidth="1"/>
    <col min="31" max="31" width="15.42578125" bestFit="1" customWidth="1"/>
    <col min="32" max="32" width="12.42578125" customWidth="1"/>
    <col min="33" max="33" width="32" bestFit="1" customWidth="1"/>
    <col min="34" max="35" width="3.28515625" customWidth="1"/>
    <col min="36" max="36" width="14.7109375" bestFit="1" customWidth="1"/>
    <col min="37" max="37" width="12" bestFit="1" customWidth="1"/>
    <col min="38" max="38" width="8.140625" bestFit="1" customWidth="1"/>
    <col min="39" max="39" width="12" bestFit="1" customWidth="1"/>
    <col min="40" max="40" width="9.5703125"/>
    <col min="41" max="41" width="4" bestFit="1" customWidth="1"/>
    <col min="42" max="42" width="4.85546875" bestFit="1" customWidth="1"/>
    <col min="43" max="43" width="5.5703125" customWidth="1"/>
    <col min="44" max="44" width="14.85546875" bestFit="1" customWidth="1"/>
    <col min="45" max="48" width="9.5703125"/>
    <col min="49" max="49" width="9.85546875" customWidth="1"/>
    <col min="50" max="63" width="9.5703125"/>
    <col min="64" max="64" width="17.5703125" customWidth="1"/>
    <col min="65" max="65" width="20.7109375" style="43" customWidth="1"/>
    <col min="66" max="66" width="25.5703125" customWidth="1"/>
    <col min="67" max="67" width="11.42578125" customWidth="1"/>
    <col min="68" max="68" width="26" customWidth="1"/>
    <col min="69" max="69" width="7.5703125" customWidth="1"/>
    <col min="70" max="70" width="12.7109375" customWidth="1"/>
  </cols>
  <sheetData>
    <row r="1" spans="1:70" ht="28.5" x14ac:dyDescent="0.25">
      <c r="A1" s="223" t="s">
        <v>77</v>
      </c>
      <c r="B1" s="224"/>
      <c r="C1" s="224"/>
      <c r="D1" s="224"/>
      <c r="E1" s="224"/>
      <c r="F1" s="225"/>
      <c r="H1" s="223" t="s">
        <v>88</v>
      </c>
      <c r="I1" s="224"/>
      <c r="J1" s="224"/>
      <c r="K1" s="224"/>
      <c r="L1" s="224"/>
      <c r="M1" s="225"/>
      <c r="O1" s="223" t="s">
        <v>89</v>
      </c>
      <c r="P1" s="224"/>
      <c r="Q1" s="224"/>
      <c r="R1" s="224"/>
      <c r="S1" s="224"/>
      <c r="T1" s="225"/>
      <c r="V1" s="223" t="s">
        <v>90</v>
      </c>
      <c r="W1" s="224"/>
      <c r="X1" s="224"/>
      <c r="Y1" s="224"/>
      <c r="Z1" s="224"/>
      <c r="AA1" s="224"/>
      <c r="AB1" s="225"/>
      <c r="AD1" s="223" t="s">
        <v>91</v>
      </c>
      <c r="AE1" s="224"/>
      <c r="AF1" s="224"/>
      <c r="AG1" s="224"/>
      <c r="AH1" s="224"/>
      <c r="AI1" s="224"/>
      <c r="AJ1" s="224"/>
      <c r="AK1" s="224"/>
      <c r="AL1" s="224"/>
      <c r="AM1" s="225"/>
      <c r="AO1" s="223" t="s">
        <v>92</v>
      </c>
      <c r="AP1" s="224"/>
      <c r="AQ1" s="224"/>
      <c r="AR1" s="224"/>
      <c r="AS1" s="224"/>
      <c r="AT1" s="224"/>
      <c r="AU1" s="224"/>
      <c r="AV1" s="224"/>
      <c r="AW1" s="224"/>
      <c r="AX1" s="225"/>
      <c r="AY1" s="16"/>
      <c r="AZ1" s="226" t="s">
        <v>93</v>
      </c>
      <c r="BA1" s="227"/>
      <c r="BB1" s="227"/>
      <c r="BC1" s="227"/>
      <c r="BD1" s="227"/>
      <c r="BE1" s="227"/>
      <c r="BF1" s="227"/>
      <c r="BG1" s="227"/>
      <c r="BH1" s="227"/>
      <c r="BI1" s="228"/>
      <c r="BJ1" s="16"/>
      <c r="BK1" s="16"/>
      <c r="BL1" s="223" t="s">
        <v>94</v>
      </c>
      <c r="BM1" s="224"/>
      <c r="BN1" s="224"/>
      <c r="BO1" s="224"/>
      <c r="BP1" s="224"/>
      <c r="BQ1" s="224"/>
      <c r="BR1" s="225"/>
    </row>
    <row r="2" spans="1:70" x14ac:dyDescent="0.25">
      <c r="A2" s="9"/>
      <c r="B2" s="10"/>
      <c r="C2" s="10"/>
      <c r="D2" s="10"/>
      <c r="E2" s="10"/>
      <c r="F2" s="11"/>
      <c r="H2" s="9"/>
      <c r="I2" s="10"/>
      <c r="J2" s="10"/>
      <c r="K2" s="10"/>
      <c r="L2" s="10"/>
      <c r="M2" s="11"/>
      <c r="O2" s="9"/>
      <c r="P2" s="10"/>
      <c r="Q2" s="10"/>
      <c r="R2" s="10"/>
      <c r="S2" s="10"/>
      <c r="T2" s="11"/>
      <c r="V2" s="17"/>
      <c r="W2" s="10"/>
      <c r="X2" s="10"/>
      <c r="Y2" s="10"/>
      <c r="Z2" s="10"/>
      <c r="AA2" s="10"/>
      <c r="AB2" s="11"/>
      <c r="AD2" s="9"/>
      <c r="AE2" s="10"/>
      <c r="AF2" s="10"/>
      <c r="AG2" s="10"/>
      <c r="AH2" s="10"/>
      <c r="AI2" s="10"/>
      <c r="AJ2" s="10"/>
      <c r="AK2" s="10"/>
      <c r="AL2" s="10"/>
      <c r="AM2" s="11"/>
      <c r="AO2" s="9"/>
      <c r="AP2" s="10"/>
      <c r="AQ2" s="10"/>
      <c r="AR2" s="10"/>
      <c r="AS2" s="229"/>
      <c r="AT2" s="229"/>
      <c r="AU2" s="229"/>
      <c r="AV2" s="10"/>
      <c r="AW2" s="10"/>
      <c r="AX2" s="11"/>
      <c r="AY2" s="10"/>
      <c r="AZ2" s="9"/>
      <c r="BA2" s="10"/>
      <c r="BB2" s="10"/>
      <c r="BC2" s="10"/>
      <c r="BD2" s="10"/>
      <c r="BE2" s="10"/>
      <c r="BF2" s="10"/>
      <c r="BG2" s="10"/>
      <c r="BH2" s="10"/>
      <c r="BI2" s="11"/>
      <c r="BJ2" s="10"/>
      <c r="BK2" s="10"/>
      <c r="BL2" s="9"/>
      <c r="BM2" s="18"/>
      <c r="BN2" s="10"/>
      <c r="BO2" s="10"/>
      <c r="BP2" s="10"/>
      <c r="BQ2" s="10"/>
      <c r="BR2" s="11"/>
    </row>
    <row r="3" spans="1:70" ht="30" x14ac:dyDescent="0.25">
      <c r="A3" s="12" t="s">
        <v>78</v>
      </c>
      <c r="B3" s="10">
        <v>1</v>
      </c>
      <c r="C3" s="10"/>
      <c r="D3" s="10" t="s">
        <v>79</v>
      </c>
      <c r="E3" s="10" t="s">
        <v>80</v>
      </c>
      <c r="F3" s="11"/>
      <c r="H3" s="12" t="s">
        <v>95</v>
      </c>
      <c r="I3" s="10" t="s">
        <v>224</v>
      </c>
      <c r="J3" s="10"/>
      <c r="K3" s="10"/>
      <c r="L3" s="10"/>
      <c r="M3" s="11"/>
      <c r="O3" s="12" t="s">
        <v>96</v>
      </c>
      <c r="P3" s="19" t="str">
        <f>+IF(S4=1,"SGL","OTH")</f>
        <v>OTH</v>
      </c>
      <c r="Q3" s="230" t="s">
        <v>97</v>
      </c>
      <c r="R3" s="230"/>
      <c r="S3" s="20" t="s">
        <v>98</v>
      </c>
      <c r="T3" s="11"/>
      <c r="V3" s="231" t="s">
        <v>99</v>
      </c>
      <c r="W3" s="232" t="s">
        <v>100</v>
      </c>
      <c r="X3" s="232" t="s">
        <v>101</v>
      </c>
      <c r="Y3" s="232" t="s">
        <v>102</v>
      </c>
      <c r="Z3" s="232" t="s">
        <v>103</v>
      </c>
      <c r="AA3" s="10"/>
      <c r="AB3" s="234" t="s">
        <v>104</v>
      </c>
      <c r="AD3" s="21"/>
      <c r="AE3" s="22" t="s">
        <v>105</v>
      </c>
      <c r="AF3" s="23" t="e">
        <f>'[1]PRI-EXC-BLEN BOOKING INST'!#REF!</f>
        <v>#REF!</v>
      </c>
      <c r="AG3" s="217" t="str">
        <f>IF(P12="USD","Recordar: La Opp esta en USD, debes agregar la tasa de cambio en la pestaña; For UWs (NewPolicies_Renewals), celda Z4","")</f>
        <v/>
      </c>
      <c r="AH3" s="217"/>
      <c r="AI3" s="217"/>
      <c r="AJ3" s="22" t="s">
        <v>106</v>
      </c>
      <c r="AK3" s="24" t="e">
        <f>'[1]PRI-EXC-BLEN BOOKING INST'!#REF!</f>
        <v>#REF!</v>
      </c>
      <c r="AL3" s="10"/>
      <c r="AM3" s="11"/>
      <c r="AO3" s="9"/>
      <c r="AP3" s="10"/>
      <c r="AQ3" s="10"/>
      <c r="AR3" s="10"/>
      <c r="AS3" s="10"/>
      <c r="AT3" s="10"/>
      <c r="AU3" s="10"/>
      <c r="AV3" s="10"/>
      <c r="AW3" s="10"/>
      <c r="AX3" s="11"/>
      <c r="AY3" s="10"/>
      <c r="AZ3" s="9"/>
      <c r="BA3" s="10"/>
      <c r="BB3" s="10"/>
      <c r="BC3" s="10"/>
      <c r="BD3" s="10"/>
      <c r="BE3" s="10"/>
      <c r="BF3" s="10"/>
      <c r="BG3" s="10"/>
      <c r="BH3" s="10"/>
      <c r="BI3" s="11"/>
      <c r="BJ3" s="10"/>
      <c r="BK3" s="10"/>
      <c r="BL3" s="12" t="s">
        <v>107</v>
      </c>
      <c r="BM3" s="18" t="s">
        <v>108</v>
      </c>
      <c r="BN3" s="25" t="s">
        <v>109</v>
      </c>
      <c r="BO3" s="25" t="s">
        <v>110</v>
      </c>
      <c r="BP3" s="10"/>
      <c r="BQ3" s="10"/>
      <c r="BR3" s="11"/>
    </row>
    <row r="4" spans="1:70" ht="15.75" thickBot="1" x14ac:dyDescent="0.3">
      <c r="A4" s="13"/>
      <c r="B4" s="10"/>
      <c r="C4" s="10"/>
      <c r="D4" s="10" t="s">
        <v>81</v>
      </c>
      <c r="E4" s="10" t="s">
        <v>82</v>
      </c>
      <c r="F4" s="11"/>
      <c r="H4" s="9"/>
      <c r="I4" s="10"/>
      <c r="J4" s="10"/>
      <c r="K4" s="10"/>
      <c r="L4" s="10"/>
      <c r="M4" s="11"/>
      <c r="O4" s="9"/>
      <c r="P4" s="10"/>
      <c r="Q4" s="230"/>
      <c r="R4" s="230"/>
      <c r="S4" s="19">
        <v>2</v>
      </c>
      <c r="T4" s="11"/>
      <c r="V4" s="231" t="s">
        <v>111</v>
      </c>
      <c r="W4" s="232"/>
      <c r="X4" s="233"/>
      <c r="Y4" s="233"/>
      <c r="Z4" s="233"/>
      <c r="AA4" s="10"/>
      <c r="AB4" s="234"/>
      <c r="AD4" s="21"/>
      <c r="AE4" s="22" t="s">
        <v>112</v>
      </c>
      <c r="AF4" s="23" t="e">
        <f>'[1]PRI-EXC-BLEN BOOKING INST'!#REF!</f>
        <v>#REF!</v>
      </c>
      <c r="AG4" s="217"/>
      <c r="AH4" s="217"/>
      <c r="AI4" s="217"/>
      <c r="AJ4" s="22" t="s">
        <v>113</v>
      </c>
      <c r="AK4" s="24" t="e">
        <f>'[1]PRI-EXC-BLEN BOOKING INST'!#REF!</f>
        <v>#REF!</v>
      </c>
      <c r="AL4" s="10"/>
      <c r="AM4" s="11"/>
      <c r="AO4" s="9"/>
      <c r="AP4" s="10"/>
      <c r="AQ4" s="10"/>
      <c r="AR4" s="10"/>
      <c r="AS4" s="10"/>
      <c r="AT4" s="10"/>
      <c r="AU4" s="10"/>
      <c r="AV4" s="10"/>
      <c r="AW4" s="10"/>
      <c r="AX4" s="11"/>
      <c r="AY4" s="10"/>
      <c r="AZ4" s="9"/>
      <c r="BA4" s="10"/>
      <c r="BB4" s="10"/>
      <c r="BC4" s="10"/>
      <c r="BD4" s="10"/>
      <c r="BE4" s="10"/>
      <c r="BF4" s="10"/>
      <c r="BG4" s="10"/>
      <c r="BH4" s="10"/>
      <c r="BI4" s="11"/>
      <c r="BJ4" s="10"/>
      <c r="BK4" s="10"/>
      <c r="BL4" s="9"/>
      <c r="BM4" s="18"/>
      <c r="BN4" s="10"/>
      <c r="BO4" s="10"/>
      <c r="BP4" s="10"/>
      <c r="BQ4" s="10"/>
      <c r="BR4" s="11"/>
    </row>
    <row r="5" spans="1:70" ht="27" x14ac:dyDescent="0.25">
      <c r="A5" s="12" t="s">
        <v>83</v>
      </c>
      <c r="B5" s="10" t="e">
        <f>IF('[1]PRI-EXC-BLEN BOOKING INST'!#REF!="","1",";11")</f>
        <v>#REF!</v>
      </c>
      <c r="C5" s="10"/>
      <c r="D5" s="10"/>
      <c r="E5" s="10"/>
      <c r="F5" s="11"/>
      <c r="H5" s="9"/>
      <c r="I5" s="10"/>
      <c r="J5" s="10"/>
      <c r="K5" s="10"/>
      <c r="L5" s="10"/>
      <c r="M5" s="11"/>
      <c r="O5" s="9"/>
      <c r="P5" s="10"/>
      <c r="Q5" s="10"/>
      <c r="R5" s="10"/>
      <c r="S5" s="10"/>
      <c r="T5" s="11"/>
      <c r="V5" s="17"/>
      <c r="W5" s="26" t="e">
        <f>+I24</f>
        <v>#REF!</v>
      </c>
      <c r="X5" s="26"/>
      <c r="Y5" s="19"/>
      <c r="Z5" s="26"/>
      <c r="AA5" s="10"/>
      <c r="AB5" s="27"/>
      <c r="AD5" s="9"/>
      <c r="AE5" s="10"/>
      <c r="AF5" s="10"/>
      <c r="AG5" s="217"/>
      <c r="AH5" s="217"/>
      <c r="AI5" s="217"/>
      <c r="AJ5" s="10"/>
      <c r="AK5" s="10"/>
      <c r="AL5" s="10"/>
      <c r="AM5" s="11"/>
      <c r="AO5" s="9"/>
      <c r="AP5" s="10"/>
      <c r="AQ5" s="10"/>
      <c r="AR5" s="10"/>
      <c r="AS5" s="10"/>
      <c r="AT5" s="10"/>
      <c r="AU5" s="10"/>
      <c r="AV5" s="10"/>
      <c r="AW5" s="10"/>
      <c r="AX5" s="11"/>
      <c r="AY5" s="10"/>
      <c r="AZ5" s="28" t="s">
        <v>114</v>
      </c>
      <c r="BA5" s="10" t="s">
        <v>115</v>
      </c>
      <c r="BB5" s="10"/>
      <c r="BC5" s="10"/>
      <c r="BD5" s="10"/>
      <c r="BE5" s="10"/>
      <c r="BF5" s="10"/>
      <c r="BG5" s="10"/>
      <c r="BH5" s="10"/>
      <c r="BI5" s="11"/>
      <c r="BJ5" s="10"/>
      <c r="BK5" s="10"/>
      <c r="BL5" s="223" t="s">
        <v>93</v>
      </c>
      <c r="BM5" s="224"/>
      <c r="BN5" s="224"/>
      <c r="BO5" s="224"/>
      <c r="BP5" s="224"/>
      <c r="BQ5" s="224"/>
      <c r="BR5" s="225"/>
    </row>
    <row r="6" spans="1:70" x14ac:dyDescent="0.25">
      <c r="A6" s="13"/>
      <c r="B6" s="10"/>
      <c r="C6" s="10"/>
      <c r="D6" s="10"/>
      <c r="E6" s="10"/>
      <c r="F6" s="11"/>
      <c r="H6" s="12" t="s">
        <v>116</v>
      </c>
      <c r="I6" s="10" t="str">
        <f>+'FILL OUT'!L4</f>
        <v>MRLN19AONBENE-5</v>
      </c>
      <c r="J6" s="10"/>
      <c r="K6" s="10"/>
      <c r="L6" s="10"/>
      <c r="M6" s="11"/>
      <c r="O6" s="12" t="s">
        <v>117</v>
      </c>
      <c r="P6" s="10" t="s">
        <v>118</v>
      </c>
      <c r="Q6" s="10" t="s">
        <v>119</v>
      </c>
      <c r="R6" s="10"/>
      <c r="S6" s="20" t="s">
        <v>120</v>
      </c>
      <c r="T6" s="11"/>
      <c r="V6" s="17"/>
      <c r="W6" s="29" t="e">
        <f>+W5</f>
        <v>#REF!</v>
      </c>
      <c r="X6" s="29"/>
      <c r="Y6" s="30"/>
      <c r="Z6" s="31"/>
      <c r="AA6" s="19"/>
      <c r="AB6" s="27"/>
      <c r="AD6" s="9"/>
      <c r="AE6" s="10"/>
      <c r="AF6" s="10"/>
      <c r="AG6" s="217"/>
      <c r="AH6" s="217"/>
      <c r="AI6" s="217"/>
      <c r="AJ6" s="10"/>
      <c r="AK6" s="10"/>
      <c r="AL6" s="10"/>
      <c r="AM6" s="11"/>
      <c r="AO6" s="9"/>
      <c r="AP6" s="10"/>
      <c r="AQ6" s="10"/>
      <c r="AR6" s="10"/>
      <c r="AS6" s="10"/>
      <c r="AT6" s="10"/>
      <c r="AU6" s="10"/>
      <c r="AV6" s="10"/>
      <c r="AW6" s="10"/>
      <c r="AX6" s="11"/>
      <c r="AY6" s="10"/>
      <c r="AZ6" s="9"/>
      <c r="BA6" s="10"/>
      <c r="BB6" s="10"/>
      <c r="BC6" s="10"/>
      <c r="BD6" s="10"/>
      <c r="BE6" s="10"/>
      <c r="BF6" s="10"/>
      <c r="BG6" s="10"/>
      <c r="BH6" s="10"/>
      <c r="BI6" s="11"/>
      <c r="BJ6" s="10"/>
      <c r="BK6" s="10"/>
      <c r="BL6" s="9"/>
      <c r="BM6" s="18"/>
      <c r="BN6" s="10" t="s">
        <v>121</v>
      </c>
      <c r="BO6" s="10"/>
      <c r="BP6" s="10"/>
      <c r="BQ6" s="10"/>
      <c r="BR6" s="10" t="s">
        <v>121</v>
      </c>
    </row>
    <row r="7" spans="1:70" ht="28.5" x14ac:dyDescent="0.25">
      <c r="A7" s="12" t="s">
        <v>84</v>
      </c>
      <c r="B7" s="14" t="e">
        <f>'[1]PRI-EXC-BLEN BOOKING INST'!#REF!</f>
        <v>#REF!</v>
      </c>
      <c r="C7" s="10"/>
      <c r="D7" s="10"/>
      <c r="E7" s="10"/>
      <c r="F7" s="11"/>
      <c r="H7" s="9"/>
      <c r="I7" s="10"/>
      <c r="J7" s="10"/>
      <c r="K7" s="10"/>
      <c r="L7" s="10"/>
      <c r="M7" s="11"/>
      <c r="O7" s="9"/>
      <c r="P7" s="10"/>
      <c r="Q7" s="10"/>
      <c r="R7" s="10"/>
      <c r="S7" s="10" t="e">
        <f>+'[1]PRI-EXC-BLEN BOOKING INST'!#REF!</f>
        <v>#REF!</v>
      </c>
      <c r="T7" s="11"/>
      <c r="V7" s="17"/>
      <c r="W7" s="31"/>
      <c r="X7" s="31"/>
      <c r="Y7" s="30"/>
      <c r="Z7" s="31"/>
      <c r="AA7" s="19"/>
      <c r="AB7" s="27"/>
      <c r="AD7" s="32" t="s">
        <v>122</v>
      </c>
      <c r="AE7" s="33" t="s">
        <v>123</v>
      </c>
      <c r="AF7" s="10"/>
      <c r="AG7" s="33" t="s">
        <v>124</v>
      </c>
      <c r="AH7" s="22"/>
      <c r="AI7" s="10"/>
      <c r="AJ7" s="10"/>
      <c r="AK7" s="33" t="s">
        <v>125</v>
      </c>
      <c r="AL7" s="33" t="s">
        <v>126</v>
      </c>
      <c r="AM7" s="34" t="s">
        <v>127</v>
      </c>
      <c r="AO7" s="32" t="s">
        <v>122</v>
      </c>
      <c r="AP7" s="33" t="s">
        <v>128</v>
      </c>
      <c r="AQ7" s="33" t="s">
        <v>128</v>
      </c>
      <c r="AR7" s="33" t="s">
        <v>129</v>
      </c>
      <c r="AS7" s="10"/>
      <c r="AT7" s="35"/>
      <c r="AU7" s="10"/>
      <c r="AV7" s="10"/>
      <c r="AW7" s="10"/>
      <c r="AX7" s="11"/>
      <c r="AY7" s="10"/>
      <c r="AZ7" s="9"/>
      <c r="BA7" s="10"/>
      <c r="BB7" s="10"/>
      <c r="BC7" s="10"/>
      <c r="BD7" s="10"/>
      <c r="BE7" s="10"/>
      <c r="BF7" s="10"/>
      <c r="BG7" s="10"/>
      <c r="BH7" s="10"/>
      <c r="BI7" s="11"/>
      <c r="BJ7" s="10"/>
      <c r="BK7" s="10"/>
      <c r="BL7" s="12" t="s">
        <v>130</v>
      </c>
      <c r="BM7" s="36" t="s">
        <v>131</v>
      </c>
      <c r="BN7" s="10" t="s">
        <v>132</v>
      </c>
      <c r="BO7" s="10"/>
      <c r="BP7" s="33" t="s">
        <v>133</v>
      </c>
      <c r="BR7" s="11">
        <v>4135</v>
      </c>
    </row>
    <row r="8" spans="1:70" x14ac:dyDescent="0.25">
      <c r="A8" s="13"/>
      <c r="B8" s="10"/>
      <c r="C8" s="10"/>
      <c r="D8" s="10"/>
      <c r="E8" s="10"/>
      <c r="F8" s="11"/>
      <c r="H8" s="12" t="s">
        <v>134</v>
      </c>
      <c r="I8" s="36" t="s">
        <v>225</v>
      </c>
      <c r="J8" s="10" t="s">
        <v>135</v>
      </c>
      <c r="K8" s="10"/>
      <c r="L8" s="10"/>
      <c r="M8" s="11"/>
      <c r="O8" s="9"/>
      <c r="P8" s="10"/>
      <c r="Q8" s="10"/>
      <c r="R8" s="10"/>
      <c r="S8" s="10"/>
      <c r="T8" s="11"/>
      <c r="V8" s="17"/>
      <c r="W8" s="37"/>
      <c r="X8" s="37"/>
      <c r="Y8" s="10"/>
      <c r="Z8" s="37"/>
      <c r="AA8" s="10"/>
      <c r="AB8" s="38"/>
      <c r="AD8" s="9"/>
      <c r="AE8" s="10">
        <v>10</v>
      </c>
      <c r="AF8" s="10"/>
      <c r="AG8" s="10" t="s">
        <v>136</v>
      </c>
      <c r="AH8" s="22"/>
      <c r="AI8" s="10"/>
      <c r="AJ8" s="10"/>
      <c r="AK8" s="24" t="e">
        <f>+'[1]PRI-EXC-BLEN BOOKING INST'!#REF!</f>
        <v>#REF!</v>
      </c>
      <c r="AL8" s="39"/>
      <c r="AM8" s="11" t="str">
        <f>IF(AG8&lt;&gt;"","1","")</f>
        <v>1</v>
      </c>
      <c r="AO8" s="40">
        <v>2</v>
      </c>
      <c r="AP8" s="41">
        <v>1</v>
      </c>
      <c r="AQ8" s="41" t="s">
        <v>137</v>
      </c>
      <c r="AR8" s="41" t="s">
        <v>137</v>
      </c>
      <c r="AS8" s="10"/>
      <c r="AT8" s="211" t="s">
        <v>138</v>
      </c>
      <c r="AU8" s="211"/>
      <c r="AV8" s="211"/>
      <c r="AW8" s="10"/>
      <c r="AX8" s="11"/>
      <c r="AY8" s="10"/>
      <c r="AZ8" s="9"/>
      <c r="BA8" s="10"/>
      <c r="BB8" s="10"/>
      <c r="BC8" s="10"/>
      <c r="BD8" s="10"/>
      <c r="BE8" s="10"/>
      <c r="BF8" s="10"/>
      <c r="BG8" s="10"/>
      <c r="BH8" s="10"/>
      <c r="BI8" s="11"/>
      <c r="BJ8" s="10"/>
      <c r="BK8" s="10"/>
      <c r="BL8" s="12" t="s">
        <v>139</v>
      </c>
      <c r="BM8" s="36" t="s">
        <v>131</v>
      </c>
      <c r="BN8" s="10" t="s">
        <v>140</v>
      </c>
      <c r="BO8" s="10"/>
      <c r="BP8" s="33" t="s">
        <v>141</v>
      </c>
      <c r="BQ8" s="36" t="s">
        <v>131</v>
      </c>
      <c r="BR8" s="11" t="s">
        <v>142</v>
      </c>
    </row>
    <row r="9" spans="1:70" x14ac:dyDescent="0.25">
      <c r="A9" s="12" t="s">
        <v>85</v>
      </c>
      <c r="B9" s="10" t="str">
        <f>+VLOOKUP('FILL OUT'!$M$4,'Base de Datos'!O2:$Q$7,3,FALSE)</f>
        <v>ONNRG</v>
      </c>
      <c r="C9" s="10"/>
      <c r="D9" s="10"/>
      <c r="E9" s="10"/>
      <c r="F9" s="11"/>
      <c r="H9" s="9"/>
      <c r="I9" s="10"/>
      <c r="J9" s="10"/>
      <c r="K9" s="10"/>
      <c r="L9" s="10"/>
      <c r="M9" s="11"/>
      <c r="O9" s="12" t="s">
        <v>143</v>
      </c>
      <c r="P9" s="42" t="e">
        <f>IF('[1]PRI-EXC-BLEN BOOKING INST'!#REF!="Direct","ASD","BRK")</f>
        <v>#REF!</v>
      </c>
      <c r="Q9" s="10" t="e">
        <f>IF(P9="ASD","Assured Direct","Through Broker")</f>
        <v>#REF!</v>
      </c>
      <c r="R9" s="10"/>
      <c r="S9" s="10"/>
      <c r="T9" s="11"/>
      <c r="V9" s="17"/>
      <c r="W9" s="212" t="s">
        <v>144</v>
      </c>
      <c r="X9" s="212"/>
      <c r="Y9" s="212"/>
      <c r="Z9" s="212"/>
      <c r="AA9" s="212"/>
      <c r="AB9" s="38"/>
      <c r="AD9" s="9"/>
      <c r="AE9" s="10"/>
      <c r="AF9" s="10"/>
      <c r="AG9" s="10" t="s">
        <v>145</v>
      </c>
      <c r="AH9" s="22"/>
      <c r="AI9" s="10"/>
      <c r="AJ9" s="10"/>
      <c r="AK9" s="24"/>
      <c r="AL9" s="39"/>
      <c r="AM9" s="11">
        <v>7</v>
      </c>
      <c r="AO9" s="9" t="e">
        <f>IF('[1]PRI-EXC-BLEN BOOKING INST'!$I$2=[1]DataBase!#REF!,"2","")</f>
        <v>#REF!</v>
      </c>
      <c r="AP9" s="10">
        <v>2</v>
      </c>
      <c r="AQ9" s="10" t="s">
        <v>146</v>
      </c>
      <c r="AR9" s="10" t="s">
        <v>147</v>
      </c>
      <c r="AS9" s="10"/>
      <c r="AT9" s="211"/>
      <c r="AU9" s="211"/>
      <c r="AV9" s="211"/>
      <c r="AW9" s="10"/>
      <c r="AX9" s="11"/>
      <c r="AY9" s="10"/>
      <c r="AZ9" s="9"/>
      <c r="BA9" s="10"/>
      <c r="BB9" s="10"/>
      <c r="BC9" s="10"/>
      <c r="BD9" s="10"/>
      <c r="BE9" s="10"/>
      <c r="BF9" s="10"/>
      <c r="BG9" s="10"/>
      <c r="BH9" s="10"/>
      <c r="BI9" s="11"/>
      <c r="BJ9" s="10"/>
      <c r="BK9" s="10"/>
      <c r="BL9" s="13"/>
      <c r="BM9" s="18"/>
      <c r="BN9" s="10"/>
      <c r="BO9" s="10"/>
      <c r="BP9" s="33" t="s">
        <v>148</v>
      </c>
      <c r="BQ9" s="36" t="s">
        <v>131</v>
      </c>
      <c r="BR9" s="11" t="s">
        <v>149</v>
      </c>
    </row>
    <row r="10" spans="1:70" ht="23.25" x14ac:dyDescent="0.25">
      <c r="A10" s="13"/>
      <c r="B10" s="10"/>
      <c r="C10" s="10"/>
      <c r="D10" s="10"/>
      <c r="E10" s="10"/>
      <c r="F10" s="11"/>
      <c r="H10" s="12" t="s">
        <v>150</v>
      </c>
      <c r="I10" s="36" t="s">
        <v>226</v>
      </c>
      <c r="J10" s="10" t="s">
        <v>151</v>
      </c>
      <c r="K10" s="10"/>
      <c r="L10" s="10"/>
      <c r="M10" s="11"/>
      <c r="O10" s="9"/>
      <c r="P10" s="10"/>
      <c r="Q10" s="10"/>
      <c r="R10" s="10"/>
      <c r="S10" s="10"/>
      <c r="T10" s="11"/>
      <c r="V10" s="17"/>
      <c r="W10" s="212"/>
      <c r="X10" s="212"/>
      <c r="Y10" s="212"/>
      <c r="Z10" s="212"/>
      <c r="AA10" s="212"/>
      <c r="AB10" s="38"/>
      <c r="AD10" s="9"/>
      <c r="AE10" s="10">
        <v>20</v>
      </c>
      <c r="AF10" s="10"/>
      <c r="AG10" s="10" t="s">
        <v>152</v>
      </c>
      <c r="AH10" s="22"/>
      <c r="AI10" s="10"/>
      <c r="AJ10" s="10"/>
      <c r="AK10" s="24" t="e">
        <f>+'[1]PRI-EXC-BLEN BOOKING INST'!#REF!</f>
        <v>#REF!</v>
      </c>
      <c r="AL10" s="39"/>
      <c r="AM10" s="11">
        <v>1</v>
      </c>
      <c r="AO10" s="9" t="e">
        <f>IF('[1]PRI-EXC-BLEN BOOKING INST'!$I$2=[1]DataBase!#REF!,"2",IF('[1]PRI-EXC-BLEN BOOKING INST'!#REF!&lt;&gt;"","2",""))</f>
        <v>#REF!</v>
      </c>
      <c r="AP10" s="10">
        <v>3</v>
      </c>
      <c r="AQ10" s="10" t="s">
        <v>153</v>
      </c>
      <c r="AR10" s="10" t="s">
        <v>154</v>
      </c>
      <c r="AS10" s="10"/>
      <c r="AT10" s="35"/>
      <c r="AU10" s="10"/>
      <c r="AV10" s="10"/>
      <c r="AW10" s="10"/>
      <c r="AX10" s="11"/>
      <c r="AY10" s="10"/>
      <c r="AZ10" s="9"/>
      <c r="BA10" s="10"/>
      <c r="BB10" s="10"/>
      <c r="BC10" s="10"/>
      <c r="BD10" s="10"/>
      <c r="BE10" s="10"/>
      <c r="BF10" s="10"/>
      <c r="BG10" s="10"/>
      <c r="BH10" s="10"/>
      <c r="BI10" s="11"/>
      <c r="BJ10" s="10"/>
      <c r="BK10" s="10"/>
      <c r="BL10" s="12" t="s">
        <v>155</v>
      </c>
      <c r="BM10" s="36" t="s">
        <v>131</v>
      </c>
      <c r="BN10" s="15" t="s">
        <v>156</v>
      </c>
      <c r="BO10" s="10"/>
      <c r="BP10" s="33" t="s">
        <v>157</v>
      </c>
      <c r="BQ10" s="36" t="s">
        <v>131</v>
      </c>
      <c r="BR10" s="11" t="s">
        <v>158</v>
      </c>
    </row>
    <row r="11" spans="1:70" ht="23.25" x14ac:dyDescent="0.25">
      <c r="A11" s="12" t="s">
        <v>86</v>
      </c>
      <c r="B11" s="10"/>
      <c r="C11" s="10" t="s">
        <v>87</v>
      </c>
      <c r="D11" s="10"/>
      <c r="E11" s="10"/>
      <c r="F11" s="11"/>
      <c r="H11" s="9"/>
      <c r="I11" s="10"/>
      <c r="J11" s="10"/>
      <c r="K11" s="10"/>
      <c r="L11" s="10"/>
      <c r="M11" s="11"/>
      <c r="O11" s="9"/>
      <c r="P11" s="10"/>
      <c r="Q11" s="10"/>
      <c r="R11" s="10"/>
      <c r="S11" s="10"/>
      <c r="T11" s="11"/>
      <c r="V11" s="17"/>
      <c r="W11" s="37"/>
      <c r="X11" s="37"/>
      <c r="Y11" s="10"/>
      <c r="Z11" s="37"/>
      <c r="AA11" s="10"/>
      <c r="AB11" s="38"/>
      <c r="AD11" s="9"/>
      <c r="AE11" s="10">
        <v>30</v>
      </c>
      <c r="AF11" s="10"/>
      <c r="AG11" s="10" t="s">
        <v>159</v>
      </c>
      <c r="AH11" s="22"/>
      <c r="AI11" s="10"/>
      <c r="AJ11" s="10"/>
      <c r="AK11" s="24" t="e">
        <f>+'[1]PRI-EXC-BLEN BOOKING INST'!#REF!</f>
        <v>#REF!</v>
      </c>
      <c r="AL11" s="39"/>
      <c r="AM11" s="11">
        <v>1</v>
      </c>
      <c r="AO11" s="9" t="e">
        <f>IF('[1]PRI-EXC-BLEN BOOKING INST'!$I$2=[1]DataBase!#REF!,"2","")</f>
        <v>#REF!</v>
      </c>
      <c r="AP11" s="10">
        <v>4</v>
      </c>
      <c r="AQ11" s="10" t="s">
        <v>160</v>
      </c>
      <c r="AR11" s="10" t="s">
        <v>161</v>
      </c>
      <c r="AS11" s="10"/>
      <c r="AT11" s="35"/>
      <c r="AU11" s="10"/>
      <c r="AV11" s="10"/>
      <c r="AW11" s="10"/>
      <c r="AX11" s="11"/>
      <c r="AY11" s="10"/>
      <c r="AZ11" s="9"/>
      <c r="BA11" s="10"/>
      <c r="BB11" s="10"/>
      <c r="BC11" s="10"/>
      <c r="BD11" s="10"/>
      <c r="BE11" s="10"/>
      <c r="BF11" s="10"/>
      <c r="BG11" s="10"/>
      <c r="BH11" s="10"/>
      <c r="BI11" s="11"/>
      <c r="BJ11" s="10"/>
      <c r="BK11" s="10"/>
      <c r="BL11" s="17"/>
      <c r="BN11" s="10"/>
      <c r="BO11" s="10"/>
      <c r="BP11" s="10"/>
      <c r="BQ11" s="10"/>
      <c r="BR11" s="11"/>
    </row>
    <row r="12" spans="1:70" ht="23.25" x14ac:dyDescent="0.25">
      <c r="A12" s="9"/>
      <c r="B12" s="10"/>
      <c r="C12" s="10"/>
      <c r="D12" s="10"/>
      <c r="E12" s="10"/>
      <c r="F12" s="11"/>
      <c r="H12" s="12" t="s">
        <v>162</v>
      </c>
      <c r="I12" s="36" t="s">
        <v>227</v>
      </c>
      <c r="J12" s="10" t="e">
        <f>+'[1]PRI-EXC-BLEN BOOKING INST'!#REF!</f>
        <v>#REF!</v>
      </c>
      <c r="K12" s="10"/>
      <c r="L12" s="10"/>
      <c r="M12" s="11"/>
      <c r="O12" s="12" t="s">
        <v>163</v>
      </c>
      <c r="P12" s="44" t="s">
        <v>164</v>
      </c>
      <c r="Q12" s="10" t="s">
        <v>165</v>
      </c>
      <c r="R12" s="20" t="s">
        <v>166</v>
      </c>
      <c r="S12" s="42" t="s">
        <v>164</v>
      </c>
      <c r="T12" s="11" t="s">
        <v>167</v>
      </c>
      <c r="V12" s="17"/>
      <c r="AB12" s="38"/>
      <c r="AD12" s="9"/>
      <c r="AE12" s="10">
        <v>40</v>
      </c>
      <c r="AF12" s="10"/>
      <c r="AG12" s="10" t="e">
        <f>+IF(AK8&gt;0,"PRB     Peru Broker Tax","")</f>
        <v>#REF!</v>
      </c>
      <c r="AH12" s="10"/>
      <c r="AI12" s="10"/>
      <c r="AJ12" s="10"/>
      <c r="AK12" s="24" t="e">
        <f>+IF(AK8&gt;0,18%,"")</f>
        <v>#REF!</v>
      </c>
      <c r="AL12" s="39"/>
      <c r="AM12" s="11" t="e">
        <f>IF(AK12&lt;&gt;"","1","")</f>
        <v>#REF!</v>
      </c>
      <c r="AO12" s="9" t="e">
        <f>IF('[1]PRI-EXC-BLEN BOOKING INST'!$I$2=[1]DataBase!#REF!,"2","")</f>
        <v>#REF!</v>
      </c>
      <c r="AP12" s="10">
        <v>5</v>
      </c>
      <c r="AQ12" s="10" t="s">
        <v>168</v>
      </c>
      <c r="AR12" s="10" t="s">
        <v>169</v>
      </c>
      <c r="AS12" s="10"/>
      <c r="AT12" s="35"/>
      <c r="AU12" s="10"/>
      <c r="AV12" s="10"/>
      <c r="AW12" s="10"/>
      <c r="AX12" s="11"/>
      <c r="AY12" s="10"/>
      <c r="AZ12" s="9"/>
      <c r="BA12" s="10"/>
      <c r="BB12" s="10"/>
      <c r="BC12" s="10"/>
      <c r="BD12" s="10"/>
      <c r="BE12" s="10"/>
      <c r="BF12" s="10"/>
      <c r="BG12" s="10"/>
      <c r="BH12" s="10"/>
      <c r="BI12" s="11"/>
      <c r="BJ12" s="10"/>
      <c r="BK12" s="10"/>
      <c r="BL12" s="9"/>
      <c r="BM12" s="18"/>
      <c r="BN12" s="10"/>
      <c r="BO12" s="10"/>
      <c r="BP12" s="10"/>
      <c r="BQ12" s="10"/>
      <c r="BR12" s="11"/>
    </row>
    <row r="13" spans="1:70" ht="23.25" x14ac:dyDescent="0.25">
      <c r="A13" s="9"/>
      <c r="B13" s="10"/>
      <c r="C13" s="10"/>
      <c r="D13" s="10"/>
      <c r="E13" s="10"/>
      <c r="F13" s="11"/>
      <c r="H13" s="9"/>
      <c r="I13" s="10"/>
      <c r="J13" s="10"/>
      <c r="K13" s="10"/>
      <c r="L13" s="10"/>
      <c r="M13" s="11"/>
      <c r="O13" s="9"/>
      <c r="P13" s="10" t="s">
        <v>170</v>
      </c>
      <c r="Q13" s="10"/>
      <c r="R13" s="10"/>
      <c r="S13" s="10"/>
      <c r="T13" s="11"/>
      <c r="V13" s="17"/>
      <c r="AB13" s="38"/>
      <c r="AD13" s="9"/>
      <c r="AE13" s="10">
        <v>50</v>
      </c>
      <c r="AF13" s="10" t="e">
        <f>+IF('[1]PRI-EXC-BLEN BOOKING INST'!#REF!&lt;&gt;"","ENG",)</f>
        <v>#REF!</v>
      </c>
      <c r="AG13" s="10" t="e">
        <f>+IF('[1]PRI-EXC-BLEN BOOKING INST'!#REF!&lt;&gt;"",'[1]PRI-EXC-BLEN BOOKING INST'!#REF!,"")</f>
        <v>#REF!</v>
      </c>
      <c r="AH13" s="22"/>
      <c r="AI13" s="10"/>
      <c r="AJ13" s="10"/>
      <c r="AK13" s="45" t="e">
        <f>+IF('[1]PRI-EXC-BLEN BOOKING INST'!#REF!&lt;&gt;"",'[1]PRI-EXC-BLEN BOOKING INST'!#REF!,)</f>
        <v>#REF!</v>
      </c>
      <c r="AL13" s="39"/>
      <c r="AM13" s="11"/>
      <c r="AO13" s="9" t="e">
        <f>IF('[1]PRI-EXC-BLEN BOOKING INST'!$I$2=[1]DataBase!#REF!,"2","")</f>
        <v>#REF!</v>
      </c>
      <c r="AP13" s="10">
        <v>6</v>
      </c>
      <c r="AQ13" s="10" t="s">
        <v>171</v>
      </c>
      <c r="AR13" s="10" t="s">
        <v>172</v>
      </c>
      <c r="AS13" s="10"/>
      <c r="AT13" s="35"/>
      <c r="AU13" s="10"/>
      <c r="AV13" s="10"/>
      <c r="AW13" s="10"/>
      <c r="AX13" s="11"/>
      <c r="AY13" s="10"/>
      <c r="AZ13" s="9"/>
      <c r="BA13" s="10"/>
      <c r="BB13" s="10"/>
      <c r="BC13" s="10"/>
      <c r="BD13" s="10"/>
      <c r="BE13" s="10"/>
      <c r="BF13" s="10"/>
      <c r="BG13" s="10"/>
      <c r="BH13" s="10"/>
      <c r="BI13" s="11"/>
      <c r="BJ13" s="10"/>
      <c r="BK13" s="10"/>
      <c r="BL13" s="9"/>
      <c r="BM13" s="18"/>
      <c r="BN13" s="10"/>
      <c r="BO13" s="10"/>
      <c r="BP13" s="10"/>
      <c r="BQ13" s="10"/>
      <c r="BR13" s="11"/>
    </row>
    <row r="14" spans="1:70" ht="23.25" x14ac:dyDescent="0.25">
      <c r="A14" s="9"/>
      <c r="B14" s="10"/>
      <c r="C14" s="10"/>
      <c r="D14" s="10"/>
      <c r="E14" s="10"/>
      <c r="F14" s="11"/>
      <c r="H14" s="12" t="s">
        <v>173</v>
      </c>
      <c r="I14" s="36" t="s">
        <v>228</v>
      </c>
      <c r="J14" s="46" t="e">
        <f>+'[1]PRI-EXC-BLEN BOOKING INST'!#REF!</f>
        <v>#REF!</v>
      </c>
      <c r="K14" s="10"/>
      <c r="L14" s="10"/>
      <c r="M14" s="11"/>
      <c r="O14" s="9"/>
      <c r="P14" s="10"/>
      <c r="Q14" s="10"/>
      <c r="R14" s="10"/>
      <c r="S14" s="10"/>
      <c r="T14" s="11"/>
      <c r="V14" s="17"/>
      <c r="W14" s="37"/>
      <c r="X14" s="37"/>
      <c r="Y14" s="10"/>
      <c r="Z14" s="37"/>
      <c r="AA14" s="10"/>
      <c r="AB14" s="38"/>
      <c r="AD14" s="9"/>
      <c r="AE14" s="10">
        <v>60</v>
      </c>
      <c r="AF14" s="10" t="e">
        <f>+IF('[1]PRI-EXC-BLEN BOOKING INST'!#REF!&lt;&gt;"","INT2",)</f>
        <v>#REF!</v>
      </c>
      <c r="AG14" s="10" t="e">
        <f>+IF('[1]PRI-EXC-BLEN BOOKING INST'!#REF!&lt;&gt;"",'[1]PRI-EXC-BLEN BOOKING INST'!#REF!,"")</f>
        <v>#REF!</v>
      </c>
      <c r="AH14" s="22"/>
      <c r="AI14" s="10"/>
      <c r="AJ14" s="10"/>
      <c r="AK14" s="45" t="e">
        <f>+IF('[1]PRI-EXC-BLEN BOOKING INST'!#REF!&lt;&gt;"",'[1]PRI-EXC-BLEN BOOKING INST'!#REF!,"")</f>
        <v>#REF!</v>
      </c>
      <c r="AL14" s="39"/>
      <c r="AM14" s="11"/>
      <c r="AO14" s="9" t="e">
        <f>IF('[1]PRI-EXC-BLEN BOOKING INST'!$I$2=[1]DataBase!#REF!,"2","")</f>
        <v>#REF!</v>
      </c>
      <c r="AP14" s="10">
        <v>7</v>
      </c>
      <c r="AQ14" s="10" t="s">
        <v>174</v>
      </c>
      <c r="AR14" s="10" t="s">
        <v>175</v>
      </c>
      <c r="AS14" s="10"/>
      <c r="AT14" s="35"/>
      <c r="AU14" s="10"/>
      <c r="AV14" s="10"/>
      <c r="AW14" s="10"/>
      <c r="AX14" s="11"/>
      <c r="AY14" s="10"/>
      <c r="AZ14" s="9"/>
      <c r="BA14" s="10"/>
      <c r="BB14" s="10"/>
      <c r="BC14" s="10"/>
      <c r="BD14" s="10"/>
      <c r="BE14" s="10"/>
      <c r="BF14" s="10"/>
      <c r="BG14" s="10"/>
      <c r="BH14" s="10"/>
      <c r="BI14" s="11"/>
      <c r="BJ14" s="10"/>
      <c r="BK14" s="10"/>
      <c r="BL14" s="12" t="s">
        <v>176</v>
      </c>
      <c r="BM14" s="18" t="s">
        <v>177</v>
      </c>
      <c r="BN14" s="10" t="s">
        <v>178</v>
      </c>
      <c r="BO14" s="10"/>
      <c r="BP14" s="20" t="s">
        <v>179</v>
      </c>
      <c r="BQ14" s="10" t="s">
        <v>177</v>
      </c>
      <c r="BR14" s="11" t="s">
        <v>180</v>
      </c>
    </row>
    <row r="15" spans="1:70" x14ac:dyDescent="0.25">
      <c r="A15" s="9"/>
      <c r="B15" s="10"/>
      <c r="C15" s="10"/>
      <c r="D15" s="10"/>
      <c r="E15" s="10"/>
      <c r="F15" s="11"/>
      <c r="H15" s="9"/>
      <c r="I15" s="10"/>
      <c r="J15" s="10"/>
      <c r="K15" s="10"/>
      <c r="L15" s="10"/>
      <c r="M15" s="11"/>
      <c r="O15" s="9"/>
      <c r="P15" s="10"/>
      <c r="Q15" s="10"/>
      <c r="R15" s="10"/>
      <c r="S15" s="10"/>
      <c r="T15" s="11"/>
      <c r="V15" s="17"/>
      <c r="W15" s="10"/>
      <c r="X15" s="10"/>
      <c r="Y15" s="10"/>
      <c r="Z15" s="10"/>
      <c r="AA15" s="10"/>
      <c r="AB15" s="38"/>
      <c r="AD15" s="9"/>
      <c r="AE15" s="19">
        <v>70</v>
      </c>
      <c r="AF15" s="19" t="s">
        <v>181</v>
      </c>
      <c r="AG15" s="47" t="s">
        <v>182</v>
      </c>
      <c r="AH15" s="48"/>
      <c r="AI15" s="48"/>
      <c r="AJ15" s="48"/>
      <c r="AK15" s="49"/>
      <c r="AL15" s="39"/>
      <c r="AM15" s="11"/>
      <c r="AO15" s="9" t="e">
        <f>IF('[1]PRI-EXC-BLEN BOOKING INST'!$I$2=[1]DataBase!#REF!,"2","")</f>
        <v>#REF!</v>
      </c>
      <c r="AP15" s="10">
        <v>8</v>
      </c>
      <c r="AQ15" s="10" t="s">
        <v>183</v>
      </c>
      <c r="AR15" s="10" t="s">
        <v>184</v>
      </c>
      <c r="AS15" s="10"/>
      <c r="AT15" s="10"/>
      <c r="AU15" s="10"/>
      <c r="AV15" s="10"/>
      <c r="AW15" s="10"/>
      <c r="AX15" s="11"/>
      <c r="AY15" s="10"/>
      <c r="AZ15" s="9"/>
      <c r="BA15" s="10"/>
      <c r="BB15" s="10"/>
      <c r="BC15" s="10"/>
      <c r="BD15" s="10"/>
      <c r="BE15" s="10"/>
      <c r="BF15" s="10"/>
      <c r="BG15" s="10"/>
      <c r="BH15" s="10"/>
      <c r="BI15" s="11"/>
      <c r="BJ15" s="10"/>
      <c r="BK15" s="10"/>
      <c r="BL15" s="9"/>
      <c r="BM15" s="18"/>
      <c r="BN15" s="10"/>
      <c r="BO15" s="10"/>
      <c r="BP15" s="20" t="s">
        <v>185</v>
      </c>
      <c r="BQ15" s="50">
        <v>1</v>
      </c>
      <c r="BR15" t="s">
        <v>186</v>
      </c>
    </row>
    <row r="16" spans="1:70" x14ac:dyDescent="0.25">
      <c r="A16" s="9"/>
      <c r="B16" s="10"/>
      <c r="C16" s="10"/>
      <c r="D16" s="10"/>
      <c r="E16" s="10"/>
      <c r="F16" s="11"/>
      <c r="H16" s="12" t="s">
        <v>187</v>
      </c>
      <c r="I16" s="36" t="s">
        <v>229</v>
      </c>
      <c r="J16" s="10" t="e">
        <f>+'[1]PRI-EXC-BLEN BOOKING INST'!#REF!</f>
        <v>#REF!</v>
      </c>
      <c r="K16" s="10"/>
      <c r="L16" s="10"/>
      <c r="M16" s="11"/>
      <c r="O16" s="9"/>
      <c r="P16" s="10"/>
      <c r="Q16" s="51" t="s">
        <v>188</v>
      </c>
      <c r="R16" s="51" t="s">
        <v>189</v>
      </c>
      <c r="S16" s="51"/>
      <c r="T16" s="11"/>
      <c r="V16" s="17"/>
      <c r="W16" s="10"/>
      <c r="X16" s="10"/>
      <c r="Y16" s="10"/>
      <c r="Z16" s="10"/>
      <c r="AA16" s="10"/>
      <c r="AB16" s="11"/>
      <c r="AD16" s="9"/>
      <c r="AE16" s="10"/>
      <c r="AF16" s="10"/>
      <c r="AG16" s="52"/>
      <c r="AH16" s="48"/>
      <c r="AI16" s="48"/>
      <c r="AJ16" s="48"/>
      <c r="AK16" s="53"/>
      <c r="AL16" s="39"/>
      <c r="AM16" s="11"/>
      <c r="AO16" s="9" t="e">
        <f>IF('[1]PRI-EXC-BLEN BOOKING INST'!$I$2=[1]DataBase!#REF!,"2","")</f>
        <v>#REF!</v>
      </c>
      <c r="AP16" s="10">
        <v>9</v>
      </c>
      <c r="AQ16" s="10" t="s">
        <v>190</v>
      </c>
      <c r="AR16" s="10" t="s">
        <v>191</v>
      </c>
      <c r="AS16" s="10"/>
      <c r="AT16" s="10"/>
      <c r="AU16" s="10"/>
      <c r="AV16" s="10"/>
      <c r="AW16" s="10"/>
      <c r="AX16" s="11"/>
      <c r="AY16" s="10"/>
      <c r="AZ16" s="9"/>
      <c r="BA16" s="10"/>
      <c r="BB16" s="10"/>
      <c r="BC16" s="10"/>
      <c r="BD16" s="10"/>
      <c r="BE16" s="10"/>
      <c r="BF16" s="10"/>
      <c r="BG16" s="10"/>
      <c r="BH16" s="10"/>
      <c r="BI16" s="11"/>
      <c r="BJ16" s="10"/>
      <c r="BK16" s="10"/>
      <c r="BL16" s="9"/>
      <c r="BM16" s="18"/>
      <c r="BN16" s="10"/>
      <c r="BO16" s="10"/>
      <c r="BP16" s="20" t="s">
        <v>192</v>
      </c>
      <c r="BQ16" s="10">
        <v>0</v>
      </c>
      <c r="BR16" s="11" t="s">
        <v>193</v>
      </c>
    </row>
    <row r="17" spans="1:70" x14ac:dyDescent="0.25">
      <c r="A17" s="9"/>
      <c r="B17" s="10"/>
      <c r="C17" s="10"/>
      <c r="D17" s="10"/>
      <c r="E17" s="10"/>
      <c r="F17" s="11"/>
      <c r="H17" s="9"/>
      <c r="I17" s="10"/>
      <c r="J17" s="10"/>
      <c r="K17" s="10"/>
      <c r="L17" s="10"/>
      <c r="M17" s="11"/>
      <c r="O17" s="9"/>
      <c r="P17" s="10"/>
      <c r="Q17" s="10"/>
      <c r="R17" s="10"/>
      <c r="S17" s="10"/>
      <c r="T17" s="11"/>
      <c r="V17" s="17"/>
      <c r="W17" s="10"/>
      <c r="X17" s="10"/>
      <c r="Y17" s="10"/>
      <c r="Z17" s="10"/>
      <c r="AA17" s="10"/>
      <c r="AB17" s="11"/>
      <c r="AD17" s="9"/>
      <c r="AE17" s="10"/>
      <c r="AF17" s="10"/>
      <c r="AG17" s="217" t="s">
        <v>194</v>
      </c>
      <c r="AH17" s="217"/>
      <c r="AI17" s="217"/>
      <c r="AJ17" s="217"/>
      <c r="AK17" s="54"/>
      <c r="AL17" s="39"/>
      <c r="AM17" s="11"/>
      <c r="AO17" s="9" t="e">
        <f>IF('[1]PRI-EXC-BLEN BOOKING INST'!$I$2=[1]DataBase!#REF!,"2","")</f>
        <v>#REF!</v>
      </c>
      <c r="AP17" s="10">
        <v>10</v>
      </c>
      <c r="AQ17" s="10" t="s">
        <v>195</v>
      </c>
      <c r="AR17" s="10" t="s">
        <v>195</v>
      </c>
      <c r="AS17" s="10"/>
      <c r="AT17" s="10"/>
      <c r="AU17" s="10"/>
      <c r="AV17" s="10"/>
      <c r="AW17" s="10"/>
      <c r="AX17" s="11"/>
      <c r="AY17" s="10"/>
      <c r="AZ17" s="9"/>
      <c r="BA17" s="10"/>
      <c r="BB17" s="10"/>
      <c r="BC17" s="10"/>
      <c r="BD17" s="10"/>
      <c r="BE17" s="10"/>
      <c r="BF17" s="10"/>
      <c r="BG17" s="10"/>
      <c r="BH17" s="10"/>
      <c r="BI17" s="11"/>
      <c r="BJ17" s="10"/>
      <c r="BK17" s="10"/>
      <c r="BL17" s="12" t="s">
        <v>196</v>
      </c>
      <c r="BM17" s="36" t="s">
        <v>131</v>
      </c>
      <c r="BN17" s="10" t="s">
        <v>197</v>
      </c>
      <c r="BO17" s="10"/>
      <c r="BP17" s="10"/>
      <c r="BQ17" s="10"/>
      <c r="BR17" s="11"/>
    </row>
    <row r="18" spans="1:70" x14ac:dyDescent="0.25">
      <c r="A18" s="9"/>
      <c r="B18" s="10"/>
      <c r="C18" s="10"/>
      <c r="D18" s="10"/>
      <c r="E18" s="10"/>
      <c r="F18" s="11"/>
      <c r="H18" s="12" t="s">
        <v>198</v>
      </c>
      <c r="I18" s="36" t="s">
        <v>199</v>
      </c>
      <c r="J18" s="10"/>
      <c r="K18" s="10"/>
      <c r="L18" s="52"/>
      <c r="M18" s="55"/>
      <c r="O18" s="9"/>
      <c r="P18" s="10"/>
      <c r="Q18" s="10"/>
      <c r="R18" s="10"/>
      <c r="S18" s="10"/>
      <c r="T18" s="11"/>
      <c r="V18" s="17"/>
      <c r="W18" s="10"/>
      <c r="X18" s="10"/>
      <c r="Y18" s="10"/>
      <c r="Z18" s="10"/>
      <c r="AA18" s="10"/>
      <c r="AB18" s="11"/>
      <c r="AD18" s="9"/>
      <c r="AE18" s="10"/>
      <c r="AF18" s="10"/>
      <c r="AG18" s="217"/>
      <c r="AH18" s="217"/>
      <c r="AI18" s="217"/>
      <c r="AJ18" s="217"/>
      <c r="AK18" s="54"/>
      <c r="AL18" s="39"/>
      <c r="AM18" s="11"/>
      <c r="AO18" s="56"/>
      <c r="AP18" s="51">
        <v>11</v>
      </c>
      <c r="AQ18" s="51" t="s">
        <v>200</v>
      </c>
      <c r="AR18" s="51" t="s">
        <v>201</v>
      </c>
      <c r="AS18" s="10"/>
      <c r="AT18" s="10"/>
      <c r="AU18" s="10"/>
      <c r="AV18" s="10"/>
      <c r="AW18" s="10"/>
      <c r="AX18" s="11"/>
      <c r="AY18" s="10"/>
      <c r="AZ18" s="9"/>
      <c r="BA18" s="10"/>
      <c r="BB18" s="10"/>
      <c r="BC18" s="10"/>
      <c r="BD18" s="10"/>
      <c r="BE18" s="10"/>
      <c r="BF18" s="10"/>
      <c r="BG18" s="10"/>
      <c r="BH18" s="10"/>
      <c r="BI18" s="11"/>
      <c r="BJ18" s="10"/>
      <c r="BK18" s="10"/>
      <c r="BL18" s="9" t="s">
        <v>202</v>
      </c>
      <c r="BM18" s="57"/>
      <c r="BN18" s="10"/>
      <c r="BO18" s="10"/>
      <c r="BP18" s="10"/>
      <c r="BQ18" s="10"/>
      <c r="BR18" s="11"/>
    </row>
    <row r="19" spans="1:70" x14ac:dyDescent="0.25">
      <c r="A19" s="9"/>
      <c r="B19" s="10"/>
      <c r="C19" s="10"/>
      <c r="D19" s="10"/>
      <c r="E19" s="10"/>
      <c r="F19" s="11"/>
      <c r="H19" s="9"/>
      <c r="I19" s="10"/>
      <c r="J19" s="10"/>
      <c r="K19" s="20" t="s">
        <v>203</v>
      </c>
      <c r="L19" s="10" t="s">
        <v>204</v>
      </c>
      <c r="M19" s="11"/>
      <c r="O19" s="9"/>
      <c r="P19" s="10"/>
      <c r="Q19" s="10"/>
      <c r="R19" s="10"/>
      <c r="S19" s="10"/>
      <c r="T19" s="11"/>
      <c r="V19" s="17"/>
      <c r="W19" s="10"/>
      <c r="X19" s="10"/>
      <c r="Y19" s="10"/>
      <c r="Z19" s="10"/>
      <c r="AA19" s="10"/>
      <c r="AB19" s="11"/>
      <c r="AD19" s="9"/>
      <c r="AE19" s="10"/>
      <c r="AF19" s="10"/>
      <c r="AG19" s="10"/>
      <c r="AH19" s="10"/>
      <c r="AI19" s="10"/>
      <c r="AJ19" s="10"/>
      <c r="AK19" s="54"/>
      <c r="AL19" s="39"/>
      <c r="AM19" s="11"/>
      <c r="AO19" s="9"/>
      <c r="AP19" s="10"/>
      <c r="AQ19" s="10"/>
      <c r="AR19" s="10"/>
      <c r="AS19" s="10"/>
      <c r="AT19" s="10"/>
      <c r="AU19" s="10"/>
      <c r="AV19" s="10"/>
      <c r="AW19" s="10"/>
      <c r="AX19" s="11"/>
      <c r="AY19" s="10"/>
      <c r="AZ19" s="9"/>
      <c r="BA19" s="10"/>
      <c r="BB19" s="10"/>
      <c r="BC19" s="10"/>
      <c r="BD19" s="10"/>
      <c r="BE19" s="10"/>
      <c r="BF19" s="10"/>
      <c r="BG19" s="10"/>
      <c r="BH19" s="10"/>
      <c r="BI19" s="11"/>
      <c r="BJ19" s="10"/>
      <c r="BK19" s="10"/>
      <c r="BL19" s="9"/>
      <c r="BM19" s="18"/>
      <c r="BN19" s="10"/>
      <c r="BO19" s="10"/>
      <c r="BP19" s="10"/>
      <c r="BQ19" s="10"/>
      <c r="BR19" s="11"/>
    </row>
    <row r="20" spans="1:70" x14ac:dyDescent="0.25">
      <c r="A20" s="9"/>
      <c r="B20" s="10"/>
      <c r="C20" s="10"/>
      <c r="D20" s="10"/>
      <c r="E20" s="10"/>
      <c r="F20" s="11"/>
      <c r="H20" s="12" t="s">
        <v>205</v>
      </c>
      <c r="I20" s="10" t="e">
        <f>'[2]UWs (New Policies_Renewals)'!#REF!</f>
        <v>#REF!</v>
      </c>
      <c r="J20" s="10"/>
      <c r="K20" s="10"/>
      <c r="L20" s="10"/>
      <c r="M20" s="11"/>
      <c r="O20" s="9"/>
      <c r="P20" s="10"/>
      <c r="Q20" s="10"/>
      <c r="R20" s="10"/>
      <c r="S20" s="10"/>
      <c r="T20" s="11"/>
      <c r="V20" s="17"/>
      <c r="W20" s="10"/>
      <c r="X20" s="10"/>
      <c r="Y20" s="10"/>
      <c r="Z20" s="10"/>
      <c r="AA20" s="10"/>
      <c r="AB20" s="11"/>
      <c r="AD20" s="9"/>
      <c r="AE20" s="10"/>
      <c r="AF20" s="10"/>
      <c r="AG20" s="10"/>
      <c r="AH20" s="10"/>
      <c r="AI20" s="10"/>
      <c r="AJ20" s="10"/>
      <c r="AK20" s="54"/>
      <c r="AL20" s="39"/>
      <c r="AM20" s="11"/>
      <c r="AO20" s="9"/>
      <c r="AP20" s="10"/>
      <c r="AQ20" s="10"/>
      <c r="AR20" s="10"/>
      <c r="AS20" s="10"/>
      <c r="AT20" s="10"/>
      <c r="AU20" s="10"/>
      <c r="AV20" s="10"/>
      <c r="AW20" s="10"/>
      <c r="AX20" s="11"/>
      <c r="AY20" s="10"/>
      <c r="AZ20" s="9"/>
      <c r="BA20" s="10"/>
      <c r="BB20" s="10"/>
      <c r="BC20" s="10"/>
      <c r="BD20" s="10"/>
      <c r="BE20" s="10"/>
      <c r="BF20" s="10"/>
      <c r="BG20" s="10"/>
      <c r="BH20" s="10"/>
      <c r="BI20" s="11"/>
      <c r="BJ20" s="10"/>
      <c r="BK20" s="10"/>
      <c r="BL20" s="9"/>
      <c r="BM20" s="10"/>
      <c r="BN20" s="10"/>
      <c r="BO20" s="10"/>
      <c r="BP20" s="10"/>
      <c r="BQ20" s="10"/>
      <c r="BR20" s="11"/>
    </row>
    <row r="21" spans="1:70" x14ac:dyDescent="0.25">
      <c r="A21" s="9"/>
      <c r="B21" s="10"/>
      <c r="C21" s="10"/>
      <c r="D21" s="10"/>
      <c r="E21" s="10"/>
      <c r="F21" s="11"/>
      <c r="H21" s="9"/>
      <c r="I21" s="10"/>
      <c r="J21" s="10"/>
      <c r="K21" s="10"/>
      <c r="L21" s="10"/>
      <c r="M21" s="11"/>
      <c r="O21" s="9"/>
      <c r="P21" s="10"/>
      <c r="Q21" s="10"/>
      <c r="R21" s="10"/>
      <c r="S21" s="10"/>
      <c r="T21" s="11"/>
      <c r="V21" s="17"/>
      <c r="W21" s="10"/>
      <c r="X21" s="10"/>
      <c r="Y21" s="58"/>
      <c r="Z21" s="59"/>
      <c r="AA21" s="60"/>
      <c r="AB21" s="11"/>
      <c r="AD21" s="9"/>
      <c r="AE21" s="10"/>
      <c r="AF21" s="10"/>
      <c r="AG21" s="10"/>
      <c r="AH21" s="10"/>
      <c r="AI21" s="10"/>
      <c r="AJ21" s="10"/>
      <c r="AK21" s="54"/>
      <c r="AL21" s="39"/>
      <c r="AM21" s="11"/>
      <c r="AO21" s="9"/>
      <c r="AP21" s="10"/>
      <c r="AQ21" s="10"/>
      <c r="AR21" s="10"/>
      <c r="AS21" s="10"/>
      <c r="AT21" s="10"/>
      <c r="AU21" s="10"/>
      <c r="AV21" s="10"/>
      <c r="AW21" s="10"/>
      <c r="AX21" s="11"/>
      <c r="AY21" s="10"/>
      <c r="AZ21" s="9"/>
      <c r="BA21" s="10"/>
      <c r="BB21" s="10"/>
      <c r="BC21" s="10"/>
      <c r="BD21" s="10"/>
      <c r="BE21" s="10"/>
      <c r="BF21" s="10"/>
      <c r="BG21" s="10"/>
      <c r="BH21" s="10"/>
      <c r="BI21" s="11"/>
      <c r="BJ21" s="10"/>
      <c r="BK21" s="10"/>
      <c r="BL21" s="9"/>
      <c r="BM21" s="18"/>
      <c r="BN21" s="61"/>
      <c r="BO21" s="61"/>
      <c r="BP21" s="10"/>
      <c r="BQ21" s="10"/>
      <c r="BR21" s="11"/>
    </row>
    <row r="22" spans="1:70" x14ac:dyDescent="0.25">
      <c r="A22" s="9"/>
      <c r="B22" s="10"/>
      <c r="C22" s="10"/>
      <c r="D22" s="10"/>
      <c r="E22" s="10"/>
      <c r="F22" s="11"/>
      <c r="H22" s="9"/>
      <c r="I22" s="10"/>
      <c r="J22" s="10"/>
      <c r="K22" s="10"/>
      <c r="L22" s="10"/>
      <c r="M22" s="11"/>
      <c r="O22" s="9"/>
      <c r="P22" s="10"/>
      <c r="Q22" s="10"/>
      <c r="R22" s="10"/>
      <c r="S22" s="10"/>
      <c r="T22" s="11"/>
      <c r="V22" s="17"/>
      <c r="W22" s="10"/>
      <c r="X22" s="10"/>
      <c r="Y22" s="58"/>
      <c r="Z22" s="59"/>
      <c r="AA22" s="60"/>
      <c r="AB22" s="62"/>
      <c r="AD22" s="9"/>
      <c r="AE22" s="10"/>
      <c r="AF22" s="10"/>
      <c r="AG22" s="10"/>
      <c r="AH22" s="10"/>
      <c r="AI22" s="10"/>
      <c r="AJ22" s="10"/>
      <c r="AK22" s="54"/>
      <c r="AL22" s="39"/>
      <c r="AM22" s="11"/>
      <c r="AO22" s="9"/>
      <c r="AP22" s="10"/>
      <c r="AQ22" s="10"/>
      <c r="AR22" s="10"/>
      <c r="AS22" s="10"/>
      <c r="AT22" s="10"/>
      <c r="AU22" s="10"/>
      <c r="AV22" s="10"/>
      <c r="AW22" s="10"/>
      <c r="AX22" s="11"/>
      <c r="AY22" s="10"/>
      <c r="AZ22" s="9"/>
      <c r="BA22" s="10"/>
      <c r="BB22" s="10"/>
      <c r="BC22" s="10"/>
      <c r="BD22" s="10"/>
      <c r="BE22" s="10"/>
      <c r="BF22" s="10"/>
      <c r="BG22" s="10"/>
      <c r="BH22" s="10"/>
      <c r="BI22" s="11"/>
      <c r="BJ22" s="10"/>
      <c r="BK22" s="10"/>
      <c r="BL22" s="9"/>
      <c r="BM22" s="18"/>
      <c r="BN22" s="10"/>
      <c r="BO22" s="10"/>
      <c r="BP22" s="10"/>
      <c r="BQ22" s="10"/>
      <c r="BR22" s="11"/>
    </row>
    <row r="23" spans="1:70" x14ac:dyDescent="0.25">
      <c r="A23" s="9"/>
      <c r="B23" s="10"/>
      <c r="C23" s="10"/>
      <c r="D23" s="10"/>
      <c r="E23" s="10"/>
      <c r="F23" s="11"/>
      <c r="H23" s="12" t="s">
        <v>206</v>
      </c>
      <c r="I23" s="20"/>
      <c r="J23" s="10"/>
      <c r="K23" s="10"/>
      <c r="L23" s="10"/>
      <c r="M23" s="11"/>
      <c r="O23" s="9"/>
      <c r="P23" s="10"/>
      <c r="Q23" s="10"/>
      <c r="R23" s="10"/>
      <c r="S23" s="10"/>
      <c r="T23" s="11"/>
      <c r="V23" s="17"/>
      <c r="W23" s="10"/>
      <c r="X23" s="10"/>
      <c r="Y23" s="58"/>
      <c r="Z23" s="59"/>
      <c r="AA23" s="60"/>
      <c r="AB23" s="11"/>
      <c r="AD23" s="9"/>
      <c r="AE23" s="10"/>
      <c r="AH23" s="10"/>
      <c r="AI23" s="10"/>
      <c r="AJ23" s="10"/>
      <c r="AK23" s="54"/>
      <c r="AL23" s="39"/>
      <c r="AM23" s="11"/>
      <c r="AO23" s="9"/>
      <c r="AP23" s="10"/>
      <c r="AQ23" s="10"/>
      <c r="AR23" s="10"/>
      <c r="AS23" s="10"/>
      <c r="AT23" s="10"/>
      <c r="AU23" s="10"/>
      <c r="AV23" s="10"/>
      <c r="AW23" s="10"/>
      <c r="AX23" s="11"/>
      <c r="AY23" s="10"/>
      <c r="AZ23" s="9"/>
      <c r="BA23" s="10"/>
      <c r="BB23" s="10"/>
      <c r="BC23" s="10"/>
      <c r="BD23" s="10"/>
      <c r="BE23" s="10"/>
      <c r="BF23" s="10"/>
      <c r="BG23" s="10"/>
      <c r="BH23" s="10"/>
      <c r="BI23" s="11"/>
      <c r="BJ23" s="10"/>
      <c r="BK23" s="10"/>
      <c r="BL23" s="9"/>
      <c r="BM23" s="63"/>
      <c r="BN23" s="64"/>
      <c r="BO23" s="64"/>
      <c r="BP23" s="64"/>
      <c r="BQ23" s="64"/>
      <c r="BR23" s="11"/>
    </row>
    <row r="24" spans="1:70" x14ac:dyDescent="0.25">
      <c r="A24" s="9"/>
      <c r="B24" s="10"/>
      <c r="C24" s="10"/>
      <c r="D24" s="10"/>
      <c r="E24" s="10"/>
      <c r="F24" s="11"/>
      <c r="H24" s="9" t="s">
        <v>207</v>
      </c>
      <c r="I24" s="14" t="e">
        <f>'[1]PRI-EXC-BLEN BOOKING INST'!#REF!</f>
        <v>#REF!</v>
      </c>
      <c r="J24" s="10"/>
      <c r="K24" s="10"/>
      <c r="L24" s="20" t="s">
        <v>208</v>
      </c>
      <c r="M24" s="14" t="e">
        <f>'[1]PRI-EXC-BLEN BOOKING INST'!#REF!</f>
        <v>#REF!</v>
      </c>
      <c r="O24" s="9"/>
      <c r="P24" s="10"/>
      <c r="Q24" s="10"/>
      <c r="R24" s="10"/>
      <c r="S24" s="10"/>
      <c r="T24" s="11"/>
      <c r="V24" s="17"/>
      <c r="W24" s="10"/>
      <c r="X24" s="10"/>
      <c r="Y24" s="10"/>
      <c r="Z24" s="10"/>
      <c r="AA24" s="10"/>
      <c r="AB24" s="11"/>
      <c r="AD24" s="9"/>
      <c r="AE24" s="10"/>
      <c r="AF24" s="217" t="s">
        <v>209</v>
      </c>
      <c r="AG24" s="217"/>
      <c r="AH24" s="10"/>
      <c r="AI24" s="10"/>
      <c r="AJ24" s="10"/>
      <c r="AK24" s="54"/>
      <c r="AL24" s="39"/>
      <c r="AM24" s="11"/>
      <c r="AO24" s="9"/>
      <c r="AP24" s="10"/>
      <c r="AQ24" s="10"/>
      <c r="AR24" s="10"/>
      <c r="AS24" s="10"/>
      <c r="AT24" s="10"/>
      <c r="AU24" s="10"/>
      <c r="AV24" s="10"/>
      <c r="AW24" s="10"/>
      <c r="AX24" s="11"/>
      <c r="AY24" s="10"/>
      <c r="AZ24" s="9"/>
      <c r="BA24" s="10"/>
      <c r="BB24" s="10"/>
      <c r="BC24" s="10"/>
      <c r="BD24" s="10"/>
      <c r="BE24" s="10"/>
      <c r="BF24" s="10"/>
      <c r="BG24" s="10"/>
      <c r="BH24" s="10"/>
      <c r="BI24" s="11"/>
      <c r="BJ24" s="10"/>
      <c r="BK24" s="10"/>
      <c r="BL24" s="9"/>
      <c r="BM24" s="65"/>
      <c r="BN24" s="66"/>
      <c r="BO24" s="66"/>
      <c r="BP24" s="66"/>
      <c r="BQ24" s="66"/>
      <c r="BR24" s="11"/>
    </row>
    <row r="25" spans="1:70" ht="15.75" x14ac:dyDescent="0.25">
      <c r="A25" s="218" t="e">
        <f>IF(A26="","","Aditional Information")</f>
        <v>#REF!</v>
      </c>
      <c r="B25" s="219"/>
      <c r="C25" s="219"/>
      <c r="D25" s="219"/>
      <c r="E25" s="219"/>
      <c r="F25" s="220"/>
      <c r="H25" s="9" t="s">
        <v>210</v>
      </c>
      <c r="I25" s="14" t="e">
        <f>'[1]PRI-EXC-BLEN BOOKING INST'!#REF!</f>
        <v>#REF!</v>
      </c>
      <c r="J25" s="10"/>
      <c r="K25" s="10"/>
      <c r="L25" s="10"/>
      <c r="M25" s="11"/>
      <c r="O25" s="9"/>
      <c r="P25" s="10"/>
      <c r="Q25" s="10"/>
      <c r="R25" s="10"/>
      <c r="S25" s="10"/>
      <c r="T25" s="11"/>
      <c r="V25" s="17"/>
      <c r="W25" s="10"/>
      <c r="X25" s="10"/>
      <c r="Y25" s="10"/>
      <c r="Z25" s="10"/>
      <c r="AA25" s="10"/>
      <c r="AB25" s="11"/>
      <c r="AD25" s="9"/>
      <c r="AE25" s="10"/>
      <c r="AF25" s="217"/>
      <c r="AG25" s="217"/>
      <c r="AH25" s="10"/>
      <c r="AI25" s="10"/>
      <c r="AJ25" s="10"/>
      <c r="AK25" s="54"/>
      <c r="AL25" s="39"/>
      <c r="AM25" s="11"/>
      <c r="AO25" s="9"/>
      <c r="AP25" s="10"/>
      <c r="AQ25" s="10"/>
      <c r="AR25" s="10"/>
      <c r="AS25" s="10"/>
      <c r="AT25" s="10"/>
      <c r="AU25" s="10"/>
      <c r="AV25" s="10"/>
      <c r="AW25" s="10"/>
      <c r="AX25" s="11"/>
      <c r="AY25" s="10"/>
      <c r="AZ25" s="9"/>
      <c r="BA25" s="10"/>
      <c r="BB25" s="10"/>
      <c r="BC25" s="10"/>
      <c r="BD25" s="10"/>
      <c r="BE25" s="10"/>
      <c r="BF25" s="10"/>
      <c r="BG25" s="10"/>
      <c r="BH25" s="10"/>
      <c r="BI25" s="11"/>
      <c r="BJ25" s="10"/>
      <c r="BK25" s="10"/>
      <c r="BL25" s="9"/>
      <c r="BM25" s="67"/>
      <c r="BN25" s="67"/>
      <c r="BO25" s="67"/>
      <c r="BP25" s="67"/>
      <c r="BQ25" s="67"/>
      <c r="BR25" s="11"/>
    </row>
    <row r="26" spans="1:70" x14ac:dyDescent="0.25">
      <c r="A26" s="221" t="e">
        <f>IF('[1]PRI-EXC-BLEN BOOKING INST'!#REF!="","",'[1]PRI-EXC-BLEN BOOKING INST'!#REF!)</f>
        <v>#REF!</v>
      </c>
      <c r="B26" s="210"/>
      <c r="C26" s="210"/>
      <c r="D26" s="210"/>
      <c r="E26" s="210"/>
      <c r="F26" s="222"/>
      <c r="H26" s="9"/>
      <c r="I26" s="10"/>
      <c r="J26" s="10"/>
      <c r="K26" s="10"/>
      <c r="L26" s="10"/>
      <c r="M26" s="11"/>
      <c r="O26" s="9"/>
      <c r="P26" s="10"/>
      <c r="Q26" s="10"/>
      <c r="R26" s="10"/>
      <c r="S26" s="10"/>
      <c r="T26" s="11"/>
      <c r="V26" s="17"/>
      <c r="W26" s="10"/>
      <c r="X26" s="10"/>
      <c r="Y26" s="10"/>
      <c r="Z26" s="10"/>
      <c r="AA26" s="10"/>
      <c r="AB26" s="11"/>
      <c r="AD26" s="9"/>
      <c r="AE26" s="10"/>
      <c r="AF26" s="10"/>
      <c r="AG26" s="10"/>
      <c r="AH26" s="10"/>
      <c r="AI26" s="10"/>
      <c r="AJ26" s="10"/>
      <c r="AK26" s="54"/>
      <c r="AL26" s="39"/>
      <c r="AM26" s="11"/>
      <c r="AO26" s="9"/>
      <c r="AP26" s="10"/>
      <c r="AQ26" s="10"/>
      <c r="AR26" s="10"/>
      <c r="AS26" s="10"/>
      <c r="AT26" s="10"/>
      <c r="AU26" s="10"/>
      <c r="AV26" s="10"/>
      <c r="AW26" s="10"/>
      <c r="AX26" s="11"/>
      <c r="AY26" s="10"/>
      <c r="AZ26" s="9"/>
      <c r="BA26" s="10"/>
      <c r="BB26" s="10"/>
      <c r="BC26" s="10"/>
      <c r="BD26" s="10"/>
      <c r="BE26" s="10"/>
      <c r="BF26" s="10"/>
      <c r="BG26" s="10"/>
      <c r="BH26" s="10"/>
      <c r="BI26" s="11"/>
      <c r="BJ26" s="10"/>
      <c r="BK26" s="10"/>
      <c r="BL26" s="9"/>
      <c r="BM26" s="65"/>
      <c r="BN26" s="66"/>
      <c r="BO26" s="68"/>
      <c r="BP26" s="66"/>
      <c r="BQ26" s="66"/>
      <c r="BR26" s="11"/>
    </row>
    <row r="27" spans="1:70" x14ac:dyDescent="0.25">
      <c r="A27" s="221"/>
      <c r="B27" s="210"/>
      <c r="C27" s="210"/>
      <c r="D27" s="210"/>
      <c r="E27" s="210"/>
      <c r="F27" s="222"/>
      <c r="H27" s="9"/>
      <c r="I27" s="10"/>
      <c r="J27" s="10" t="s">
        <v>211</v>
      </c>
      <c r="K27" s="10"/>
      <c r="L27" s="10"/>
      <c r="M27" s="11"/>
      <c r="O27" s="9"/>
      <c r="P27" s="10"/>
      <c r="Q27" s="10"/>
      <c r="R27" s="10"/>
      <c r="S27" s="10"/>
      <c r="T27" s="11"/>
      <c r="V27" s="17"/>
      <c r="W27" s="10"/>
      <c r="X27" s="10"/>
      <c r="Y27" s="10"/>
      <c r="Z27" s="10"/>
      <c r="AA27" s="10"/>
      <c r="AB27" s="11"/>
      <c r="AD27" s="9"/>
      <c r="AE27" s="10"/>
      <c r="AF27" s="10"/>
      <c r="AG27" s="10"/>
      <c r="AH27" s="10"/>
      <c r="AI27" s="10"/>
      <c r="AJ27" s="10"/>
      <c r="AK27" s="54"/>
      <c r="AL27" s="39"/>
      <c r="AM27" s="11"/>
      <c r="AO27" s="9"/>
      <c r="AP27" s="10"/>
      <c r="AQ27" s="10"/>
      <c r="AR27" s="10"/>
      <c r="AS27" s="10"/>
      <c r="AT27" s="10"/>
      <c r="AU27" s="10"/>
      <c r="AV27" s="10"/>
      <c r="AW27" s="10"/>
      <c r="AX27" s="11"/>
      <c r="AY27" s="10"/>
      <c r="AZ27" s="9"/>
      <c r="BA27" s="10"/>
      <c r="BB27" s="10"/>
      <c r="BC27" s="10"/>
      <c r="BD27" s="10"/>
      <c r="BE27" s="10"/>
      <c r="BF27" s="10"/>
      <c r="BG27" s="10"/>
      <c r="BH27" s="10"/>
      <c r="BI27" s="11"/>
      <c r="BJ27" s="10"/>
      <c r="BK27" s="10"/>
      <c r="BL27" s="9"/>
      <c r="BM27" s="69"/>
      <c r="BN27" s="64"/>
      <c r="BO27" s="70"/>
      <c r="BP27" s="70"/>
      <c r="BQ27" s="70"/>
      <c r="BR27" s="11"/>
    </row>
    <row r="28" spans="1:70" x14ac:dyDescent="0.25">
      <c r="A28" s="71"/>
      <c r="B28" s="72"/>
      <c r="C28" s="72"/>
      <c r="D28" s="72"/>
      <c r="E28" s="72"/>
      <c r="F28" s="73"/>
      <c r="H28" s="12" t="s">
        <v>212</v>
      </c>
      <c r="I28" s="36" t="s">
        <v>213</v>
      </c>
      <c r="J28" s="74" t="s">
        <v>214</v>
      </c>
      <c r="K28" s="10"/>
      <c r="L28" s="10"/>
      <c r="M28" s="11"/>
      <c r="O28" s="9"/>
      <c r="P28" s="10"/>
      <c r="Q28" s="10"/>
      <c r="R28" s="10"/>
      <c r="S28" s="10"/>
      <c r="T28" s="11"/>
      <c r="V28" s="17"/>
      <c r="W28" s="10"/>
      <c r="X28" s="10"/>
      <c r="Y28" s="10"/>
      <c r="Z28" s="10"/>
      <c r="AA28" s="10"/>
      <c r="AB28" s="11"/>
      <c r="AD28" s="9"/>
      <c r="AE28" s="10"/>
      <c r="AF28" s="10"/>
      <c r="AG28" s="10"/>
      <c r="AH28" s="10"/>
      <c r="AI28" s="10"/>
      <c r="AJ28" s="10"/>
      <c r="AK28" s="54"/>
      <c r="AL28" s="39"/>
      <c r="AM28" s="11"/>
      <c r="AO28" s="9"/>
      <c r="AP28" s="10"/>
      <c r="AQ28" s="10"/>
      <c r="AR28" s="10"/>
      <c r="AS28" s="10"/>
      <c r="AT28" s="10"/>
      <c r="AU28" s="10"/>
      <c r="AV28" s="10"/>
      <c r="AW28" s="10"/>
      <c r="AX28" s="11"/>
      <c r="AY28" s="10"/>
      <c r="AZ28" s="9"/>
      <c r="BA28" s="10"/>
      <c r="BB28" s="10"/>
      <c r="BC28" s="10"/>
      <c r="BD28" s="10"/>
      <c r="BE28" s="10"/>
      <c r="BF28" s="10"/>
      <c r="BG28" s="10"/>
      <c r="BH28" s="10"/>
      <c r="BI28" s="11"/>
      <c r="BJ28" s="10"/>
      <c r="BK28" s="10"/>
      <c r="BL28" s="9"/>
      <c r="BM28" s="75"/>
      <c r="BN28" s="70"/>
      <c r="BO28" s="70"/>
      <c r="BP28" s="70"/>
      <c r="BQ28" s="70"/>
      <c r="BR28" s="11"/>
    </row>
    <row r="29" spans="1:70" x14ac:dyDescent="0.25">
      <c r="A29" s="71"/>
      <c r="B29" s="210"/>
      <c r="C29" s="210"/>
      <c r="D29" s="210"/>
      <c r="E29" s="210"/>
      <c r="F29" s="73"/>
      <c r="H29" s="9"/>
      <c r="I29" s="10"/>
      <c r="J29" s="10"/>
      <c r="K29" s="10"/>
      <c r="L29" s="10"/>
      <c r="M29" s="11"/>
      <c r="O29" s="9"/>
      <c r="P29" s="10"/>
      <c r="Q29" s="10"/>
      <c r="R29" s="10"/>
      <c r="S29" s="10"/>
      <c r="T29" s="11"/>
      <c r="V29" s="17"/>
      <c r="W29" s="10"/>
      <c r="X29" s="10"/>
      <c r="Y29" s="10"/>
      <c r="Z29" s="10"/>
      <c r="AA29" s="10"/>
      <c r="AB29" s="11"/>
      <c r="AD29" s="9"/>
      <c r="AE29" s="10"/>
      <c r="AF29" s="10"/>
      <c r="AG29" s="10"/>
      <c r="AH29" s="10"/>
      <c r="AI29" s="10"/>
      <c r="AJ29" s="10"/>
      <c r="AK29" s="54"/>
      <c r="AL29" s="39"/>
      <c r="AM29" s="11"/>
      <c r="AO29" s="9"/>
      <c r="AP29" s="10"/>
      <c r="AQ29" s="10"/>
      <c r="AR29" s="10"/>
      <c r="AS29" s="10"/>
      <c r="AT29" s="10"/>
      <c r="AU29" s="10"/>
      <c r="AV29" s="10"/>
      <c r="AW29" s="10"/>
      <c r="AX29" s="11"/>
      <c r="AY29" s="10"/>
      <c r="AZ29" s="9"/>
      <c r="BA29" s="10"/>
      <c r="BB29" s="10"/>
      <c r="BC29" s="10"/>
      <c r="BD29" s="10"/>
      <c r="BE29" s="10"/>
      <c r="BF29" s="10"/>
      <c r="BG29" s="10"/>
      <c r="BH29" s="10"/>
      <c r="BI29" s="11"/>
      <c r="BJ29" s="10"/>
      <c r="BK29" s="10"/>
      <c r="BL29" s="9"/>
      <c r="BM29" s="63"/>
      <c r="BN29" s="64"/>
      <c r="BO29" s="70"/>
      <c r="BP29" s="70"/>
      <c r="BQ29" s="70"/>
      <c r="BR29" s="11"/>
    </row>
    <row r="30" spans="1:70" x14ac:dyDescent="0.25">
      <c r="A30" s="71"/>
      <c r="B30" s="210"/>
      <c r="C30" s="210"/>
      <c r="D30" s="210"/>
      <c r="E30" s="210"/>
      <c r="F30" s="73"/>
      <c r="H30" s="9"/>
      <c r="I30" s="10"/>
      <c r="J30" s="10"/>
      <c r="K30" s="10"/>
      <c r="L30" s="10"/>
      <c r="M30" s="11"/>
      <c r="O30" s="9"/>
      <c r="P30" s="10"/>
      <c r="Q30" s="10"/>
      <c r="R30" s="10"/>
      <c r="S30" s="10"/>
      <c r="T30" s="11"/>
      <c r="V30" s="17"/>
      <c r="W30" s="10"/>
      <c r="X30" s="10"/>
      <c r="Y30" s="10"/>
      <c r="Z30" s="10"/>
      <c r="AA30" s="10"/>
      <c r="AB30" s="11"/>
      <c r="AD30" s="9"/>
      <c r="AE30" s="10"/>
      <c r="AF30" s="10"/>
      <c r="AG30" s="10"/>
      <c r="AH30" s="10"/>
      <c r="AI30" s="10"/>
      <c r="AJ30" s="10"/>
      <c r="AK30" s="54"/>
      <c r="AL30" s="76"/>
      <c r="AM30" s="11"/>
      <c r="AO30" s="9"/>
      <c r="AP30" s="10"/>
      <c r="AQ30" s="10"/>
      <c r="AR30" s="10"/>
      <c r="AS30" s="10"/>
      <c r="AT30" s="10"/>
      <c r="AU30" s="10"/>
      <c r="AV30" s="10"/>
      <c r="AW30" s="10"/>
      <c r="AX30" s="11"/>
      <c r="AY30" s="10"/>
      <c r="AZ30" s="9"/>
      <c r="BA30" s="10"/>
      <c r="BB30" s="10"/>
      <c r="BC30" s="10"/>
      <c r="BD30" s="10"/>
      <c r="BE30" s="10"/>
      <c r="BF30" s="10"/>
      <c r="BG30" s="10"/>
      <c r="BH30" s="10"/>
      <c r="BI30" s="11"/>
      <c r="BJ30" s="10"/>
      <c r="BK30" s="10"/>
      <c r="BL30" s="9"/>
      <c r="BM30" s="63"/>
      <c r="BN30" s="64"/>
      <c r="BO30" s="70"/>
      <c r="BP30" s="70"/>
      <c r="BQ30" s="70"/>
      <c r="BR30" s="11"/>
    </row>
    <row r="31" spans="1:70" x14ac:dyDescent="0.25">
      <c r="A31" s="213" t="e">
        <f>+'[1]PRI-EXC-BLEN BOOKING INST'!#REF!</f>
        <v>#REF!</v>
      </c>
      <c r="B31" s="214"/>
      <c r="C31" s="214"/>
      <c r="D31" s="214"/>
      <c r="E31" s="214"/>
      <c r="F31" s="215"/>
      <c r="H31" s="9"/>
      <c r="I31" s="10"/>
      <c r="J31" s="52" t="s">
        <v>215</v>
      </c>
      <c r="K31" s="10"/>
      <c r="L31" s="10"/>
      <c r="M31" s="11"/>
      <c r="O31" s="9"/>
      <c r="P31" s="10"/>
      <c r="Q31" s="10"/>
      <c r="R31" s="10"/>
      <c r="S31" s="10"/>
      <c r="T31" s="11"/>
      <c r="V31" s="17"/>
      <c r="W31" s="10"/>
      <c r="X31" s="10"/>
      <c r="Y31" s="10"/>
      <c r="Z31" s="10"/>
      <c r="AA31" s="10"/>
      <c r="AB31" s="11"/>
      <c r="AD31" s="9"/>
      <c r="AE31" s="10"/>
      <c r="AF31" s="10"/>
      <c r="AG31" s="10"/>
      <c r="AH31" s="10"/>
      <c r="AI31" s="10"/>
      <c r="AJ31" s="10"/>
      <c r="AK31" s="54"/>
      <c r="AL31" s="76"/>
      <c r="AM31" s="11"/>
      <c r="AO31" s="9"/>
      <c r="AP31" s="10"/>
      <c r="AQ31" s="10"/>
      <c r="AR31" s="10"/>
      <c r="AS31" s="10"/>
      <c r="AT31" s="10"/>
      <c r="AU31" s="10"/>
      <c r="AV31" s="10"/>
      <c r="AW31" s="10"/>
      <c r="AX31" s="11"/>
      <c r="AY31" s="10"/>
      <c r="AZ31" s="9"/>
      <c r="BA31" s="10"/>
      <c r="BB31" s="10"/>
      <c r="BC31" s="10"/>
      <c r="BD31" s="10"/>
      <c r="BE31" s="10"/>
      <c r="BF31" s="10"/>
      <c r="BG31" s="10"/>
      <c r="BH31" s="10"/>
      <c r="BI31" s="11"/>
      <c r="BJ31" s="10"/>
      <c r="BK31" s="10"/>
      <c r="BL31" s="9"/>
      <c r="BM31" s="69"/>
      <c r="BN31" s="64"/>
      <c r="BO31" s="70"/>
      <c r="BP31" s="70"/>
      <c r="BQ31" s="70"/>
      <c r="BR31" s="11"/>
    </row>
    <row r="32" spans="1:70" x14ac:dyDescent="0.25">
      <c r="A32" s="77" t="s">
        <v>216</v>
      </c>
      <c r="B32" s="78" t="e">
        <f>+'[1]PRI-EXC-BLEN BOOKING INST'!#REF!</f>
        <v>#REF!</v>
      </c>
      <c r="C32" s="10"/>
      <c r="D32" s="79" t="e">
        <f>+'[1]PRI-EXC-BLEN BOOKING INST'!#REF!</f>
        <v>#REF!</v>
      </c>
      <c r="E32" s="78"/>
      <c r="F32" s="73"/>
      <c r="H32" s="12" t="s">
        <v>217</v>
      </c>
      <c r="I32" s="36" t="s">
        <v>218</v>
      </c>
      <c r="J32" s="80" t="s">
        <v>156</v>
      </c>
      <c r="K32" s="10"/>
      <c r="L32" s="10"/>
      <c r="M32" s="11"/>
      <c r="O32" s="9"/>
      <c r="P32" s="10"/>
      <c r="Q32" s="10"/>
      <c r="R32" s="10"/>
      <c r="S32" s="10"/>
      <c r="T32" s="11"/>
      <c r="V32" s="17"/>
      <c r="W32" s="10"/>
      <c r="X32" s="10"/>
      <c r="Y32" s="10"/>
      <c r="Z32" s="10"/>
      <c r="AA32" s="10"/>
      <c r="AB32" s="11"/>
      <c r="AD32" s="9"/>
      <c r="AE32" s="10"/>
      <c r="AF32" s="10"/>
      <c r="AG32" s="10"/>
      <c r="AH32" s="10"/>
      <c r="AI32" s="10"/>
      <c r="AJ32" s="10"/>
      <c r="AK32" s="54"/>
      <c r="AL32" s="10"/>
      <c r="AM32" s="11"/>
      <c r="AO32" s="9"/>
      <c r="AP32" s="10"/>
      <c r="AQ32" s="10"/>
      <c r="AR32" s="10"/>
      <c r="AS32" s="10"/>
      <c r="AT32" s="10"/>
      <c r="AU32" s="10"/>
      <c r="AV32" s="10"/>
      <c r="AW32" s="10"/>
      <c r="AX32" s="11"/>
      <c r="AY32" s="10"/>
      <c r="AZ32" s="9"/>
      <c r="BA32" s="10"/>
      <c r="BB32" s="10"/>
      <c r="BC32" s="10"/>
      <c r="BD32" s="10"/>
      <c r="BE32" s="10"/>
      <c r="BF32" s="10"/>
      <c r="BG32" s="10"/>
      <c r="BH32" s="10"/>
      <c r="BI32" s="11"/>
      <c r="BJ32" s="10"/>
      <c r="BK32" s="10"/>
      <c r="BL32" s="9"/>
      <c r="BM32" s="69"/>
      <c r="BN32" s="64"/>
      <c r="BO32" s="70"/>
      <c r="BP32" s="70"/>
      <c r="BQ32" s="70"/>
      <c r="BR32" s="11"/>
    </row>
    <row r="33" spans="1:70" x14ac:dyDescent="0.25">
      <c r="A33" s="71"/>
      <c r="B33" s="78" t="e">
        <f>+'[1]PRI-EXC-BLEN BOOKING INST'!#REF!</f>
        <v>#REF!</v>
      </c>
      <c r="C33" s="10"/>
      <c r="D33" s="79" t="e">
        <f>+'[1]PRI-EXC-BLEN BOOKING INST'!#REF!</f>
        <v>#REF!</v>
      </c>
      <c r="E33" s="78"/>
      <c r="F33" s="73"/>
      <c r="H33" s="9"/>
      <c r="I33" s="10"/>
      <c r="J33" s="10"/>
      <c r="K33" s="10"/>
      <c r="L33" s="10"/>
      <c r="M33" s="11"/>
      <c r="O33" s="9"/>
      <c r="P33" s="10"/>
      <c r="Q33" s="10"/>
      <c r="R33" s="10"/>
      <c r="S33" s="10"/>
      <c r="T33" s="11"/>
      <c r="V33" s="17"/>
      <c r="W33" s="10"/>
      <c r="X33" s="10"/>
      <c r="Y33" s="10"/>
      <c r="Z33" s="10"/>
      <c r="AA33" s="10"/>
      <c r="AB33" s="11"/>
      <c r="AD33" s="9"/>
      <c r="AE33" s="10"/>
      <c r="AF33" s="10"/>
      <c r="AG33" s="10"/>
      <c r="AH33" s="10"/>
      <c r="AI33" s="10"/>
      <c r="AJ33" s="10"/>
      <c r="AK33" s="10"/>
      <c r="AL33" s="10"/>
      <c r="AM33" s="11"/>
      <c r="AO33" s="9"/>
      <c r="AP33" s="10"/>
      <c r="AQ33" s="10"/>
      <c r="AR33" s="10"/>
      <c r="AS33" s="10"/>
      <c r="AT33" s="10"/>
      <c r="AU33" s="10"/>
      <c r="AV33" s="10"/>
      <c r="AW33" s="10"/>
      <c r="AX33" s="11"/>
      <c r="AY33" s="10"/>
      <c r="AZ33" s="9"/>
      <c r="BA33" s="10"/>
      <c r="BB33" s="10"/>
      <c r="BC33" s="10"/>
      <c r="BD33" s="10"/>
      <c r="BE33" s="10"/>
      <c r="BF33" s="10"/>
      <c r="BG33" s="10"/>
      <c r="BH33" s="10"/>
      <c r="BI33" s="11"/>
      <c r="BJ33" s="10"/>
      <c r="BK33" s="10"/>
      <c r="BL33" s="9"/>
      <c r="BM33" s="69"/>
      <c r="BN33" s="64"/>
      <c r="BO33" s="70"/>
      <c r="BP33" s="70"/>
      <c r="BQ33" s="70"/>
      <c r="BR33" s="11"/>
    </row>
    <row r="34" spans="1:70" x14ac:dyDescent="0.25">
      <c r="A34" s="71"/>
      <c r="B34" s="78" t="e">
        <f>+'[1]PRI-EXC-BLEN BOOKING INST'!#REF!</f>
        <v>#REF!</v>
      </c>
      <c r="C34" s="10"/>
      <c r="D34" s="81" t="e">
        <f>+'[1]PRI-EXC-BLEN BOOKING INST'!#REF!</f>
        <v>#REF!</v>
      </c>
      <c r="E34" s="78"/>
      <c r="F34" s="73"/>
      <c r="H34" s="9"/>
      <c r="I34" s="10"/>
      <c r="J34" s="10"/>
      <c r="K34" s="10"/>
      <c r="L34" s="10"/>
      <c r="M34" s="11"/>
      <c r="O34" s="9"/>
      <c r="P34" s="10"/>
      <c r="Q34" s="10"/>
      <c r="R34" s="10"/>
      <c r="S34" s="10"/>
      <c r="T34" s="11"/>
      <c r="V34" s="17"/>
      <c r="W34" s="10"/>
      <c r="X34" s="10"/>
      <c r="Y34" s="10"/>
      <c r="Z34" s="10"/>
      <c r="AA34" s="10"/>
      <c r="AB34" s="11"/>
      <c r="AD34" s="9"/>
      <c r="AE34" s="10"/>
      <c r="AF34" s="10"/>
      <c r="AG34" s="10"/>
      <c r="AH34" s="10"/>
      <c r="AI34" s="10"/>
      <c r="AJ34" s="10"/>
      <c r="AK34" s="10"/>
      <c r="AL34" s="10"/>
      <c r="AM34" s="11"/>
      <c r="AO34" s="9"/>
      <c r="AP34" s="10"/>
      <c r="AQ34" s="10"/>
      <c r="AR34" s="10"/>
      <c r="AS34" s="10"/>
      <c r="AT34" s="10"/>
      <c r="AU34" s="10"/>
      <c r="AV34" s="10"/>
      <c r="AW34" s="10"/>
      <c r="AX34" s="11"/>
      <c r="AY34" s="10"/>
      <c r="AZ34" s="9"/>
      <c r="BA34" s="10"/>
      <c r="BB34" s="10"/>
      <c r="BC34" s="10"/>
      <c r="BD34" s="10"/>
      <c r="BE34" s="10"/>
      <c r="BF34" s="10"/>
      <c r="BG34" s="10"/>
      <c r="BH34" s="10"/>
      <c r="BI34" s="11"/>
      <c r="BJ34" s="10"/>
      <c r="BK34" s="10"/>
      <c r="BL34" s="9"/>
      <c r="BM34" s="69"/>
      <c r="BN34" s="64"/>
      <c r="BO34" s="70"/>
      <c r="BP34" s="70"/>
      <c r="BQ34" s="70"/>
      <c r="BR34" s="11"/>
    </row>
    <row r="35" spans="1:70" x14ac:dyDescent="0.25">
      <c r="A35" s="71"/>
      <c r="B35" s="78" t="e">
        <f>+'[1]PRI-EXC-BLEN BOOKING INST'!#REF!</f>
        <v>#REF!</v>
      </c>
      <c r="C35" s="10"/>
      <c r="D35" s="79" t="e">
        <f>+'[1]PRI-EXC-BLEN BOOKING INST'!#REF!</f>
        <v>#REF!</v>
      </c>
      <c r="E35" s="78"/>
      <c r="F35" s="73"/>
      <c r="H35" s="9"/>
      <c r="I35" s="10"/>
      <c r="J35" s="10"/>
      <c r="K35" s="10"/>
      <c r="L35" s="10"/>
      <c r="M35" s="11"/>
      <c r="O35" s="9"/>
      <c r="P35" s="10"/>
      <c r="Q35" s="10"/>
      <c r="R35" s="10"/>
      <c r="S35" s="10"/>
      <c r="T35" s="11"/>
      <c r="V35" s="17"/>
      <c r="W35" s="10"/>
      <c r="X35" s="10"/>
      <c r="Y35" s="10"/>
      <c r="Z35" s="10"/>
      <c r="AA35" s="10"/>
      <c r="AB35" s="11"/>
      <c r="AD35" s="9"/>
      <c r="AE35" s="10"/>
      <c r="AF35" s="10"/>
      <c r="AG35" s="10"/>
      <c r="AH35" s="10"/>
      <c r="AI35" s="10"/>
      <c r="AJ35" s="10"/>
      <c r="AK35" s="10"/>
      <c r="AL35" s="10"/>
      <c r="AM35" s="11"/>
      <c r="AO35" s="9"/>
      <c r="AP35" s="10"/>
      <c r="AQ35" s="10"/>
      <c r="AR35" s="10"/>
      <c r="AS35" s="10"/>
      <c r="AT35" s="10"/>
      <c r="AU35" s="10"/>
      <c r="AV35" s="10"/>
      <c r="AW35" s="10"/>
      <c r="AX35" s="11"/>
      <c r="AY35" s="10"/>
      <c r="AZ35" s="9"/>
      <c r="BA35" s="10"/>
      <c r="BB35" s="10"/>
      <c r="BC35" s="10"/>
      <c r="BD35" s="10"/>
      <c r="BE35" s="10"/>
      <c r="BF35" s="10"/>
      <c r="BG35" s="10"/>
      <c r="BH35" s="10"/>
      <c r="BI35" s="11"/>
      <c r="BJ35" s="10"/>
      <c r="BK35" s="10"/>
      <c r="BL35" s="9"/>
      <c r="BM35" s="69"/>
      <c r="BN35" s="64"/>
      <c r="BO35" s="70"/>
      <c r="BP35" s="70"/>
      <c r="BQ35" s="70"/>
      <c r="BR35" s="11"/>
    </row>
    <row r="36" spans="1:70" x14ac:dyDescent="0.25">
      <c r="A36" s="71"/>
      <c r="B36" s="78" t="e">
        <f>+'[1]PRI-EXC-BLEN BOOKING INST'!#REF!</f>
        <v>#REF!</v>
      </c>
      <c r="C36" s="10"/>
      <c r="D36" s="79" t="e">
        <f>+'[1]PRI-EXC-BLEN BOOKING INST'!#REF!</f>
        <v>#REF!</v>
      </c>
      <c r="E36" s="78"/>
      <c r="F36" s="73"/>
      <c r="H36" s="9"/>
      <c r="I36" s="10"/>
      <c r="J36" s="10"/>
      <c r="K36" s="10"/>
      <c r="L36" s="10"/>
      <c r="M36" s="11"/>
      <c r="O36" s="9"/>
      <c r="P36" s="10"/>
      <c r="Q36" s="10"/>
      <c r="R36" s="10"/>
      <c r="S36" s="10"/>
      <c r="T36" s="11"/>
      <c r="V36" s="17"/>
      <c r="W36" s="10"/>
      <c r="X36" s="10"/>
      <c r="Y36" s="10"/>
      <c r="Z36" s="10"/>
      <c r="AA36" s="10"/>
      <c r="AB36" s="11"/>
      <c r="AD36" s="9"/>
      <c r="AE36" s="10"/>
      <c r="AF36" s="10"/>
      <c r="AG36" s="10"/>
      <c r="AH36" s="10"/>
      <c r="AI36" s="10"/>
      <c r="AJ36" s="10"/>
      <c r="AK36" s="10"/>
      <c r="AL36" s="10"/>
      <c r="AM36" s="11"/>
      <c r="AO36" s="9"/>
      <c r="AP36" s="10"/>
      <c r="AQ36" s="10"/>
      <c r="AR36" s="10"/>
      <c r="AS36" s="10"/>
      <c r="AT36" s="10"/>
      <c r="AU36" s="10"/>
      <c r="AV36" s="10"/>
      <c r="AW36" s="10"/>
      <c r="AX36" s="11"/>
      <c r="AY36" s="10"/>
      <c r="AZ36" s="9"/>
      <c r="BA36" s="10"/>
      <c r="BB36" s="10"/>
      <c r="BC36" s="10"/>
      <c r="BD36" s="10"/>
      <c r="BE36" s="10"/>
      <c r="BF36" s="10"/>
      <c r="BG36" s="10"/>
      <c r="BH36" s="10"/>
      <c r="BI36" s="11"/>
      <c r="BJ36" s="10"/>
      <c r="BK36" s="10"/>
      <c r="BL36" s="9"/>
      <c r="BM36" s="69"/>
      <c r="BN36" s="64"/>
      <c r="BO36" s="70"/>
      <c r="BP36" s="70"/>
      <c r="BQ36" s="70"/>
      <c r="BR36" s="11"/>
    </row>
    <row r="37" spans="1:70" x14ac:dyDescent="0.25">
      <c r="A37" s="71"/>
      <c r="B37" s="72"/>
      <c r="C37" s="72"/>
      <c r="D37" s="72"/>
      <c r="E37" s="72"/>
      <c r="F37" s="73"/>
      <c r="H37" s="9"/>
      <c r="I37" s="10"/>
      <c r="J37" s="10"/>
      <c r="K37" s="10"/>
      <c r="L37" s="10"/>
      <c r="M37" s="11"/>
      <c r="O37" s="9"/>
      <c r="P37" s="10"/>
      <c r="Q37" s="10"/>
      <c r="R37" s="10"/>
      <c r="S37" s="10"/>
      <c r="T37" s="11"/>
      <c r="V37" s="17"/>
      <c r="W37" s="10"/>
      <c r="X37" s="10"/>
      <c r="Y37" s="10"/>
      <c r="Z37" s="10"/>
      <c r="AA37" s="10"/>
      <c r="AB37" s="11"/>
      <c r="AD37" s="9"/>
      <c r="AE37" s="10"/>
      <c r="AF37" s="10"/>
      <c r="AG37" s="10"/>
      <c r="AH37" s="10"/>
      <c r="AI37" s="10"/>
      <c r="AJ37" s="10"/>
      <c r="AK37" s="10"/>
      <c r="AL37" s="10"/>
      <c r="AM37" s="11"/>
      <c r="AO37" s="9"/>
      <c r="AP37" s="10"/>
      <c r="AQ37" s="10"/>
      <c r="AR37" s="10"/>
      <c r="AS37" s="10"/>
      <c r="AT37" s="10"/>
      <c r="AU37" s="10"/>
      <c r="AV37" s="10"/>
      <c r="AW37" s="10"/>
      <c r="AX37" s="11"/>
      <c r="AY37" s="10"/>
      <c r="AZ37" s="9"/>
      <c r="BA37" s="10"/>
      <c r="BB37" s="10"/>
      <c r="BC37" s="10"/>
      <c r="BD37" s="10"/>
      <c r="BE37" s="10"/>
      <c r="BF37" s="10"/>
      <c r="BG37" s="10"/>
      <c r="BH37" s="10"/>
      <c r="BI37" s="11"/>
      <c r="BJ37" s="10"/>
      <c r="BK37" s="10"/>
      <c r="BL37" s="9"/>
      <c r="BM37" s="82"/>
      <c r="BN37" s="70"/>
      <c r="BO37" s="70"/>
      <c r="BP37" s="70"/>
      <c r="BQ37" s="70"/>
      <c r="BR37" s="11"/>
    </row>
    <row r="38" spans="1:70" x14ac:dyDescent="0.25">
      <c r="A38" s="71"/>
      <c r="B38" s="72"/>
      <c r="C38" s="72"/>
      <c r="D38" s="72"/>
      <c r="E38" s="72"/>
      <c r="F38" s="73"/>
      <c r="H38" s="9"/>
      <c r="I38" s="10"/>
      <c r="J38" s="10"/>
      <c r="K38" s="10"/>
      <c r="L38" s="10"/>
      <c r="M38" s="11"/>
      <c r="O38" s="9"/>
      <c r="P38" s="10"/>
      <c r="Q38" s="10"/>
      <c r="R38" s="10"/>
      <c r="S38" s="10"/>
      <c r="T38" s="11"/>
      <c r="V38" s="17"/>
      <c r="W38" s="10"/>
      <c r="X38" s="10"/>
      <c r="Y38" s="10"/>
      <c r="Z38" s="10"/>
      <c r="AA38" s="10"/>
      <c r="AB38" s="11"/>
      <c r="AD38" s="9"/>
      <c r="AE38" s="10"/>
      <c r="AF38" s="10"/>
      <c r="AG38" s="10"/>
      <c r="AH38" s="10"/>
      <c r="AI38" s="10"/>
      <c r="AJ38" s="10"/>
      <c r="AK38" s="10"/>
      <c r="AL38" s="10"/>
      <c r="AM38" s="11"/>
      <c r="AO38" s="9"/>
      <c r="AP38" s="10"/>
      <c r="AQ38" s="10"/>
      <c r="AR38" s="10"/>
      <c r="AS38" s="10"/>
      <c r="AT38" s="10"/>
      <c r="AU38" s="10"/>
      <c r="AV38" s="10"/>
      <c r="AW38" s="10"/>
      <c r="AX38" s="11"/>
      <c r="AY38" s="10"/>
      <c r="AZ38" s="9"/>
      <c r="BA38" s="10"/>
      <c r="BB38" s="10"/>
      <c r="BC38" s="10"/>
      <c r="BD38" s="10"/>
      <c r="BE38" s="10"/>
      <c r="BF38" s="10"/>
      <c r="BG38" s="10"/>
      <c r="BH38" s="10"/>
      <c r="BI38" s="11"/>
      <c r="BJ38" s="10"/>
      <c r="BK38" s="10"/>
      <c r="BL38" s="9"/>
      <c r="BM38" s="65"/>
      <c r="BN38" s="64"/>
      <c r="BO38" s="70"/>
      <c r="BP38" s="70"/>
      <c r="BQ38" s="70"/>
      <c r="BR38" s="11"/>
    </row>
    <row r="39" spans="1:70" x14ac:dyDescent="0.25">
      <c r="A39" s="71"/>
      <c r="B39" s="72"/>
      <c r="C39" s="72"/>
      <c r="D39" s="72"/>
      <c r="E39" s="72"/>
      <c r="F39" s="73"/>
      <c r="H39" s="9"/>
      <c r="I39" s="10"/>
      <c r="J39" s="10"/>
      <c r="K39" s="10"/>
      <c r="L39" s="10"/>
      <c r="M39" s="11"/>
      <c r="O39" s="9"/>
      <c r="P39" s="10"/>
      <c r="Q39" s="10"/>
      <c r="R39" s="10"/>
      <c r="S39" s="10"/>
      <c r="T39" s="11"/>
      <c r="V39" s="17"/>
      <c r="W39" s="10"/>
      <c r="X39" s="10"/>
      <c r="Y39" s="10"/>
      <c r="Z39" s="10"/>
      <c r="AA39" s="10"/>
      <c r="AB39" s="11"/>
      <c r="AD39" s="9"/>
      <c r="AE39" s="10"/>
      <c r="AF39" s="10"/>
      <c r="AG39" s="10"/>
      <c r="AH39" s="10"/>
      <c r="AI39" s="10"/>
      <c r="AJ39" s="10"/>
      <c r="AK39" s="10"/>
      <c r="AL39" s="10"/>
      <c r="AM39" s="11"/>
      <c r="AO39" s="9"/>
      <c r="AP39" s="10"/>
      <c r="AQ39" s="10"/>
      <c r="AR39" s="10"/>
      <c r="AS39" s="10"/>
      <c r="AT39" s="10"/>
      <c r="AU39" s="10"/>
      <c r="AV39" s="10"/>
      <c r="AW39" s="10"/>
      <c r="AX39" s="11"/>
      <c r="AY39" s="10"/>
      <c r="AZ39" s="9"/>
      <c r="BA39" s="10"/>
      <c r="BB39" s="10"/>
      <c r="BC39" s="10"/>
      <c r="BD39" s="10"/>
      <c r="BE39" s="10"/>
      <c r="BF39" s="10"/>
      <c r="BG39" s="10"/>
      <c r="BH39" s="10"/>
      <c r="BI39" s="11"/>
      <c r="BJ39" s="10"/>
      <c r="BK39" s="10"/>
      <c r="BL39" s="9"/>
      <c r="BM39" s="18"/>
      <c r="BN39" s="10"/>
      <c r="BO39" s="10"/>
      <c r="BP39" s="10"/>
      <c r="BQ39" s="10"/>
      <c r="BR39" s="11"/>
    </row>
    <row r="40" spans="1:70" x14ac:dyDescent="0.25">
      <c r="A40" s="71"/>
      <c r="B40" s="72"/>
      <c r="C40" s="72"/>
      <c r="D40" s="72"/>
      <c r="E40" s="72"/>
      <c r="F40" s="73"/>
      <c r="H40" s="9"/>
      <c r="I40" s="10"/>
      <c r="J40" s="10"/>
      <c r="K40" s="10"/>
      <c r="L40" s="10"/>
      <c r="M40" s="11"/>
      <c r="O40" s="9"/>
      <c r="P40" s="10"/>
      <c r="Q40" s="10"/>
      <c r="R40" s="10"/>
      <c r="S40" s="10"/>
      <c r="T40" s="11"/>
      <c r="V40" s="17"/>
      <c r="W40" s="10"/>
      <c r="X40" s="10"/>
      <c r="Y40" s="10"/>
      <c r="Z40" s="10"/>
      <c r="AA40" s="10"/>
      <c r="AB40" s="11"/>
      <c r="AD40" s="9"/>
      <c r="AE40" s="10"/>
      <c r="AF40" s="10"/>
      <c r="AG40" s="10"/>
      <c r="AH40" s="10"/>
      <c r="AI40" s="10"/>
      <c r="AJ40" s="10"/>
      <c r="AK40" s="10"/>
      <c r="AL40" s="10"/>
      <c r="AM40" s="11"/>
      <c r="AO40" s="9"/>
      <c r="AP40" s="10"/>
      <c r="AQ40" s="10"/>
      <c r="AR40" s="10"/>
      <c r="AS40" s="10"/>
      <c r="AT40" s="10"/>
      <c r="AU40" s="10"/>
      <c r="AV40" s="10"/>
      <c r="AW40" s="10"/>
      <c r="AX40" s="11"/>
      <c r="AY40" s="10"/>
      <c r="AZ40" s="9"/>
      <c r="BA40" s="10"/>
      <c r="BB40" s="10"/>
      <c r="BC40" s="10"/>
      <c r="BD40" s="10"/>
      <c r="BE40" s="10"/>
      <c r="BF40" s="10"/>
      <c r="BG40" s="10"/>
      <c r="BH40" s="10"/>
      <c r="BI40" s="11"/>
      <c r="BJ40" s="10"/>
      <c r="BK40" s="10"/>
      <c r="BL40" s="9"/>
      <c r="BM40" s="18"/>
      <c r="BN40" s="10"/>
      <c r="BO40" s="10"/>
      <c r="BP40" s="10"/>
      <c r="BQ40" s="10"/>
      <c r="BR40" s="11"/>
    </row>
    <row r="41" spans="1:70" ht="16.5" thickBot="1" x14ac:dyDescent="0.3">
      <c r="A41" s="83"/>
      <c r="B41" s="84"/>
      <c r="C41" s="84"/>
      <c r="D41" s="84"/>
      <c r="E41" s="84"/>
      <c r="F41" s="85"/>
      <c r="H41" s="86"/>
      <c r="I41" s="87"/>
      <c r="J41" s="87"/>
      <c r="K41" s="87"/>
      <c r="L41" s="87"/>
      <c r="M41" s="88"/>
      <c r="O41" s="86"/>
      <c r="P41" s="87"/>
      <c r="Q41" s="87"/>
      <c r="R41" s="87"/>
      <c r="S41" s="87"/>
      <c r="T41" s="88"/>
      <c r="V41" s="89"/>
      <c r="W41" s="87"/>
      <c r="X41" s="87"/>
      <c r="Y41" s="87"/>
      <c r="Z41" s="87"/>
      <c r="AA41" s="87"/>
      <c r="AB41" s="88"/>
      <c r="AD41" s="86"/>
      <c r="AE41" s="87"/>
      <c r="AF41" s="87"/>
      <c r="AG41" s="87"/>
      <c r="AH41" s="87"/>
      <c r="AI41" s="87"/>
      <c r="AJ41" s="87"/>
      <c r="AK41" s="87"/>
      <c r="AL41" s="87"/>
      <c r="AM41" s="88"/>
      <c r="AO41" s="86"/>
      <c r="AP41" s="87"/>
      <c r="AQ41" s="87"/>
      <c r="AR41" s="87"/>
      <c r="AS41" s="87"/>
      <c r="AT41" s="87"/>
      <c r="AU41" s="87"/>
      <c r="AV41" s="87"/>
      <c r="AW41" s="87"/>
      <c r="AX41" s="88"/>
      <c r="AY41" s="10"/>
      <c r="AZ41" s="86"/>
      <c r="BA41" s="87"/>
      <c r="BB41" s="87"/>
      <c r="BC41" s="87"/>
      <c r="BD41" s="87"/>
      <c r="BE41" s="87"/>
      <c r="BF41" s="87"/>
      <c r="BG41" s="87"/>
      <c r="BH41" s="87"/>
      <c r="BI41" s="88"/>
      <c r="BJ41" s="10"/>
      <c r="BK41" s="10"/>
      <c r="BL41" s="86"/>
      <c r="BM41" s="216"/>
      <c r="BN41" s="216"/>
      <c r="BO41" s="216"/>
      <c r="BP41" s="216"/>
      <c r="BQ41" s="216"/>
      <c r="BR41" s="88"/>
    </row>
    <row r="42" spans="1:70" x14ac:dyDescent="0.25">
      <c r="BM42" s="82"/>
      <c r="BN42" s="90"/>
      <c r="BO42" s="91"/>
      <c r="BP42" s="91"/>
      <c r="BQ42" s="91"/>
    </row>
    <row r="43" spans="1:70" x14ac:dyDescent="0.25">
      <c r="BM43" s="92"/>
      <c r="BN43" s="93"/>
      <c r="BO43" s="91"/>
      <c r="BP43" s="91"/>
      <c r="BQ43" s="91"/>
    </row>
    <row r="44" spans="1:70" x14ac:dyDescent="0.25">
      <c r="BM44" s="82"/>
      <c r="BN44" s="90"/>
      <c r="BO44" s="91"/>
      <c r="BP44" s="91"/>
      <c r="BQ44" s="91"/>
    </row>
    <row r="45" spans="1:70" x14ac:dyDescent="0.25">
      <c r="BM45" s="92"/>
      <c r="BN45" s="93"/>
      <c r="BO45" s="91"/>
      <c r="BP45" s="91"/>
      <c r="BQ45" s="91"/>
    </row>
    <row r="46" spans="1:70" x14ac:dyDescent="0.25">
      <c r="BM46" s="65"/>
      <c r="BN46" s="90"/>
      <c r="BO46" s="91"/>
      <c r="BP46" s="91"/>
      <c r="BQ46" s="91"/>
    </row>
    <row r="47" spans="1:70" x14ac:dyDescent="0.25">
      <c r="BM47" s="65"/>
      <c r="BN47" s="90"/>
      <c r="BO47" s="91"/>
      <c r="BP47" s="91"/>
      <c r="BQ47" s="91"/>
    </row>
    <row r="48" spans="1:70" x14ac:dyDescent="0.25">
      <c r="BM48" s="65"/>
      <c r="BN48" s="90"/>
      <c r="BO48" s="91"/>
      <c r="BP48" s="91"/>
      <c r="BQ48" s="91"/>
    </row>
    <row r="49" spans="65:69" x14ac:dyDescent="0.25">
      <c r="BM49" s="65"/>
      <c r="BN49" s="90"/>
      <c r="BO49" s="91"/>
      <c r="BP49" s="91"/>
      <c r="BQ49" s="91"/>
    </row>
    <row r="50" spans="65:69" x14ac:dyDescent="0.25">
      <c r="BM50" s="94"/>
      <c r="BN50" s="95"/>
      <c r="BO50" s="91"/>
      <c r="BP50" s="91"/>
      <c r="BQ50" s="91"/>
    </row>
    <row r="51" spans="65:69" x14ac:dyDescent="0.25">
      <c r="BM51" s="92"/>
      <c r="BN51" s="18"/>
      <c r="BO51" s="93"/>
      <c r="BP51" s="93"/>
      <c r="BQ51" s="93"/>
    </row>
  </sheetData>
  <mergeCells count="27">
    <mergeCell ref="A1:F1"/>
    <mergeCell ref="H1:M1"/>
    <mergeCell ref="O1:T1"/>
    <mergeCell ref="V1:AB1"/>
    <mergeCell ref="AD1:AM1"/>
    <mergeCell ref="AO1:AX1"/>
    <mergeCell ref="AZ1:BI1"/>
    <mergeCell ref="BL1:BR1"/>
    <mergeCell ref="AS2:AU2"/>
    <mergeCell ref="Q3:R4"/>
    <mergeCell ref="V3:V4"/>
    <mergeCell ref="W3:W4"/>
    <mergeCell ref="X3:X4"/>
    <mergeCell ref="Y3:Y4"/>
    <mergeCell ref="Z3:Z4"/>
    <mergeCell ref="AB3:AB4"/>
    <mergeCell ref="AG3:AI6"/>
    <mergeCell ref="BL5:BR5"/>
    <mergeCell ref="AT8:AV9"/>
    <mergeCell ref="W9:AA10"/>
    <mergeCell ref="A31:F31"/>
    <mergeCell ref="BM41:BQ41"/>
    <mergeCell ref="AG17:AJ18"/>
    <mergeCell ref="AF24:AG25"/>
    <mergeCell ref="A25:F25"/>
    <mergeCell ref="A26:F27"/>
    <mergeCell ref="B29:E30"/>
  </mergeCells>
  <conditionalFormatting sqref="A25:F25">
    <cfRule type="expression" dxfId="0" priority="1">
      <formula>$N$25=""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FILL OUT</vt:lpstr>
      <vt:lpstr>Base de Datos</vt:lpstr>
      <vt:lpstr>Plantilla Envio</vt:lpstr>
      <vt:lpstr>Sheet1</vt:lpstr>
      <vt:lpstr>Sheet2</vt:lpstr>
      <vt:lpstr>Recepcion</vt:lpstr>
      <vt:lpstr>Control</vt:lpstr>
      <vt:lpstr>Resumen Ago_Sep_Oct</vt:lpstr>
      <vt:lpstr>Sheet3</vt:lpstr>
      <vt:lpstr>ENQUIRY</vt:lpstr>
      <vt:lpstr>Emision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Guerrero, Juan</dc:creator>
  <cp:lastModifiedBy>Ramo, Wikin</cp:lastModifiedBy>
  <dcterms:created xsi:type="dcterms:W3CDTF">2022-03-18T21:49:28Z</dcterms:created>
  <dcterms:modified xsi:type="dcterms:W3CDTF">2023-10-02T20:40:50Z</dcterms:modified>
</cp:coreProperties>
</file>